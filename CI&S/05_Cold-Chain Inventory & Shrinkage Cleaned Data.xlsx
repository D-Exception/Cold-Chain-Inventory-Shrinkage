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\OneDrive\Documentos\"/>
    </mc:Choice>
  </mc:AlternateContent>
  <xr:revisionPtr revIDLastSave="0" documentId="13_ncr:1_{AF44B0F2-8B9D-4468-93E7-CBBA8300B53B}" xr6:coauthVersionLast="47" xr6:coauthVersionMax="47" xr10:uidLastSave="{00000000-0000-0000-0000-000000000000}"/>
  <bookViews>
    <workbookView xWindow="-120" yWindow="-120" windowWidth="24240" windowHeight="13020" tabRatio="830" firstSheet="3" activeTab="7" xr2:uid="{54BDD055-AA7F-440A-A27E-2DB5F9CDDF14}"/>
  </bookViews>
  <sheets>
    <sheet name="suppliers_coldchain" sheetId="2" r:id="rId1"/>
    <sheet name="products_coldchain" sheetId="3" r:id="rId2"/>
    <sheet name="purchase_orders_coldchain" sheetId="4" r:id="rId3"/>
    <sheet name="purchase_order_lines_coldchain" sheetId="5" r:id="rId4"/>
    <sheet name="stock_movements_coldchain" sheetId="7" r:id="rId5"/>
    <sheet name="cycle_counts_coldchain" sheetId="9" r:id="rId6"/>
    <sheet name="temperature_logs_coldchain" sheetId="10" r:id="rId7"/>
    <sheet name="Purchase_Order_tracking_sheet" sheetId="21" r:id="rId8"/>
    <sheet name="Warehouse_Transfer_Log" sheetId="27" r:id="rId9"/>
    <sheet name="Warehouse_Writeoff_Summary" sheetId="28" r:id="rId10"/>
    <sheet name="Warehouse_Health_Status_Report" sheetId="29" r:id="rId11"/>
    <sheet name="Supplier_Performance_Report" sheetId="22" r:id="rId12"/>
    <sheet name="Column Lineage" sheetId="11" state="hidden" r:id="rId13"/>
    <sheet name="Validation Tests" sheetId="12" state="hidden" r:id="rId14"/>
    <sheet name="Sheet Lineage" sheetId="17" state="hidden" r:id="rId15"/>
    <sheet name="Before and After Snapshot" sheetId="13" state="hidden" r:id="rId16"/>
  </sheets>
  <definedNames>
    <definedName name="ExternalData_1" localSheetId="5" hidden="1">'cycle_counts_coldchain'!$A$1:$L$181</definedName>
    <definedName name="ExternalData_1" localSheetId="1" hidden="1">products_coldchain!$A$1:$M$181</definedName>
    <definedName name="ExternalData_1" localSheetId="3" hidden="1">purchase_order_lines_coldchain!$A$1:$N$421</definedName>
    <definedName name="ExternalData_1" localSheetId="7" hidden="1">Purchase_Order_tracking_sheet!$A$1:$F$421</definedName>
    <definedName name="ExternalData_1" localSheetId="2" hidden="1">purchase_orders_coldchain!$A$1:$K$151</definedName>
    <definedName name="ExternalData_1" localSheetId="4" hidden="1">stock_movements_coldchain!$A$1:$P$631</definedName>
    <definedName name="ExternalData_1" localSheetId="0" hidden="1">suppliers_coldchain!$A$1:$J$121</definedName>
    <definedName name="ExternalData_1" localSheetId="6" hidden="1">temperature_logs_coldchain!$A$1:$I$241</definedName>
    <definedName name="ExternalData_1" localSheetId="10" hidden="1">Warehouse_Health_Status_Report!$A$1:$C$11</definedName>
    <definedName name="ExternalData_2" localSheetId="8" hidden="1">Warehouse_Transfer_Log!$A$1:$C$16</definedName>
    <definedName name="ExternalData_3" localSheetId="9" hidden="1">Warehouse_Writeoff_Summary!$A$1:$D$11</definedName>
  </definedNames>
  <calcPr calcId="191029"/>
  <pivotCaches>
    <pivotCache cacheId="1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7" l="1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420" i="21"/>
  <c r="G421" i="21"/>
  <c r="E5" i="12"/>
  <c r="E4" i="12"/>
  <c r="D5" i="12"/>
  <c r="D4" i="12"/>
  <c r="H2" i="7" a="1"/>
  <c r="H2" i="7" s="1"/>
  <c r="I2" i="7" s="1"/>
  <c r="H168" i="7" a="1"/>
  <c r="H168" i="7" s="1"/>
  <c r="I168" i="7" s="1"/>
  <c r="H3" i="7" a="1"/>
  <c r="H3" i="7" s="1"/>
  <c r="I3" i="7" s="1"/>
  <c r="H4" i="7" a="1"/>
  <c r="H4" i="7" s="1"/>
  <c r="I4" i="7" s="1"/>
  <c r="H5" i="7" a="1"/>
  <c r="H5" i="7" s="1"/>
  <c r="I5" i="7" s="1"/>
  <c r="H6" i="7" a="1"/>
  <c r="H6" i="7" s="1"/>
  <c r="I6" i="7" s="1"/>
  <c r="H7" i="7" a="1"/>
  <c r="H7" i="7" s="1"/>
  <c r="I7" i="7" s="1"/>
  <c r="H8" i="7" a="1"/>
  <c r="H8" i="7" s="1"/>
  <c r="I8" i="7" s="1"/>
  <c r="H9" i="7" a="1"/>
  <c r="H9" i="7" s="1"/>
  <c r="I9" i="7" s="1"/>
  <c r="H10" i="7" a="1"/>
  <c r="H10" i="7" s="1"/>
  <c r="I10" i="7" s="1"/>
  <c r="H11" i="7" a="1"/>
  <c r="H11" i="7" s="1"/>
  <c r="I11" i="7" s="1"/>
  <c r="H12" i="7" a="1"/>
  <c r="H12" i="7" s="1"/>
  <c r="I12" i="7" s="1"/>
  <c r="H13" i="7" a="1"/>
  <c r="H13" i="7" s="1"/>
  <c r="I13" i="7" s="1"/>
  <c r="H14" i="7" a="1"/>
  <c r="H14" i="7" s="1"/>
  <c r="I14" i="7" s="1"/>
  <c r="H15" i="7" a="1"/>
  <c r="H15" i="7" s="1"/>
  <c r="I15" i="7" s="1"/>
  <c r="H16" i="7" a="1"/>
  <c r="H16" i="7" s="1"/>
  <c r="I16" i="7" s="1"/>
  <c r="H17" i="7" a="1"/>
  <c r="H17" i="7" s="1"/>
  <c r="I17" i="7" s="1"/>
  <c r="H18" i="7" a="1"/>
  <c r="H18" i="7" s="1"/>
  <c r="I18" i="7" s="1"/>
  <c r="H19" i="7" a="1"/>
  <c r="H19" i="7" s="1"/>
  <c r="I19" i="7" s="1"/>
  <c r="H20" i="7" a="1"/>
  <c r="H20" i="7" s="1"/>
  <c r="I20" i="7" s="1"/>
  <c r="H21" i="7" a="1"/>
  <c r="H21" i="7" s="1"/>
  <c r="I21" i="7" s="1"/>
  <c r="H22" i="7" a="1"/>
  <c r="H22" i="7" s="1"/>
  <c r="I22" i="7" s="1"/>
  <c r="H23" i="7" a="1"/>
  <c r="H23" i="7" s="1"/>
  <c r="I23" i="7" s="1"/>
  <c r="H24" i="7" a="1"/>
  <c r="H24" i="7" s="1"/>
  <c r="I24" i="7" s="1"/>
  <c r="H25" i="7" a="1"/>
  <c r="H25" i="7" s="1"/>
  <c r="I25" i="7" s="1"/>
  <c r="H26" i="7" a="1"/>
  <c r="H26" i="7" s="1"/>
  <c r="I26" i="7" s="1"/>
  <c r="H27" i="7" a="1"/>
  <c r="H27" i="7" s="1"/>
  <c r="I27" i="7" s="1"/>
  <c r="H28" i="7" a="1"/>
  <c r="H28" i="7" s="1"/>
  <c r="I28" i="7" s="1"/>
  <c r="H29" i="7" a="1"/>
  <c r="H29" i="7" s="1"/>
  <c r="I29" i="7" s="1"/>
  <c r="H30" i="7" a="1"/>
  <c r="H30" i="7" s="1"/>
  <c r="I30" i="7" s="1"/>
  <c r="H31" i="7" a="1"/>
  <c r="H31" i="7" s="1"/>
  <c r="I31" i="7" s="1"/>
  <c r="H32" i="7" a="1"/>
  <c r="H32" i="7" s="1"/>
  <c r="I32" i="7" s="1"/>
  <c r="H33" i="7" a="1"/>
  <c r="H33" i="7" s="1"/>
  <c r="I33" i="7" s="1"/>
  <c r="H34" i="7" a="1"/>
  <c r="H34" i="7" s="1"/>
  <c r="I34" i="7" s="1"/>
  <c r="H35" i="7" a="1"/>
  <c r="H35" i="7" s="1"/>
  <c r="I35" i="7" s="1"/>
  <c r="H36" i="7" a="1"/>
  <c r="H36" i="7" s="1"/>
  <c r="I36" i="7" s="1"/>
  <c r="H37" i="7" a="1"/>
  <c r="H37" i="7" s="1"/>
  <c r="I37" i="7" s="1"/>
  <c r="H38" i="7" a="1"/>
  <c r="H38" i="7" s="1"/>
  <c r="I38" i="7" s="1"/>
  <c r="H39" i="7" a="1"/>
  <c r="H39" i="7" s="1"/>
  <c r="I39" i="7" s="1"/>
  <c r="H40" i="7" a="1"/>
  <c r="H40" i="7" s="1"/>
  <c r="I40" i="7" s="1"/>
  <c r="H41" i="7" a="1"/>
  <c r="H41" i="7" s="1"/>
  <c r="I41" i="7" s="1"/>
  <c r="H42" i="7" a="1"/>
  <c r="H42" i="7" s="1"/>
  <c r="I42" i="7" s="1"/>
  <c r="H43" i="7" a="1"/>
  <c r="H43" i="7" s="1"/>
  <c r="I43" i="7" s="1"/>
  <c r="H44" i="7" a="1"/>
  <c r="H44" i="7" s="1"/>
  <c r="I44" i="7" s="1"/>
  <c r="H45" i="7" a="1"/>
  <c r="H45" i="7" s="1"/>
  <c r="I45" i="7" s="1"/>
  <c r="H46" i="7" a="1"/>
  <c r="H46" i="7" s="1"/>
  <c r="I46" i="7" s="1"/>
  <c r="H47" i="7" a="1"/>
  <c r="H47" i="7" s="1"/>
  <c r="I47" i="7" s="1"/>
  <c r="H48" i="7" a="1"/>
  <c r="H48" i="7" s="1"/>
  <c r="I48" i="7" s="1"/>
  <c r="H49" i="7" a="1"/>
  <c r="H49" i="7" s="1"/>
  <c r="I49" i="7" s="1"/>
  <c r="H50" i="7" a="1"/>
  <c r="H50" i="7" s="1"/>
  <c r="I50" i="7" s="1"/>
  <c r="H51" i="7" a="1"/>
  <c r="H51" i="7" s="1"/>
  <c r="I51" i="7" s="1"/>
  <c r="H52" i="7" a="1"/>
  <c r="H52" i="7" s="1"/>
  <c r="I52" i="7" s="1"/>
  <c r="H53" i="7" a="1"/>
  <c r="H53" i="7" s="1"/>
  <c r="I53" i="7" s="1"/>
  <c r="H54" i="7" a="1"/>
  <c r="H54" i="7" s="1"/>
  <c r="I54" i="7" s="1"/>
  <c r="H55" i="7" a="1"/>
  <c r="H55" i="7" s="1"/>
  <c r="I55" i="7" s="1"/>
  <c r="H56" i="7" a="1"/>
  <c r="H56" i="7" s="1"/>
  <c r="I56" i="7" s="1"/>
  <c r="H57" i="7" a="1"/>
  <c r="H57" i="7" s="1"/>
  <c r="I57" i="7" s="1"/>
  <c r="H58" i="7" a="1"/>
  <c r="H58" i="7" s="1"/>
  <c r="I58" i="7" s="1"/>
  <c r="H59" i="7" a="1"/>
  <c r="H59" i="7" s="1"/>
  <c r="I59" i="7" s="1"/>
  <c r="H60" i="7" a="1"/>
  <c r="H60" i="7" s="1"/>
  <c r="I60" i="7" s="1"/>
  <c r="H61" i="7" a="1"/>
  <c r="H61" i="7" s="1"/>
  <c r="I61" i="7" s="1"/>
  <c r="H62" i="7" a="1"/>
  <c r="H62" i="7" s="1"/>
  <c r="I62" i="7" s="1"/>
  <c r="H63" i="7" a="1"/>
  <c r="H63" i="7" s="1"/>
  <c r="I63" i="7" s="1"/>
  <c r="H64" i="7" a="1"/>
  <c r="H64" i="7" s="1"/>
  <c r="I64" i="7" s="1"/>
  <c r="H65" i="7" a="1"/>
  <c r="H65" i="7" s="1"/>
  <c r="I65" i="7" s="1"/>
  <c r="H66" i="7" a="1"/>
  <c r="H66" i="7" s="1"/>
  <c r="I66" i="7" s="1"/>
  <c r="H67" i="7" a="1"/>
  <c r="H67" i="7" s="1"/>
  <c r="I67" i="7" s="1"/>
  <c r="H68" i="7" a="1"/>
  <c r="H68" i="7" s="1"/>
  <c r="I68" i="7" s="1"/>
  <c r="H69" i="7" a="1"/>
  <c r="H69" i="7" s="1"/>
  <c r="I69" i="7" s="1"/>
  <c r="H70" i="7" a="1"/>
  <c r="H70" i="7" s="1"/>
  <c r="I70" i="7" s="1"/>
  <c r="H71" i="7" a="1"/>
  <c r="H71" i="7" s="1"/>
  <c r="I71" i="7" s="1"/>
  <c r="H72" i="7" a="1"/>
  <c r="H72" i="7" s="1"/>
  <c r="I72" i="7" s="1"/>
  <c r="H73" i="7" a="1"/>
  <c r="H73" i="7" s="1"/>
  <c r="I73" i="7" s="1"/>
  <c r="H74" i="7" a="1"/>
  <c r="H74" i="7" s="1"/>
  <c r="I74" i="7" s="1"/>
  <c r="H75" i="7" a="1"/>
  <c r="H75" i="7" s="1"/>
  <c r="I75" i="7" s="1"/>
  <c r="H76" i="7" a="1"/>
  <c r="H76" i="7" s="1"/>
  <c r="I76" i="7" s="1"/>
  <c r="H77" i="7" a="1"/>
  <c r="H77" i="7" s="1"/>
  <c r="I77" i="7" s="1"/>
  <c r="H78" i="7" a="1"/>
  <c r="H78" i="7" s="1"/>
  <c r="I78" i="7" s="1"/>
  <c r="H79" i="7" a="1"/>
  <c r="H79" i="7" s="1"/>
  <c r="I79" i="7" s="1"/>
  <c r="H80" i="7" a="1"/>
  <c r="H80" i="7" s="1"/>
  <c r="I80" i="7" s="1"/>
  <c r="H81" i="7" a="1"/>
  <c r="H81" i="7" s="1"/>
  <c r="I81" i="7" s="1"/>
  <c r="H82" i="7" a="1"/>
  <c r="H82" i="7" s="1"/>
  <c r="I82" i="7" s="1"/>
  <c r="H83" i="7" a="1"/>
  <c r="H83" i="7" s="1"/>
  <c r="I83" i="7" s="1"/>
  <c r="H84" i="7" a="1"/>
  <c r="H84" i="7" s="1"/>
  <c r="I84" i="7" s="1"/>
  <c r="H85" i="7" a="1"/>
  <c r="H85" i="7" s="1"/>
  <c r="I85" i="7" s="1"/>
  <c r="H86" i="7" a="1"/>
  <c r="H86" i="7" s="1"/>
  <c r="I86" i="7" s="1"/>
  <c r="H87" i="7" a="1"/>
  <c r="H87" i="7" s="1"/>
  <c r="I87" i="7" s="1"/>
  <c r="H88" i="7" a="1"/>
  <c r="H88" i="7" s="1"/>
  <c r="I88" i="7" s="1"/>
  <c r="H89" i="7" a="1"/>
  <c r="H89" i="7" s="1"/>
  <c r="I89" i="7" s="1"/>
  <c r="H90" i="7" a="1"/>
  <c r="H90" i="7" s="1"/>
  <c r="I90" i="7" s="1"/>
  <c r="H91" i="7" a="1"/>
  <c r="H91" i="7" s="1"/>
  <c r="I91" i="7" s="1"/>
  <c r="H92" i="7" a="1"/>
  <c r="H92" i="7" s="1"/>
  <c r="I92" i="7" s="1"/>
  <c r="H93" i="7" a="1"/>
  <c r="H93" i="7" s="1"/>
  <c r="I93" i="7" s="1"/>
  <c r="H94" i="7" a="1"/>
  <c r="H94" i="7" s="1"/>
  <c r="I94" i="7" s="1"/>
  <c r="H95" i="7" a="1"/>
  <c r="H95" i="7" s="1"/>
  <c r="I95" i="7" s="1"/>
  <c r="H96" i="7" a="1"/>
  <c r="H96" i="7" s="1"/>
  <c r="I96" i="7" s="1"/>
  <c r="H97" i="7" a="1"/>
  <c r="H97" i="7" s="1"/>
  <c r="I97" i="7" s="1"/>
  <c r="H98" i="7" a="1"/>
  <c r="H98" i="7" s="1"/>
  <c r="I98" i="7" s="1"/>
  <c r="H99" i="7" a="1"/>
  <c r="H99" i="7" s="1"/>
  <c r="I99" i="7" s="1"/>
  <c r="H100" i="7" a="1"/>
  <c r="H100" i="7" s="1"/>
  <c r="I100" i="7" s="1"/>
  <c r="H101" i="7" a="1"/>
  <c r="H101" i="7" s="1"/>
  <c r="I101" i="7" s="1"/>
  <c r="H102" i="7" a="1"/>
  <c r="H102" i="7" s="1"/>
  <c r="I102" i="7" s="1"/>
  <c r="H103" i="7" a="1"/>
  <c r="H103" i="7" s="1"/>
  <c r="I103" i="7" s="1"/>
  <c r="H104" i="7" a="1"/>
  <c r="H104" i="7" s="1"/>
  <c r="I104" i="7" s="1"/>
  <c r="H105" i="7" a="1"/>
  <c r="H105" i="7" s="1"/>
  <c r="I105" i="7" s="1"/>
  <c r="H106" i="7" a="1"/>
  <c r="H106" i="7" s="1"/>
  <c r="I106" i="7" s="1"/>
  <c r="H107" i="7" a="1"/>
  <c r="H107" i="7" s="1"/>
  <c r="I107" i="7" s="1"/>
  <c r="H108" i="7" a="1"/>
  <c r="H108" i="7" s="1"/>
  <c r="I108" i="7" s="1"/>
  <c r="H109" i="7" a="1"/>
  <c r="H109" i="7" s="1"/>
  <c r="I109" i="7" s="1"/>
  <c r="H110" i="7" a="1"/>
  <c r="H110" i="7" s="1"/>
  <c r="I110" i="7" s="1"/>
  <c r="H111" i="7" a="1"/>
  <c r="H111" i="7" s="1"/>
  <c r="I111" i="7" s="1"/>
  <c r="H112" i="7" a="1"/>
  <c r="H112" i="7" s="1"/>
  <c r="I112" i="7" s="1"/>
  <c r="H113" i="7" a="1"/>
  <c r="H113" i="7" s="1"/>
  <c r="I113" i="7" s="1"/>
  <c r="H114" i="7" a="1"/>
  <c r="H114" i="7" s="1"/>
  <c r="I114" i="7" s="1"/>
  <c r="H115" i="7" a="1"/>
  <c r="H115" i="7" s="1"/>
  <c r="I115" i="7" s="1"/>
  <c r="H116" i="7" a="1"/>
  <c r="H116" i="7" s="1"/>
  <c r="I116" i="7" s="1"/>
  <c r="H117" i="7" a="1"/>
  <c r="H117" i="7" s="1"/>
  <c r="I117" i="7" s="1"/>
  <c r="H118" i="7" a="1"/>
  <c r="H118" i="7" s="1"/>
  <c r="I118" i="7" s="1"/>
  <c r="H119" i="7" a="1"/>
  <c r="H119" i="7" s="1"/>
  <c r="I119" i="7" s="1"/>
  <c r="H120" i="7" a="1"/>
  <c r="H120" i="7" s="1"/>
  <c r="I120" i="7" s="1"/>
  <c r="H121" i="7" a="1"/>
  <c r="H121" i="7" s="1"/>
  <c r="I121" i="7" s="1"/>
  <c r="H122" i="7" a="1"/>
  <c r="H122" i="7" s="1"/>
  <c r="I122" i="7" s="1"/>
  <c r="H123" i="7" a="1"/>
  <c r="H123" i="7" s="1"/>
  <c r="I123" i="7" s="1"/>
  <c r="H124" i="7" a="1"/>
  <c r="H124" i="7" s="1"/>
  <c r="I124" i="7" s="1"/>
  <c r="H125" i="7" a="1"/>
  <c r="H125" i="7" s="1"/>
  <c r="I125" i="7" s="1"/>
  <c r="H126" i="7" a="1"/>
  <c r="H126" i="7" s="1"/>
  <c r="I126" i="7" s="1"/>
  <c r="H127" i="7" a="1"/>
  <c r="H127" i="7" s="1"/>
  <c r="I127" i="7" s="1"/>
  <c r="H128" i="7" a="1"/>
  <c r="H128" i="7" s="1"/>
  <c r="I128" i="7" s="1"/>
  <c r="H129" i="7" a="1"/>
  <c r="H129" i="7" s="1"/>
  <c r="I129" i="7" s="1"/>
  <c r="H130" i="7" a="1"/>
  <c r="H130" i="7" s="1"/>
  <c r="I130" i="7" s="1"/>
  <c r="H131" i="7" a="1"/>
  <c r="H131" i="7" s="1"/>
  <c r="I131" i="7" s="1"/>
  <c r="H132" i="7" a="1"/>
  <c r="H132" i="7" s="1"/>
  <c r="I132" i="7" s="1"/>
  <c r="H133" i="7" a="1"/>
  <c r="H133" i="7" s="1"/>
  <c r="I133" i="7" s="1"/>
  <c r="H134" i="7" a="1"/>
  <c r="H134" i="7" s="1"/>
  <c r="I134" i="7" s="1"/>
  <c r="H135" i="7" a="1"/>
  <c r="H135" i="7" s="1"/>
  <c r="I135" i="7" s="1"/>
  <c r="H136" i="7" a="1"/>
  <c r="H136" i="7" s="1"/>
  <c r="I136" i="7" s="1"/>
  <c r="H137" i="7" a="1"/>
  <c r="H137" i="7" s="1"/>
  <c r="I137" i="7" s="1"/>
  <c r="H138" i="7" a="1"/>
  <c r="H138" i="7" s="1"/>
  <c r="I138" i="7" s="1"/>
  <c r="H139" i="7" a="1"/>
  <c r="H139" i="7" s="1"/>
  <c r="I139" i="7" s="1"/>
  <c r="H140" i="7" a="1"/>
  <c r="H140" i="7" s="1"/>
  <c r="I140" i="7" s="1"/>
  <c r="H141" i="7" a="1"/>
  <c r="H141" i="7" s="1"/>
  <c r="I141" i="7" s="1"/>
  <c r="H142" i="7" a="1"/>
  <c r="H142" i="7" s="1"/>
  <c r="I142" i="7" s="1"/>
  <c r="H143" i="7" a="1"/>
  <c r="H143" i="7" s="1"/>
  <c r="I143" i="7" s="1"/>
  <c r="H144" i="7" a="1"/>
  <c r="H144" i="7" s="1"/>
  <c r="I144" i="7" s="1"/>
  <c r="H145" i="7" a="1"/>
  <c r="H145" i="7" s="1"/>
  <c r="I145" i="7" s="1"/>
  <c r="H146" i="7" a="1"/>
  <c r="H146" i="7" s="1"/>
  <c r="I146" i="7" s="1"/>
  <c r="H147" i="7" a="1"/>
  <c r="H147" i="7" s="1"/>
  <c r="I147" i="7" s="1"/>
  <c r="H148" i="7" a="1"/>
  <c r="H148" i="7" s="1"/>
  <c r="I148" i="7" s="1"/>
  <c r="H149" i="7" a="1"/>
  <c r="H149" i="7" s="1"/>
  <c r="I149" i="7" s="1"/>
  <c r="H150" i="7" a="1"/>
  <c r="H150" i="7" s="1"/>
  <c r="I150" i="7" s="1"/>
  <c r="H151" i="7" a="1"/>
  <c r="H151" i="7" s="1"/>
  <c r="I151" i="7" s="1"/>
  <c r="H152" i="7" a="1"/>
  <c r="H152" i="7" s="1"/>
  <c r="I152" i="7" s="1"/>
  <c r="H153" i="7" a="1"/>
  <c r="H153" i="7" s="1"/>
  <c r="I153" i="7" s="1"/>
  <c r="H154" i="7" a="1"/>
  <c r="H154" i="7" s="1"/>
  <c r="I154" i="7" s="1"/>
  <c r="H155" i="7" a="1"/>
  <c r="H155" i="7" s="1"/>
  <c r="I155" i="7" s="1"/>
  <c r="H156" i="7" a="1"/>
  <c r="H156" i="7" s="1"/>
  <c r="I156" i="7" s="1"/>
  <c r="H157" i="7" a="1"/>
  <c r="H157" i="7" s="1"/>
  <c r="I157" i="7" s="1"/>
  <c r="H158" i="7" a="1"/>
  <c r="H158" i="7" s="1"/>
  <c r="I158" i="7" s="1"/>
  <c r="H159" i="7" a="1"/>
  <c r="H159" i="7" s="1"/>
  <c r="I159" i="7" s="1"/>
  <c r="H160" i="7" a="1"/>
  <c r="H160" i="7" s="1"/>
  <c r="I160" i="7" s="1"/>
  <c r="H161" i="7" a="1"/>
  <c r="H161" i="7" s="1"/>
  <c r="I161" i="7" s="1"/>
  <c r="H162" i="7" a="1"/>
  <c r="H162" i="7" s="1"/>
  <c r="I162" i="7" s="1"/>
  <c r="H163" i="7" a="1"/>
  <c r="H163" i="7" s="1"/>
  <c r="I163" i="7" s="1"/>
  <c r="H164" i="7" a="1"/>
  <c r="H164" i="7" s="1"/>
  <c r="I164" i="7" s="1"/>
  <c r="H165" i="7" a="1"/>
  <c r="H165" i="7" s="1"/>
  <c r="I165" i="7" s="1"/>
  <c r="H166" i="7" a="1"/>
  <c r="H166" i="7" s="1"/>
  <c r="I166" i="7" s="1"/>
  <c r="H167" i="7" a="1"/>
  <c r="H167" i="7" s="1"/>
  <c r="I167" i="7" s="1"/>
  <c r="H169" i="7" a="1"/>
  <c r="H169" i="7" s="1"/>
  <c r="I169" i="7" s="1"/>
  <c r="H170" i="7" a="1"/>
  <c r="H170" i="7" s="1"/>
  <c r="I170" i="7" s="1"/>
  <c r="H171" i="7" a="1"/>
  <c r="H171" i="7" s="1"/>
  <c r="I171" i="7" s="1"/>
  <c r="H172" i="7" a="1"/>
  <c r="H172" i="7" s="1"/>
  <c r="I172" i="7" s="1"/>
  <c r="H173" i="7" a="1"/>
  <c r="H173" i="7" s="1"/>
  <c r="I173" i="7" s="1"/>
  <c r="H174" i="7" a="1"/>
  <c r="H174" i="7" s="1"/>
  <c r="I174" i="7" s="1"/>
  <c r="H175" i="7" a="1"/>
  <c r="H175" i="7" s="1"/>
  <c r="I175" i="7" s="1"/>
  <c r="H176" i="7" a="1"/>
  <c r="H176" i="7" s="1"/>
  <c r="I176" i="7" s="1"/>
  <c r="H177" i="7" a="1"/>
  <c r="H177" i="7" s="1"/>
  <c r="I177" i="7" s="1"/>
  <c r="H178" i="7" a="1"/>
  <c r="H178" i="7" s="1"/>
  <c r="I178" i="7" s="1"/>
  <c r="H179" i="7" a="1"/>
  <c r="H179" i="7" s="1"/>
  <c r="I179" i="7" s="1"/>
  <c r="H180" i="7" a="1"/>
  <c r="H180" i="7" s="1"/>
  <c r="I180" i="7" s="1"/>
  <c r="H181" i="7" a="1"/>
  <c r="H181" i="7" s="1"/>
  <c r="I181" i="7" s="1"/>
  <c r="H182" i="7" a="1"/>
  <c r="H182" i="7" s="1"/>
  <c r="I182" i="7" s="1"/>
  <c r="H183" i="7" a="1"/>
  <c r="H183" i="7" s="1"/>
  <c r="I183" i="7" s="1"/>
  <c r="H184" i="7" a="1"/>
  <c r="H184" i="7" s="1"/>
  <c r="I184" i="7" s="1"/>
  <c r="H185" i="7" a="1"/>
  <c r="H185" i="7" s="1"/>
  <c r="I185" i="7" s="1"/>
  <c r="H186" i="7" a="1"/>
  <c r="H186" i="7" s="1"/>
  <c r="I186" i="7" s="1"/>
  <c r="H187" i="7" a="1"/>
  <c r="H187" i="7" s="1"/>
  <c r="I187" i="7" s="1"/>
  <c r="H188" i="7" a="1"/>
  <c r="H188" i="7" s="1"/>
  <c r="I188" i="7" s="1"/>
  <c r="H189" i="7" a="1"/>
  <c r="H189" i="7" s="1"/>
  <c r="I189" i="7" s="1"/>
  <c r="H190" i="7" a="1"/>
  <c r="H190" i="7" s="1"/>
  <c r="I190" i="7" s="1"/>
  <c r="H191" i="7" a="1"/>
  <c r="H191" i="7" s="1"/>
  <c r="I191" i="7" s="1"/>
  <c r="H192" i="7" a="1"/>
  <c r="H192" i="7" s="1"/>
  <c r="I192" i="7" s="1"/>
  <c r="H193" i="7" a="1"/>
  <c r="H193" i="7" s="1"/>
  <c r="I193" i="7" s="1"/>
  <c r="H194" i="7" a="1"/>
  <c r="H194" i="7" s="1"/>
  <c r="I194" i="7" s="1"/>
  <c r="H195" i="7" a="1"/>
  <c r="H195" i="7" s="1"/>
  <c r="I195" i="7" s="1"/>
  <c r="H196" i="7" a="1"/>
  <c r="H196" i="7" s="1"/>
  <c r="I196" i="7" s="1"/>
  <c r="H197" i="7" a="1"/>
  <c r="H197" i="7" s="1"/>
  <c r="I197" i="7" s="1"/>
  <c r="H198" i="7" a="1"/>
  <c r="H198" i="7" s="1"/>
  <c r="I198" i="7" s="1"/>
  <c r="H199" i="7" a="1"/>
  <c r="H199" i="7" s="1"/>
  <c r="I199" i="7" s="1"/>
  <c r="H200" i="7" a="1"/>
  <c r="H200" i="7" s="1"/>
  <c r="I200" i="7" s="1"/>
  <c r="H201" i="7" a="1"/>
  <c r="H201" i="7" s="1"/>
  <c r="I201" i="7" s="1"/>
  <c r="H202" i="7" a="1"/>
  <c r="H202" i="7" s="1"/>
  <c r="I202" i="7" s="1"/>
  <c r="H203" i="7" a="1"/>
  <c r="H203" i="7" s="1"/>
  <c r="I203" i="7" s="1"/>
  <c r="H204" i="7" a="1"/>
  <c r="H204" i="7" s="1"/>
  <c r="I204" i="7" s="1"/>
  <c r="H205" i="7" a="1"/>
  <c r="H205" i="7" s="1"/>
  <c r="I205" i="7" s="1"/>
  <c r="H206" i="7" a="1"/>
  <c r="H206" i="7" s="1"/>
  <c r="I206" i="7" s="1"/>
  <c r="H207" i="7" a="1"/>
  <c r="H207" i="7" s="1"/>
  <c r="I207" i="7" s="1"/>
  <c r="H208" i="7" a="1"/>
  <c r="H208" i="7" s="1"/>
  <c r="I208" i="7" s="1"/>
  <c r="H209" i="7" a="1"/>
  <c r="H209" i="7" s="1"/>
  <c r="I209" i="7" s="1"/>
  <c r="H210" i="7" a="1"/>
  <c r="H210" i="7" s="1"/>
  <c r="I210" i="7" s="1"/>
  <c r="H211" i="7" a="1"/>
  <c r="H211" i="7" s="1"/>
  <c r="I211" i="7" s="1"/>
  <c r="H212" i="7" a="1"/>
  <c r="H212" i="7" s="1"/>
  <c r="I212" i="7" s="1"/>
  <c r="H213" i="7" a="1"/>
  <c r="H213" i="7" s="1"/>
  <c r="I213" i="7" s="1"/>
  <c r="H214" i="7" a="1"/>
  <c r="H214" i="7" s="1"/>
  <c r="I214" i="7" s="1"/>
  <c r="H215" i="7" a="1"/>
  <c r="H215" i="7" s="1"/>
  <c r="I215" i="7" s="1"/>
  <c r="H216" i="7" a="1"/>
  <c r="H216" i="7" s="1"/>
  <c r="I216" i="7" s="1"/>
  <c r="H217" i="7" a="1"/>
  <c r="H217" i="7" s="1"/>
  <c r="I217" i="7" s="1"/>
  <c r="H218" i="7" a="1"/>
  <c r="H218" i="7" s="1"/>
  <c r="I218" i="7" s="1"/>
  <c r="H219" i="7" a="1"/>
  <c r="H219" i="7" s="1"/>
  <c r="I219" i="7" s="1"/>
  <c r="H220" i="7" a="1"/>
  <c r="H220" i="7" s="1"/>
  <c r="I220" i="7" s="1"/>
  <c r="H221" i="7" a="1"/>
  <c r="H221" i="7" s="1"/>
  <c r="I221" i="7" s="1"/>
  <c r="H222" i="7" a="1"/>
  <c r="H222" i="7" s="1"/>
  <c r="I222" i="7" s="1"/>
  <c r="H223" i="7" a="1"/>
  <c r="H223" i="7" s="1"/>
  <c r="I223" i="7" s="1"/>
  <c r="H224" i="7" a="1"/>
  <c r="H224" i="7" s="1"/>
  <c r="I224" i="7" s="1"/>
  <c r="H225" i="7" a="1"/>
  <c r="H225" i="7" s="1"/>
  <c r="I225" i="7" s="1"/>
  <c r="H226" i="7" a="1"/>
  <c r="H226" i="7" s="1"/>
  <c r="I226" i="7" s="1"/>
  <c r="H227" i="7" a="1"/>
  <c r="H227" i="7" s="1"/>
  <c r="I227" i="7" s="1"/>
  <c r="H228" i="7" a="1"/>
  <c r="H228" i="7" s="1"/>
  <c r="I228" i="7" s="1"/>
  <c r="H229" i="7" a="1"/>
  <c r="H229" i="7" s="1"/>
  <c r="I229" i="7" s="1"/>
  <c r="H230" i="7" a="1"/>
  <c r="H230" i="7" s="1"/>
  <c r="I230" i="7" s="1"/>
  <c r="H231" i="7" a="1"/>
  <c r="H231" i="7" s="1"/>
  <c r="I231" i="7" s="1"/>
  <c r="H232" i="7" a="1"/>
  <c r="H232" i="7" s="1"/>
  <c r="I232" i="7" s="1"/>
  <c r="H233" i="7" a="1"/>
  <c r="H233" i="7" s="1"/>
  <c r="I233" i="7" s="1"/>
  <c r="H234" i="7" a="1"/>
  <c r="H234" i="7" s="1"/>
  <c r="I234" i="7" s="1"/>
  <c r="H235" i="7" a="1"/>
  <c r="H235" i="7" s="1"/>
  <c r="I235" i="7" s="1"/>
  <c r="H236" i="7" a="1"/>
  <c r="H236" i="7" s="1"/>
  <c r="I236" i="7" s="1"/>
  <c r="H237" i="7" a="1"/>
  <c r="H237" i="7" s="1"/>
  <c r="I237" i="7" s="1"/>
  <c r="H238" i="7" a="1"/>
  <c r="H238" i="7" s="1"/>
  <c r="I238" i="7" s="1"/>
  <c r="H239" i="7" a="1"/>
  <c r="H239" i="7" s="1"/>
  <c r="I239" i="7" s="1"/>
  <c r="H240" i="7" a="1"/>
  <c r="H240" i="7" s="1"/>
  <c r="I240" i="7" s="1"/>
  <c r="H241" i="7" a="1"/>
  <c r="H241" i="7" s="1"/>
  <c r="I241" i="7" s="1"/>
  <c r="H242" i="7" a="1"/>
  <c r="H242" i="7" s="1"/>
  <c r="I242" i="7" s="1"/>
  <c r="H243" i="7" a="1"/>
  <c r="H243" i="7" s="1"/>
  <c r="I243" i="7" s="1"/>
  <c r="H244" i="7" a="1"/>
  <c r="H244" i="7" s="1"/>
  <c r="I244" i="7" s="1"/>
  <c r="H245" i="7" a="1"/>
  <c r="H245" i="7" s="1"/>
  <c r="I245" i="7" s="1"/>
  <c r="H246" i="7" a="1"/>
  <c r="H246" i="7" s="1"/>
  <c r="I246" i="7" s="1"/>
  <c r="H247" i="7" a="1"/>
  <c r="H247" i="7" s="1"/>
  <c r="I247" i="7" s="1"/>
  <c r="H248" i="7" a="1"/>
  <c r="H248" i="7" s="1"/>
  <c r="I248" i="7" s="1"/>
  <c r="H249" i="7" a="1"/>
  <c r="H249" i="7" s="1"/>
  <c r="I249" i="7" s="1"/>
  <c r="H250" i="7" a="1"/>
  <c r="H250" i="7" s="1"/>
  <c r="I250" i="7" s="1"/>
  <c r="H251" i="7" a="1"/>
  <c r="H251" i="7" s="1"/>
  <c r="I251" i="7" s="1"/>
  <c r="H252" i="7" a="1"/>
  <c r="H252" i="7" s="1"/>
  <c r="I252" i="7" s="1"/>
  <c r="H253" i="7" a="1"/>
  <c r="H253" i="7" s="1"/>
  <c r="I253" i="7" s="1"/>
  <c r="H254" i="7" a="1"/>
  <c r="H254" i="7" s="1"/>
  <c r="I254" i="7" s="1"/>
  <c r="H255" i="7" a="1"/>
  <c r="H255" i="7" s="1"/>
  <c r="I255" i="7" s="1"/>
  <c r="H256" i="7" a="1"/>
  <c r="H256" i="7" s="1"/>
  <c r="I256" i="7" s="1"/>
  <c r="H257" i="7" a="1"/>
  <c r="H257" i="7" s="1"/>
  <c r="I257" i="7" s="1"/>
  <c r="H258" i="7" a="1"/>
  <c r="H258" i="7" s="1"/>
  <c r="I258" i="7" s="1"/>
  <c r="H259" i="7" a="1"/>
  <c r="H259" i="7" s="1"/>
  <c r="I259" i="7" s="1"/>
  <c r="H260" i="7" a="1"/>
  <c r="H260" i="7" s="1"/>
  <c r="I260" i="7" s="1"/>
  <c r="H261" i="7" a="1"/>
  <c r="H261" i="7" s="1"/>
  <c r="I261" i="7" s="1"/>
  <c r="H262" i="7" a="1"/>
  <c r="H262" i="7" s="1"/>
  <c r="I262" i="7" s="1"/>
  <c r="H263" i="7" a="1"/>
  <c r="H263" i="7" s="1"/>
  <c r="I263" i="7" s="1"/>
  <c r="H264" i="7" a="1"/>
  <c r="H264" i="7" s="1"/>
  <c r="I264" i="7" s="1"/>
  <c r="H265" i="7" a="1"/>
  <c r="H265" i="7" s="1"/>
  <c r="I265" i="7" s="1"/>
  <c r="H266" i="7" a="1"/>
  <c r="H266" i="7" s="1"/>
  <c r="I266" i="7" s="1"/>
  <c r="H267" i="7" a="1"/>
  <c r="H267" i="7" s="1"/>
  <c r="I267" i="7" s="1"/>
  <c r="H268" i="7" a="1"/>
  <c r="H268" i="7" s="1"/>
  <c r="I268" i="7" s="1"/>
  <c r="H269" i="7" a="1"/>
  <c r="H269" i="7" s="1"/>
  <c r="I269" i="7" s="1"/>
  <c r="H270" i="7" a="1"/>
  <c r="H270" i="7" s="1"/>
  <c r="I270" i="7" s="1"/>
  <c r="H271" i="7" a="1"/>
  <c r="H271" i="7" s="1"/>
  <c r="I271" i="7" s="1"/>
  <c r="H272" i="7" a="1"/>
  <c r="H272" i="7" s="1"/>
  <c r="I272" i="7" s="1"/>
  <c r="H273" i="7" a="1"/>
  <c r="H273" i="7" s="1"/>
  <c r="I273" i="7" s="1"/>
  <c r="H274" i="7" a="1"/>
  <c r="H274" i="7" s="1"/>
  <c r="I274" i="7" s="1"/>
  <c r="H275" i="7" a="1"/>
  <c r="H275" i="7" s="1"/>
  <c r="I275" i="7" s="1"/>
  <c r="H276" i="7" a="1"/>
  <c r="H276" i="7" s="1"/>
  <c r="I276" i="7" s="1"/>
  <c r="H277" i="7" a="1"/>
  <c r="H277" i="7" s="1"/>
  <c r="I277" i="7" s="1"/>
  <c r="H278" i="7" a="1"/>
  <c r="H278" i="7" s="1"/>
  <c r="I278" i="7" s="1"/>
  <c r="H279" i="7" a="1"/>
  <c r="H279" i="7" s="1"/>
  <c r="I279" i="7" s="1"/>
  <c r="H280" i="7" a="1"/>
  <c r="H280" i="7" s="1"/>
  <c r="I280" i="7" s="1"/>
  <c r="H281" i="7" a="1"/>
  <c r="H281" i="7" s="1"/>
  <c r="I281" i="7" s="1"/>
  <c r="H282" i="7" a="1"/>
  <c r="H282" i="7" s="1"/>
  <c r="I282" i="7" s="1"/>
  <c r="H283" i="7" a="1"/>
  <c r="H283" i="7" s="1"/>
  <c r="I283" i="7" s="1"/>
  <c r="H284" i="7" a="1"/>
  <c r="H284" i="7" s="1"/>
  <c r="I284" i="7" s="1"/>
  <c r="H285" i="7" a="1"/>
  <c r="H285" i="7" s="1"/>
  <c r="I285" i="7" s="1"/>
  <c r="H286" i="7" a="1"/>
  <c r="H286" i="7" s="1"/>
  <c r="I286" i="7" s="1"/>
  <c r="H287" i="7" a="1"/>
  <c r="H287" i="7" s="1"/>
  <c r="I287" i="7" s="1"/>
  <c r="H288" i="7" a="1"/>
  <c r="H288" i="7" s="1"/>
  <c r="I288" i="7" s="1"/>
  <c r="H289" i="7" a="1"/>
  <c r="H289" i="7" s="1"/>
  <c r="I289" i="7" s="1"/>
  <c r="H290" i="7" a="1"/>
  <c r="H290" i="7" s="1"/>
  <c r="I290" i="7" s="1"/>
  <c r="H291" i="7" a="1"/>
  <c r="H291" i="7" s="1"/>
  <c r="I291" i="7" s="1"/>
  <c r="H292" i="7" a="1"/>
  <c r="H292" i="7" s="1"/>
  <c r="I292" i="7" s="1"/>
  <c r="H293" i="7" a="1"/>
  <c r="H293" i="7" s="1"/>
  <c r="I293" i="7" s="1"/>
  <c r="H294" i="7" a="1"/>
  <c r="H294" i="7" s="1"/>
  <c r="I294" i="7" s="1"/>
  <c r="H295" i="7" a="1"/>
  <c r="H295" i="7" s="1"/>
  <c r="I295" i="7" s="1"/>
  <c r="H296" i="7" a="1"/>
  <c r="H296" i="7" s="1"/>
  <c r="I296" i="7" s="1"/>
  <c r="H297" i="7" a="1"/>
  <c r="H297" i="7" s="1"/>
  <c r="I297" i="7" s="1"/>
  <c r="H298" i="7" a="1"/>
  <c r="H298" i="7" s="1"/>
  <c r="I298" i="7" s="1"/>
  <c r="H299" i="7" a="1"/>
  <c r="H299" i="7" s="1"/>
  <c r="I299" i="7" s="1"/>
  <c r="H300" i="7" a="1"/>
  <c r="H300" i="7" s="1"/>
  <c r="I300" i="7" s="1"/>
  <c r="H301" i="7" a="1"/>
  <c r="H301" i="7" s="1"/>
  <c r="I301" i="7" s="1"/>
  <c r="H302" i="7" a="1"/>
  <c r="H302" i="7" s="1"/>
  <c r="I302" i="7" s="1"/>
  <c r="H303" i="7" a="1"/>
  <c r="H303" i="7" s="1"/>
  <c r="I303" i="7" s="1"/>
  <c r="H304" i="7" a="1"/>
  <c r="H304" i="7" s="1"/>
  <c r="I304" i="7" s="1"/>
  <c r="H305" i="7" a="1"/>
  <c r="H305" i="7" s="1"/>
  <c r="I305" i="7" s="1"/>
  <c r="H306" i="7" a="1"/>
  <c r="H306" i="7" s="1"/>
  <c r="I306" i="7" s="1"/>
  <c r="H307" i="7" a="1"/>
  <c r="H307" i="7" s="1"/>
  <c r="I307" i="7" s="1"/>
  <c r="H308" i="7" a="1"/>
  <c r="H308" i="7" s="1"/>
  <c r="I308" i="7" s="1"/>
  <c r="H309" i="7" a="1"/>
  <c r="H309" i="7" s="1"/>
  <c r="I309" i="7" s="1"/>
  <c r="H310" i="7" a="1"/>
  <c r="H310" i="7" s="1"/>
  <c r="I310" i="7" s="1"/>
  <c r="H311" i="7" a="1"/>
  <c r="H311" i="7" s="1"/>
  <c r="I311" i="7" s="1"/>
  <c r="H312" i="7" a="1"/>
  <c r="H312" i="7" s="1"/>
  <c r="I312" i="7" s="1"/>
  <c r="H313" i="7" a="1"/>
  <c r="H313" i="7" s="1"/>
  <c r="I313" i="7" s="1"/>
  <c r="H314" i="7" a="1"/>
  <c r="H314" i="7" s="1"/>
  <c r="I314" i="7" s="1"/>
  <c r="H315" i="7" a="1"/>
  <c r="H315" i="7" s="1"/>
  <c r="I315" i="7" s="1"/>
  <c r="H316" i="7" a="1"/>
  <c r="H316" i="7" s="1"/>
  <c r="I316" i="7" s="1"/>
  <c r="H317" i="7" a="1"/>
  <c r="H317" i="7" s="1"/>
  <c r="I317" i="7" s="1"/>
  <c r="H318" i="7" a="1"/>
  <c r="H318" i="7" s="1"/>
  <c r="I318" i="7" s="1"/>
  <c r="H319" i="7" a="1"/>
  <c r="H319" i="7" s="1"/>
  <c r="I319" i="7" s="1"/>
  <c r="H320" i="7" a="1"/>
  <c r="H320" i="7" s="1"/>
  <c r="I320" i="7" s="1"/>
  <c r="H321" i="7" a="1"/>
  <c r="H321" i="7" s="1"/>
  <c r="I321" i="7" s="1"/>
  <c r="H322" i="7" a="1"/>
  <c r="H322" i="7" s="1"/>
  <c r="I322" i="7" s="1"/>
  <c r="H323" i="7" a="1"/>
  <c r="H323" i="7" s="1"/>
  <c r="I323" i="7" s="1"/>
  <c r="H324" i="7" a="1"/>
  <c r="H324" i="7" s="1"/>
  <c r="I324" i="7" s="1"/>
  <c r="H325" i="7" a="1"/>
  <c r="H325" i="7" s="1"/>
  <c r="I325" i="7" s="1"/>
  <c r="H326" i="7" a="1"/>
  <c r="H326" i="7" s="1"/>
  <c r="I326" i="7" s="1"/>
  <c r="H327" i="7" a="1"/>
  <c r="H327" i="7" s="1"/>
  <c r="I327" i="7" s="1"/>
  <c r="H328" i="7" a="1"/>
  <c r="H328" i="7" s="1"/>
  <c r="I328" i="7" s="1"/>
  <c r="H329" i="7" a="1"/>
  <c r="H329" i="7" s="1"/>
  <c r="I329" i="7" s="1"/>
  <c r="H330" i="7" a="1"/>
  <c r="H330" i="7" s="1"/>
  <c r="I330" i="7" s="1"/>
  <c r="H331" i="7" a="1"/>
  <c r="H331" i="7" s="1"/>
  <c r="I331" i="7" s="1"/>
  <c r="H332" i="7" a="1"/>
  <c r="H332" i="7" s="1"/>
  <c r="I332" i="7" s="1"/>
  <c r="H333" i="7" a="1"/>
  <c r="H333" i="7" s="1"/>
  <c r="I333" i="7" s="1"/>
  <c r="H334" i="7" a="1"/>
  <c r="H334" i="7" s="1"/>
  <c r="I334" i="7" s="1"/>
  <c r="H335" i="7" a="1"/>
  <c r="H335" i="7" s="1"/>
  <c r="I335" i="7" s="1"/>
  <c r="H336" i="7" a="1"/>
  <c r="H336" i="7" s="1"/>
  <c r="I336" i="7" s="1"/>
  <c r="H337" i="7" a="1"/>
  <c r="H337" i="7" s="1"/>
  <c r="I337" i="7" s="1"/>
  <c r="H338" i="7" a="1"/>
  <c r="H338" i="7" s="1"/>
  <c r="I338" i="7" s="1"/>
  <c r="H339" i="7" a="1"/>
  <c r="H339" i="7" s="1"/>
  <c r="I339" i="7" s="1"/>
  <c r="H340" i="7" a="1"/>
  <c r="H340" i="7" s="1"/>
  <c r="I340" i="7" s="1"/>
  <c r="H341" i="7" a="1"/>
  <c r="H341" i="7" s="1"/>
  <c r="I341" i="7" s="1"/>
  <c r="H342" i="7" a="1"/>
  <c r="H342" i="7" s="1"/>
  <c r="I342" i="7" s="1"/>
  <c r="H343" i="7" a="1"/>
  <c r="H343" i="7" s="1"/>
  <c r="I343" i="7" s="1"/>
  <c r="H344" i="7" a="1"/>
  <c r="H344" i="7" s="1"/>
  <c r="I344" i="7" s="1"/>
  <c r="H345" i="7" a="1"/>
  <c r="H345" i="7" s="1"/>
  <c r="I345" i="7" s="1"/>
  <c r="H346" i="7" a="1"/>
  <c r="H346" i="7" s="1"/>
  <c r="I346" i="7" s="1"/>
  <c r="H347" i="7" a="1"/>
  <c r="H347" i="7" s="1"/>
  <c r="I347" i="7" s="1"/>
  <c r="H348" i="7" a="1"/>
  <c r="H348" i="7" s="1"/>
  <c r="I348" i="7" s="1"/>
  <c r="H349" i="7" a="1"/>
  <c r="H349" i="7" s="1"/>
  <c r="I349" i="7" s="1"/>
  <c r="H350" i="7" a="1"/>
  <c r="H350" i="7" s="1"/>
  <c r="I350" i="7" s="1"/>
  <c r="H351" i="7" a="1"/>
  <c r="H351" i="7" s="1"/>
  <c r="I351" i="7" s="1"/>
  <c r="H352" i="7" a="1"/>
  <c r="H352" i="7" s="1"/>
  <c r="I352" i="7" s="1"/>
  <c r="H353" i="7" a="1"/>
  <c r="H353" i="7" s="1"/>
  <c r="I353" i="7" s="1"/>
  <c r="H354" i="7" a="1"/>
  <c r="H354" i="7" s="1"/>
  <c r="I354" i="7" s="1"/>
  <c r="H355" i="7" a="1"/>
  <c r="H355" i="7" s="1"/>
  <c r="I355" i="7" s="1"/>
  <c r="H356" i="7" a="1"/>
  <c r="H356" i="7" s="1"/>
  <c r="I356" i="7" s="1"/>
  <c r="H357" i="7" a="1"/>
  <c r="H357" i="7" s="1"/>
  <c r="I357" i="7" s="1"/>
  <c r="H358" i="7" a="1"/>
  <c r="H358" i="7" s="1"/>
  <c r="I358" i="7" s="1"/>
  <c r="H359" i="7" a="1"/>
  <c r="H359" i="7" s="1"/>
  <c r="I359" i="7" s="1"/>
  <c r="H360" i="7" a="1"/>
  <c r="H360" i="7" s="1"/>
  <c r="I360" i="7" s="1"/>
  <c r="H361" i="7" a="1"/>
  <c r="H361" i="7" s="1"/>
  <c r="I361" i="7" s="1"/>
  <c r="H362" i="7" a="1"/>
  <c r="H362" i="7" s="1"/>
  <c r="I362" i="7" s="1"/>
  <c r="H363" i="7" a="1"/>
  <c r="H363" i="7" s="1"/>
  <c r="I363" i="7" s="1"/>
  <c r="H364" i="7" a="1"/>
  <c r="H364" i="7" s="1"/>
  <c r="I364" i="7" s="1"/>
  <c r="H365" i="7" a="1"/>
  <c r="H365" i="7" s="1"/>
  <c r="I365" i="7" s="1"/>
  <c r="H366" i="7" a="1"/>
  <c r="H366" i="7" s="1"/>
  <c r="I366" i="7" s="1"/>
  <c r="H367" i="7" a="1"/>
  <c r="H367" i="7" s="1"/>
  <c r="I367" i="7" s="1"/>
  <c r="H368" i="7" a="1"/>
  <c r="H368" i="7" s="1"/>
  <c r="I368" i="7" s="1"/>
  <c r="H369" i="7" a="1"/>
  <c r="H369" i="7" s="1"/>
  <c r="I369" i="7" s="1"/>
  <c r="H370" i="7" a="1"/>
  <c r="H370" i="7" s="1"/>
  <c r="I370" i="7" s="1"/>
  <c r="H371" i="7" a="1"/>
  <c r="H371" i="7" s="1"/>
  <c r="I371" i="7" s="1"/>
  <c r="H372" i="7" a="1"/>
  <c r="H372" i="7" s="1"/>
  <c r="I372" i="7" s="1"/>
  <c r="H373" i="7" a="1"/>
  <c r="H373" i="7" s="1"/>
  <c r="I373" i="7" s="1"/>
  <c r="H374" i="7" a="1"/>
  <c r="H374" i="7" s="1"/>
  <c r="I374" i="7" s="1"/>
  <c r="H375" i="7" a="1"/>
  <c r="H375" i="7" s="1"/>
  <c r="I375" i="7" s="1"/>
  <c r="H376" i="7" a="1"/>
  <c r="H376" i="7" s="1"/>
  <c r="I376" i="7" s="1"/>
  <c r="H377" i="7" a="1"/>
  <c r="H377" i="7" s="1"/>
  <c r="I377" i="7" s="1"/>
  <c r="H378" i="7" a="1"/>
  <c r="H378" i="7" s="1"/>
  <c r="I378" i="7" s="1"/>
  <c r="H379" i="7" a="1"/>
  <c r="H379" i="7" s="1"/>
  <c r="I379" i="7" s="1"/>
  <c r="H380" i="7" a="1"/>
  <c r="H380" i="7" s="1"/>
  <c r="I380" i="7" s="1"/>
  <c r="H381" i="7" a="1"/>
  <c r="H381" i="7" s="1"/>
  <c r="I381" i="7" s="1"/>
  <c r="H382" i="7" a="1"/>
  <c r="H382" i="7" s="1"/>
  <c r="I382" i="7" s="1"/>
  <c r="H383" i="7" a="1"/>
  <c r="H383" i="7" s="1"/>
  <c r="I383" i="7" s="1"/>
  <c r="H384" i="7" a="1"/>
  <c r="H384" i="7" s="1"/>
  <c r="I384" i="7" s="1"/>
  <c r="H385" i="7" a="1"/>
  <c r="H385" i="7" s="1"/>
  <c r="I385" i="7" s="1"/>
  <c r="H386" i="7" a="1"/>
  <c r="H386" i="7" s="1"/>
  <c r="I386" i="7" s="1"/>
  <c r="H387" i="7" a="1"/>
  <c r="H387" i="7" s="1"/>
  <c r="I387" i="7" s="1"/>
  <c r="H388" i="7" a="1"/>
  <c r="H388" i="7" s="1"/>
  <c r="I388" i="7" s="1"/>
  <c r="H389" i="7" a="1"/>
  <c r="H389" i="7" s="1"/>
  <c r="I389" i="7" s="1"/>
  <c r="H390" i="7" a="1"/>
  <c r="H390" i="7" s="1"/>
  <c r="I390" i="7" s="1"/>
  <c r="H391" i="7" a="1"/>
  <c r="H391" i="7" s="1"/>
  <c r="I391" i="7" s="1"/>
  <c r="H392" i="7" a="1"/>
  <c r="H392" i="7" s="1"/>
  <c r="I392" i="7" s="1"/>
  <c r="H393" i="7" a="1"/>
  <c r="H393" i="7" s="1"/>
  <c r="I393" i="7" s="1"/>
  <c r="H394" i="7" a="1"/>
  <c r="H394" i="7" s="1"/>
  <c r="I394" i="7" s="1"/>
  <c r="H395" i="7" a="1"/>
  <c r="H395" i="7" s="1"/>
  <c r="I395" i="7" s="1"/>
  <c r="H396" i="7" a="1"/>
  <c r="H396" i="7" s="1"/>
  <c r="I396" i="7" s="1"/>
  <c r="H397" i="7" a="1"/>
  <c r="H397" i="7" s="1"/>
  <c r="I397" i="7" s="1"/>
  <c r="H398" i="7" a="1"/>
  <c r="H398" i="7" s="1"/>
  <c r="I398" i="7" s="1"/>
  <c r="H399" i="7" a="1"/>
  <c r="H399" i="7" s="1"/>
  <c r="I399" i="7" s="1"/>
  <c r="H400" i="7" a="1"/>
  <c r="H400" i="7" s="1"/>
  <c r="I400" i="7" s="1"/>
  <c r="H401" i="7" a="1"/>
  <c r="H401" i="7" s="1"/>
  <c r="I401" i="7" s="1"/>
  <c r="H402" i="7" a="1"/>
  <c r="H402" i="7" s="1"/>
  <c r="I402" i="7" s="1"/>
  <c r="H403" i="7" a="1"/>
  <c r="H403" i="7" s="1"/>
  <c r="I403" i="7" s="1"/>
  <c r="H404" i="7" a="1"/>
  <c r="H404" i="7" s="1"/>
  <c r="I404" i="7" s="1"/>
  <c r="H405" i="7" a="1"/>
  <c r="H405" i="7" s="1"/>
  <c r="I405" i="7" s="1"/>
  <c r="H406" i="7" a="1"/>
  <c r="H406" i="7" s="1"/>
  <c r="I406" i="7" s="1"/>
  <c r="H407" i="7" a="1"/>
  <c r="H407" i="7" s="1"/>
  <c r="I407" i="7" s="1"/>
  <c r="H408" i="7" a="1"/>
  <c r="H408" i="7" s="1"/>
  <c r="I408" i="7" s="1"/>
  <c r="H409" i="7" a="1"/>
  <c r="H409" i="7" s="1"/>
  <c r="I409" i="7" s="1"/>
  <c r="H410" i="7" a="1"/>
  <c r="H410" i="7" s="1"/>
  <c r="I410" i="7" s="1"/>
  <c r="H411" i="7" a="1"/>
  <c r="H411" i="7" s="1"/>
  <c r="I411" i="7" s="1"/>
  <c r="H412" i="7" a="1"/>
  <c r="H412" i="7" s="1"/>
  <c r="I412" i="7" s="1"/>
  <c r="H413" i="7" a="1"/>
  <c r="H413" i="7" s="1"/>
  <c r="I413" i="7" s="1"/>
  <c r="H414" i="7" a="1"/>
  <c r="H414" i="7" s="1"/>
  <c r="I414" i="7" s="1"/>
  <c r="H415" i="7" a="1"/>
  <c r="H415" i="7" s="1"/>
  <c r="I415" i="7" s="1"/>
  <c r="H416" i="7" a="1"/>
  <c r="H416" i="7" s="1"/>
  <c r="I416" i="7" s="1"/>
  <c r="H417" i="7" a="1"/>
  <c r="H417" i="7" s="1"/>
  <c r="I417" i="7" s="1"/>
  <c r="H418" i="7" a="1"/>
  <c r="H418" i="7" s="1"/>
  <c r="I418" i="7" s="1"/>
  <c r="H419" i="7" a="1"/>
  <c r="H419" i="7" s="1"/>
  <c r="I419" i="7" s="1"/>
  <c r="H420" i="7" a="1"/>
  <c r="H420" i="7" s="1"/>
  <c r="I420" i="7" s="1"/>
  <c r="H421" i="7" a="1"/>
  <c r="H421" i="7" s="1"/>
  <c r="I421" i="7" s="1"/>
  <c r="H422" i="7" a="1"/>
  <c r="H422" i="7" s="1"/>
  <c r="I422" i="7" s="1"/>
  <c r="H423" i="7" a="1"/>
  <c r="H423" i="7" s="1"/>
  <c r="I423" i="7" s="1"/>
  <c r="H424" i="7" a="1"/>
  <c r="H424" i="7" s="1"/>
  <c r="I424" i="7" s="1"/>
  <c r="H425" i="7" a="1"/>
  <c r="H425" i="7" s="1"/>
  <c r="I425" i="7" s="1"/>
  <c r="H426" i="7" a="1"/>
  <c r="H426" i="7" s="1"/>
  <c r="I426" i="7" s="1"/>
  <c r="H427" i="7" a="1"/>
  <c r="H427" i="7" s="1"/>
  <c r="I427" i="7" s="1"/>
  <c r="H428" i="7" a="1"/>
  <c r="H428" i="7" s="1"/>
  <c r="I428" i="7" s="1"/>
  <c r="H429" i="7" a="1"/>
  <c r="H429" i="7" s="1"/>
  <c r="I429" i="7" s="1"/>
  <c r="H430" i="7" a="1"/>
  <c r="H430" i="7" s="1"/>
  <c r="I430" i="7" s="1"/>
  <c r="H431" i="7" a="1"/>
  <c r="H431" i="7" s="1"/>
  <c r="I431" i="7" s="1"/>
  <c r="H432" i="7" a="1"/>
  <c r="H432" i="7" s="1"/>
  <c r="I432" i="7" s="1"/>
  <c r="H433" i="7" a="1"/>
  <c r="H433" i="7" s="1"/>
  <c r="I433" i="7" s="1"/>
  <c r="H434" i="7" a="1"/>
  <c r="H434" i="7" s="1"/>
  <c r="I434" i="7" s="1"/>
  <c r="H435" i="7" a="1"/>
  <c r="H435" i="7" s="1"/>
  <c r="I435" i="7" s="1"/>
  <c r="H436" i="7" a="1"/>
  <c r="H436" i="7" s="1"/>
  <c r="I436" i="7" s="1"/>
  <c r="H437" i="7" a="1"/>
  <c r="H437" i="7" s="1"/>
  <c r="I437" i="7" s="1"/>
  <c r="H438" i="7" a="1"/>
  <c r="H438" i="7" s="1"/>
  <c r="I438" i="7" s="1"/>
  <c r="H439" i="7" a="1"/>
  <c r="H439" i="7" s="1"/>
  <c r="I439" i="7" s="1"/>
  <c r="H440" i="7" a="1"/>
  <c r="H440" i="7" s="1"/>
  <c r="I440" i="7" s="1"/>
  <c r="H441" i="7" a="1"/>
  <c r="H441" i="7" s="1"/>
  <c r="I441" i="7" s="1"/>
  <c r="H442" i="7" a="1"/>
  <c r="H442" i="7" s="1"/>
  <c r="I442" i="7" s="1"/>
  <c r="H443" i="7" a="1"/>
  <c r="H443" i="7" s="1"/>
  <c r="I443" i="7" s="1"/>
  <c r="H444" i="7" a="1"/>
  <c r="H444" i="7" s="1"/>
  <c r="I444" i="7" s="1"/>
  <c r="H445" i="7" a="1"/>
  <c r="H445" i="7" s="1"/>
  <c r="I445" i="7" s="1"/>
  <c r="H446" i="7" a="1"/>
  <c r="H446" i="7" s="1"/>
  <c r="I446" i="7" s="1"/>
  <c r="H447" i="7" a="1"/>
  <c r="H447" i="7" s="1"/>
  <c r="I447" i="7" s="1"/>
  <c r="H448" i="7" a="1"/>
  <c r="H448" i="7" s="1"/>
  <c r="I448" i="7" s="1"/>
  <c r="H449" i="7" a="1"/>
  <c r="H449" i="7" s="1"/>
  <c r="I449" i="7" s="1"/>
  <c r="H450" i="7" a="1"/>
  <c r="H450" i="7" s="1"/>
  <c r="I450" i="7" s="1"/>
  <c r="H451" i="7" a="1"/>
  <c r="H451" i="7" s="1"/>
  <c r="I451" i="7" s="1"/>
  <c r="H452" i="7" a="1"/>
  <c r="H452" i="7" s="1"/>
  <c r="I452" i="7" s="1"/>
  <c r="H453" i="7" a="1"/>
  <c r="H453" i="7" s="1"/>
  <c r="I453" i="7" s="1"/>
  <c r="H454" i="7" a="1"/>
  <c r="H454" i="7" s="1"/>
  <c r="I454" i="7" s="1"/>
  <c r="H455" i="7" a="1"/>
  <c r="H455" i="7" s="1"/>
  <c r="I455" i="7" s="1"/>
  <c r="H456" i="7" a="1"/>
  <c r="H456" i="7" s="1"/>
  <c r="I456" i="7" s="1"/>
  <c r="H457" i="7" a="1"/>
  <c r="H457" i="7" s="1"/>
  <c r="I457" i="7" s="1"/>
  <c r="H458" i="7" a="1"/>
  <c r="H458" i="7" s="1"/>
  <c r="I458" i="7" s="1"/>
  <c r="H459" i="7" a="1"/>
  <c r="H459" i="7" s="1"/>
  <c r="I459" i="7" s="1"/>
  <c r="H460" i="7" a="1"/>
  <c r="H460" i="7" s="1"/>
  <c r="I460" i="7" s="1"/>
  <c r="H461" i="7" a="1"/>
  <c r="H461" i="7" s="1"/>
  <c r="I461" i="7" s="1"/>
  <c r="H462" i="7" a="1"/>
  <c r="H462" i="7" s="1"/>
  <c r="I462" i="7" s="1"/>
  <c r="H463" i="7" a="1"/>
  <c r="H463" i="7" s="1"/>
  <c r="I463" i="7" s="1"/>
  <c r="H464" i="7" a="1"/>
  <c r="H464" i="7" s="1"/>
  <c r="I464" i="7" s="1"/>
  <c r="H465" i="7" a="1"/>
  <c r="H465" i="7" s="1"/>
  <c r="I465" i="7" s="1"/>
  <c r="H466" i="7" a="1"/>
  <c r="H466" i="7" s="1"/>
  <c r="I466" i="7" s="1"/>
  <c r="H467" i="7" a="1"/>
  <c r="H467" i="7" s="1"/>
  <c r="I467" i="7" s="1"/>
  <c r="H468" i="7" a="1"/>
  <c r="H468" i="7" s="1"/>
  <c r="I468" i="7" s="1"/>
  <c r="H469" i="7" a="1"/>
  <c r="H469" i="7" s="1"/>
  <c r="I469" i="7" s="1"/>
  <c r="H470" i="7" a="1"/>
  <c r="H470" i="7" s="1"/>
  <c r="I470" i="7" s="1"/>
  <c r="H471" i="7" a="1"/>
  <c r="H471" i="7" s="1"/>
  <c r="I471" i="7" s="1"/>
  <c r="H472" i="7" a="1"/>
  <c r="H472" i="7" s="1"/>
  <c r="I472" i="7" s="1"/>
  <c r="H473" i="7" a="1"/>
  <c r="H473" i="7" s="1"/>
  <c r="I473" i="7" s="1"/>
  <c r="H474" i="7" a="1"/>
  <c r="H474" i="7" s="1"/>
  <c r="I474" i="7" s="1"/>
  <c r="H475" i="7" a="1"/>
  <c r="H475" i="7" s="1"/>
  <c r="I475" i="7" s="1"/>
  <c r="H476" i="7" a="1"/>
  <c r="H476" i="7" s="1"/>
  <c r="I476" i="7" s="1"/>
  <c r="H477" i="7" a="1"/>
  <c r="H477" i="7" s="1"/>
  <c r="I477" i="7" s="1"/>
  <c r="H478" i="7" a="1"/>
  <c r="H478" i="7" s="1"/>
  <c r="I478" i="7" s="1"/>
  <c r="H479" i="7" a="1"/>
  <c r="H479" i="7" s="1"/>
  <c r="I479" i="7" s="1"/>
  <c r="H480" i="7" a="1"/>
  <c r="H480" i="7" s="1"/>
  <c r="I480" i="7" s="1"/>
  <c r="H481" i="7" a="1"/>
  <c r="H481" i="7" s="1"/>
  <c r="I481" i="7" s="1"/>
  <c r="H482" i="7" a="1"/>
  <c r="H482" i="7" s="1"/>
  <c r="I482" i="7" s="1"/>
  <c r="H483" i="7" a="1"/>
  <c r="H483" i="7" s="1"/>
  <c r="I483" i="7" s="1"/>
  <c r="H484" i="7" a="1"/>
  <c r="H484" i="7" s="1"/>
  <c r="I484" i="7" s="1"/>
  <c r="H485" i="7" a="1"/>
  <c r="H485" i="7" s="1"/>
  <c r="I485" i="7" s="1"/>
  <c r="H486" i="7" a="1"/>
  <c r="H486" i="7" s="1"/>
  <c r="I486" i="7" s="1"/>
  <c r="H487" i="7" a="1"/>
  <c r="H487" i="7" s="1"/>
  <c r="I487" i="7" s="1"/>
  <c r="H488" i="7" a="1"/>
  <c r="H488" i="7" s="1"/>
  <c r="I488" i="7" s="1"/>
  <c r="H489" i="7" a="1"/>
  <c r="H489" i="7" s="1"/>
  <c r="I489" i="7" s="1"/>
  <c r="H490" i="7" a="1"/>
  <c r="H490" i="7" s="1"/>
  <c r="I490" i="7" s="1"/>
  <c r="H491" i="7" a="1"/>
  <c r="H491" i="7" s="1"/>
  <c r="I491" i="7" s="1"/>
  <c r="H492" i="7" a="1"/>
  <c r="H492" i="7" s="1"/>
  <c r="I492" i="7" s="1"/>
  <c r="H493" i="7" a="1"/>
  <c r="H493" i="7" s="1"/>
  <c r="I493" i="7" s="1"/>
  <c r="H494" i="7" a="1"/>
  <c r="H494" i="7" s="1"/>
  <c r="I494" i="7" s="1"/>
  <c r="H495" i="7" a="1"/>
  <c r="H495" i="7" s="1"/>
  <c r="I495" i="7" s="1"/>
  <c r="H496" i="7" a="1"/>
  <c r="H496" i="7" s="1"/>
  <c r="I496" i="7" s="1"/>
  <c r="H497" i="7" a="1"/>
  <c r="H497" i="7" s="1"/>
  <c r="I497" i="7" s="1"/>
  <c r="H498" i="7" a="1"/>
  <c r="H498" i="7" s="1"/>
  <c r="I498" i="7" s="1"/>
  <c r="H499" i="7" a="1"/>
  <c r="H499" i="7" s="1"/>
  <c r="I499" i="7" s="1"/>
  <c r="H500" i="7" a="1"/>
  <c r="H500" i="7" s="1"/>
  <c r="I500" i="7" s="1"/>
  <c r="H501" i="7" a="1"/>
  <c r="H501" i="7" s="1"/>
  <c r="I501" i="7" s="1"/>
  <c r="H502" i="7" a="1"/>
  <c r="H502" i="7" s="1"/>
  <c r="I502" i="7" s="1"/>
  <c r="H503" i="7" a="1"/>
  <c r="H503" i="7" s="1"/>
  <c r="I503" i="7" s="1"/>
  <c r="H504" i="7" a="1"/>
  <c r="H504" i="7" s="1"/>
  <c r="I504" i="7" s="1"/>
  <c r="H505" i="7" a="1"/>
  <c r="H505" i="7" s="1"/>
  <c r="I505" i="7" s="1"/>
  <c r="H506" i="7" a="1"/>
  <c r="H506" i="7" s="1"/>
  <c r="I506" i="7" s="1"/>
  <c r="H507" i="7" a="1"/>
  <c r="H507" i="7" s="1"/>
  <c r="I507" i="7" s="1"/>
  <c r="H508" i="7" a="1"/>
  <c r="H508" i="7" s="1"/>
  <c r="I508" i="7" s="1"/>
  <c r="H509" i="7" a="1"/>
  <c r="H509" i="7" s="1"/>
  <c r="I509" i="7" s="1"/>
  <c r="H510" i="7" a="1"/>
  <c r="H510" i="7" s="1"/>
  <c r="I510" i="7" s="1"/>
  <c r="H511" i="7" a="1"/>
  <c r="H511" i="7" s="1"/>
  <c r="I511" i="7" s="1"/>
  <c r="H512" i="7" a="1"/>
  <c r="H512" i="7" s="1"/>
  <c r="I512" i="7" s="1"/>
  <c r="H513" i="7" a="1"/>
  <c r="H513" i="7" s="1"/>
  <c r="I513" i="7" s="1"/>
  <c r="H514" i="7" a="1"/>
  <c r="H514" i="7" s="1"/>
  <c r="I514" i="7" s="1"/>
  <c r="H515" i="7" a="1"/>
  <c r="H515" i="7" s="1"/>
  <c r="I515" i="7" s="1"/>
  <c r="H516" i="7" a="1"/>
  <c r="H516" i="7" s="1"/>
  <c r="I516" i="7" s="1"/>
  <c r="H517" i="7" a="1"/>
  <c r="H517" i="7" s="1"/>
  <c r="I517" i="7" s="1"/>
  <c r="H518" i="7" a="1"/>
  <c r="H518" i="7" s="1"/>
  <c r="I518" i="7" s="1"/>
  <c r="H519" i="7" a="1"/>
  <c r="H519" i="7" s="1"/>
  <c r="I519" i="7" s="1"/>
  <c r="H520" i="7" a="1"/>
  <c r="H520" i="7" s="1"/>
  <c r="I520" i="7" s="1"/>
  <c r="H521" i="7" a="1"/>
  <c r="H521" i="7" s="1"/>
  <c r="I521" i="7" s="1"/>
  <c r="H522" i="7" a="1"/>
  <c r="H522" i="7" s="1"/>
  <c r="I522" i="7" s="1"/>
  <c r="H523" i="7" a="1"/>
  <c r="H523" i="7" s="1"/>
  <c r="I523" i="7" s="1"/>
  <c r="H524" i="7" a="1"/>
  <c r="H524" i="7" s="1"/>
  <c r="I524" i="7" s="1"/>
  <c r="H525" i="7" a="1"/>
  <c r="H525" i="7" s="1"/>
  <c r="I525" i="7" s="1"/>
  <c r="H526" i="7" a="1"/>
  <c r="H526" i="7" s="1"/>
  <c r="I526" i="7" s="1"/>
  <c r="H527" i="7" a="1"/>
  <c r="H527" i="7" s="1"/>
  <c r="I527" i="7" s="1"/>
  <c r="H528" i="7" a="1"/>
  <c r="H528" i="7" s="1"/>
  <c r="I528" i="7" s="1"/>
  <c r="H529" i="7" a="1"/>
  <c r="H529" i="7" s="1"/>
  <c r="I529" i="7" s="1"/>
  <c r="H530" i="7" a="1"/>
  <c r="H530" i="7" s="1"/>
  <c r="I530" i="7" s="1"/>
  <c r="H531" i="7" a="1"/>
  <c r="H531" i="7" s="1"/>
  <c r="I531" i="7" s="1"/>
  <c r="H532" i="7" a="1"/>
  <c r="H532" i="7" s="1"/>
  <c r="I532" i="7" s="1"/>
  <c r="H533" i="7" a="1"/>
  <c r="H533" i="7" s="1"/>
  <c r="I533" i="7" s="1"/>
  <c r="H534" i="7" a="1"/>
  <c r="H534" i="7" s="1"/>
  <c r="I534" i="7" s="1"/>
  <c r="H535" i="7" a="1"/>
  <c r="H535" i="7" s="1"/>
  <c r="I535" i="7" s="1"/>
  <c r="H536" i="7" a="1"/>
  <c r="H536" i="7" s="1"/>
  <c r="I536" i="7" s="1"/>
  <c r="H537" i="7" a="1"/>
  <c r="H537" i="7" s="1"/>
  <c r="I537" i="7" s="1"/>
  <c r="H538" i="7" a="1"/>
  <c r="H538" i="7" s="1"/>
  <c r="I538" i="7" s="1"/>
  <c r="H539" i="7" a="1"/>
  <c r="H539" i="7" s="1"/>
  <c r="I539" i="7" s="1"/>
  <c r="H540" i="7" a="1"/>
  <c r="H540" i="7" s="1"/>
  <c r="I540" i="7" s="1"/>
  <c r="H541" i="7" a="1"/>
  <c r="H541" i="7" s="1"/>
  <c r="I541" i="7" s="1"/>
  <c r="H542" i="7" a="1"/>
  <c r="H542" i="7" s="1"/>
  <c r="I542" i="7" s="1"/>
  <c r="H543" i="7" a="1"/>
  <c r="H543" i="7" s="1"/>
  <c r="I543" i="7" s="1"/>
  <c r="H544" i="7" a="1"/>
  <c r="H544" i="7" s="1"/>
  <c r="I544" i="7" s="1"/>
  <c r="H545" i="7" a="1"/>
  <c r="H545" i="7" s="1"/>
  <c r="I545" i="7" s="1"/>
  <c r="H546" i="7" a="1"/>
  <c r="H546" i="7" s="1"/>
  <c r="I546" i="7" s="1"/>
  <c r="H547" i="7" a="1"/>
  <c r="H547" i="7" s="1"/>
  <c r="I547" i="7" s="1"/>
  <c r="H548" i="7" a="1"/>
  <c r="H548" i="7" s="1"/>
  <c r="I548" i="7" s="1"/>
  <c r="H549" i="7" a="1"/>
  <c r="H549" i="7" s="1"/>
  <c r="I549" i="7" s="1"/>
  <c r="H550" i="7" a="1"/>
  <c r="H550" i="7" s="1"/>
  <c r="I550" i="7" s="1"/>
  <c r="H551" i="7" a="1"/>
  <c r="H551" i="7" s="1"/>
  <c r="I551" i="7" s="1"/>
  <c r="H552" i="7" a="1"/>
  <c r="H552" i="7" s="1"/>
  <c r="I552" i="7" s="1"/>
  <c r="H553" i="7" a="1"/>
  <c r="H553" i="7" s="1"/>
  <c r="I553" i="7" s="1"/>
  <c r="H554" i="7" a="1"/>
  <c r="H554" i="7" s="1"/>
  <c r="I554" i="7" s="1"/>
  <c r="H555" i="7" a="1"/>
  <c r="H555" i="7" s="1"/>
  <c r="I555" i="7" s="1"/>
  <c r="H556" i="7" a="1"/>
  <c r="H556" i="7" s="1"/>
  <c r="I556" i="7" s="1"/>
  <c r="H557" i="7" a="1"/>
  <c r="H557" i="7" s="1"/>
  <c r="I557" i="7" s="1"/>
  <c r="H558" i="7" a="1"/>
  <c r="H558" i="7" s="1"/>
  <c r="I558" i="7" s="1"/>
  <c r="H559" i="7" a="1"/>
  <c r="H559" i="7" s="1"/>
  <c r="I559" i="7" s="1"/>
  <c r="H560" i="7" a="1"/>
  <c r="H560" i="7" s="1"/>
  <c r="I560" i="7" s="1"/>
  <c r="H561" i="7" a="1"/>
  <c r="H561" i="7" s="1"/>
  <c r="I561" i="7" s="1"/>
  <c r="H562" i="7" a="1"/>
  <c r="H562" i="7" s="1"/>
  <c r="I562" i="7" s="1"/>
  <c r="H563" i="7" a="1"/>
  <c r="H563" i="7" s="1"/>
  <c r="I563" i="7" s="1"/>
  <c r="H564" i="7" a="1"/>
  <c r="H564" i="7" s="1"/>
  <c r="I564" i="7" s="1"/>
  <c r="H565" i="7" a="1"/>
  <c r="H565" i="7" s="1"/>
  <c r="I565" i="7" s="1"/>
  <c r="H566" i="7" a="1"/>
  <c r="H566" i="7" s="1"/>
  <c r="I566" i="7" s="1"/>
  <c r="H567" i="7" a="1"/>
  <c r="H567" i="7" s="1"/>
  <c r="I567" i="7" s="1"/>
  <c r="H568" i="7" a="1"/>
  <c r="H568" i="7" s="1"/>
  <c r="I568" i="7" s="1"/>
  <c r="H569" i="7" a="1"/>
  <c r="H569" i="7" s="1"/>
  <c r="I569" i="7" s="1"/>
  <c r="H570" i="7" a="1"/>
  <c r="H570" i="7" s="1"/>
  <c r="I570" i="7" s="1"/>
  <c r="H571" i="7" a="1"/>
  <c r="H571" i="7" s="1"/>
  <c r="I571" i="7" s="1"/>
  <c r="H572" i="7" a="1"/>
  <c r="H572" i="7" s="1"/>
  <c r="I572" i="7" s="1"/>
  <c r="H573" i="7" a="1"/>
  <c r="H573" i="7" s="1"/>
  <c r="I573" i="7" s="1"/>
  <c r="H574" i="7" a="1"/>
  <c r="H574" i="7" s="1"/>
  <c r="I574" i="7" s="1"/>
  <c r="H575" i="7" a="1"/>
  <c r="H575" i="7" s="1"/>
  <c r="I575" i="7" s="1"/>
  <c r="H576" i="7" a="1"/>
  <c r="H576" i="7" s="1"/>
  <c r="I576" i="7" s="1"/>
  <c r="H577" i="7" a="1"/>
  <c r="H577" i="7" s="1"/>
  <c r="I577" i="7" s="1"/>
  <c r="H578" i="7" a="1"/>
  <c r="H578" i="7" s="1"/>
  <c r="I578" i="7" s="1"/>
  <c r="H579" i="7" a="1"/>
  <c r="H579" i="7" s="1"/>
  <c r="I579" i="7" s="1"/>
  <c r="H580" i="7" a="1"/>
  <c r="H580" i="7" s="1"/>
  <c r="I580" i="7" s="1"/>
  <c r="H581" i="7" a="1"/>
  <c r="H581" i="7" s="1"/>
  <c r="I581" i="7" s="1"/>
  <c r="H582" i="7" a="1"/>
  <c r="H582" i="7" s="1"/>
  <c r="I582" i="7" s="1"/>
  <c r="H583" i="7" a="1"/>
  <c r="H583" i="7" s="1"/>
  <c r="I583" i="7" s="1"/>
  <c r="H584" i="7" a="1"/>
  <c r="H584" i="7" s="1"/>
  <c r="I584" i="7" s="1"/>
  <c r="H585" i="7" a="1"/>
  <c r="H585" i="7" s="1"/>
  <c r="I585" i="7" s="1"/>
  <c r="H586" i="7" a="1"/>
  <c r="H586" i="7" s="1"/>
  <c r="I586" i="7" s="1"/>
  <c r="H587" i="7" a="1"/>
  <c r="H587" i="7" s="1"/>
  <c r="I587" i="7" s="1"/>
  <c r="H588" i="7" a="1"/>
  <c r="H588" i="7" s="1"/>
  <c r="I588" i="7" s="1"/>
  <c r="H589" i="7" a="1"/>
  <c r="H589" i="7" s="1"/>
  <c r="I589" i="7" s="1"/>
  <c r="H590" i="7" a="1"/>
  <c r="H590" i="7" s="1"/>
  <c r="I590" i="7" s="1"/>
  <c r="H591" i="7" a="1"/>
  <c r="H591" i="7" s="1"/>
  <c r="I591" i="7" s="1"/>
  <c r="H592" i="7" a="1"/>
  <c r="H592" i="7" s="1"/>
  <c r="I592" i="7" s="1"/>
  <c r="H593" i="7" a="1"/>
  <c r="H593" i="7" s="1"/>
  <c r="I593" i="7" s="1"/>
  <c r="H594" i="7" a="1"/>
  <c r="H594" i="7" s="1"/>
  <c r="I594" i="7" s="1"/>
  <c r="H595" i="7" a="1"/>
  <c r="H595" i="7" s="1"/>
  <c r="I595" i="7" s="1"/>
  <c r="H596" i="7" a="1"/>
  <c r="H596" i="7" s="1"/>
  <c r="I596" i="7" s="1"/>
  <c r="H597" i="7" a="1"/>
  <c r="H597" i="7" s="1"/>
  <c r="I597" i="7" s="1"/>
  <c r="H598" i="7" a="1"/>
  <c r="H598" i="7" s="1"/>
  <c r="I598" i="7" s="1"/>
  <c r="H599" i="7" a="1"/>
  <c r="H599" i="7" s="1"/>
  <c r="I599" i="7" s="1"/>
  <c r="H600" i="7" a="1"/>
  <c r="H600" i="7" s="1"/>
  <c r="I600" i="7" s="1"/>
  <c r="H601" i="7" a="1"/>
  <c r="H601" i="7" s="1"/>
  <c r="I601" i="7" s="1"/>
  <c r="H602" i="7" a="1"/>
  <c r="H602" i="7" s="1"/>
  <c r="I602" i="7" s="1"/>
  <c r="H603" i="7" a="1"/>
  <c r="H603" i="7" s="1"/>
  <c r="I603" i="7" s="1"/>
  <c r="H604" i="7" a="1"/>
  <c r="H604" i="7" s="1"/>
  <c r="I604" i="7" s="1"/>
  <c r="H605" i="7" a="1"/>
  <c r="H605" i="7" s="1"/>
  <c r="I605" i="7" s="1"/>
  <c r="H606" i="7" a="1"/>
  <c r="H606" i="7" s="1"/>
  <c r="I606" i="7" s="1"/>
  <c r="H607" i="7" a="1"/>
  <c r="H607" i="7" s="1"/>
  <c r="I607" i="7" s="1"/>
  <c r="H608" i="7" a="1"/>
  <c r="H608" i="7" s="1"/>
  <c r="I608" i="7" s="1"/>
  <c r="H609" i="7" a="1"/>
  <c r="H609" i="7" s="1"/>
  <c r="I609" i="7" s="1"/>
  <c r="H610" i="7" a="1"/>
  <c r="H610" i="7" s="1"/>
  <c r="I610" i="7" s="1"/>
  <c r="H611" i="7" a="1"/>
  <c r="H611" i="7" s="1"/>
  <c r="I611" i="7" s="1"/>
  <c r="H612" i="7" a="1"/>
  <c r="H612" i="7" s="1"/>
  <c r="I612" i="7" s="1"/>
  <c r="H613" i="7" a="1"/>
  <c r="H613" i="7" s="1"/>
  <c r="I613" i="7" s="1"/>
  <c r="H614" i="7" a="1"/>
  <c r="H614" i="7" s="1"/>
  <c r="I614" i="7" s="1"/>
  <c r="H615" i="7" a="1"/>
  <c r="H615" i="7" s="1"/>
  <c r="I615" i="7" s="1"/>
  <c r="H616" i="7" a="1"/>
  <c r="H616" i="7" s="1"/>
  <c r="I616" i="7" s="1"/>
  <c r="H617" i="7" a="1"/>
  <c r="H617" i="7" s="1"/>
  <c r="I617" i="7" s="1"/>
  <c r="H618" i="7" a="1"/>
  <c r="H618" i="7" s="1"/>
  <c r="I618" i="7" s="1"/>
  <c r="H619" i="7" a="1"/>
  <c r="H619" i="7" s="1"/>
  <c r="I619" i="7" s="1"/>
  <c r="H620" i="7" a="1"/>
  <c r="H620" i="7" s="1"/>
  <c r="I620" i="7" s="1"/>
  <c r="H621" i="7" a="1"/>
  <c r="H621" i="7" s="1"/>
  <c r="I621" i="7" s="1"/>
  <c r="H622" i="7" a="1"/>
  <c r="H622" i="7" s="1"/>
  <c r="I622" i="7" s="1"/>
  <c r="H623" i="7" a="1"/>
  <c r="H623" i="7" s="1"/>
  <c r="I623" i="7" s="1"/>
  <c r="H624" i="7" a="1"/>
  <c r="H624" i="7" s="1"/>
  <c r="I624" i="7" s="1"/>
  <c r="H625" i="7" a="1"/>
  <c r="H625" i="7" s="1"/>
  <c r="I625" i="7" s="1"/>
  <c r="H626" i="7" a="1"/>
  <c r="H626" i="7" s="1"/>
  <c r="I626" i="7" s="1"/>
  <c r="H627" i="7" a="1"/>
  <c r="H627" i="7" s="1"/>
  <c r="I627" i="7" s="1"/>
  <c r="H628" i="7" a="1"/>
  <c r="H628" i="7" s="1"/>
  <c r="I628" i="7" s="1"/>
  <c r="H629" i="7" a="1"/>
  <c r="H629" i="7" s="1"/>
  <c r="I629" i="7" s="1"/>
  <c r="H630" i="7" a="1"/>
  <c r="H630" i="7" s="1"/>
  <c r="I630" i="7" s="1"/>
  <c r="H631" i="7" a="1"/>
  <c r="H631" i="7" s="1"/>
  <c r="I631" i="7" s="1"/>
  <c r="L2" i="5"/>
  <c r="M2" i="5" s="1"/>
  <c r="F7" i="9" l="1"/>
  <c r="F2" i="9"/>
  <c r="F3" i="9"/>
  <c r="F4" i="9"/>
  <c r="F5" i="9"/>
  <c r="F6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L3" i="5"/>
  <c r="M3" i="5" s="1"/>
  <c r="L4" i="5"/>
  <c r="M4" i="5" s="1"/>
  <c r="L5" i="5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M139" i="5" s="1"/>
  <c r="L140" i="5"/>
  <c r="M140" i="5" s="1"/>
  <c r="L141" i="5"/>
  <c r="M141" i="5" s="1"/>
  <c r="L142" i="5"/>
  <c r="M142" i="5" s="1"/>
  <c r="L143" i="5"/>
  <c r="M143" i="5" s="1"/>
  <c r="L144" i="5"/>
  <c r="M144" i="5" s="1"/>
  <c r="L145" i="5"/>
  <c r="M145" i="5" s="1"/>
  <c r="L146" i="5"/>
  <c r="M146" i="5" s="1"/>
  <c r="L147" i="5"/>
  <c r="M147" i="5" s="1"/>
  <c r="L148" i="5"/>
  <c r="M148" i="5" s="1"/>
  <c r="L149" i="5"/>
  <c r="M149" i="5" s="1"/>
  <c r="L150" i="5"/>
  <c r="M150" i="5" s="1"/>
  <c r="L151" i="5"/>
  <c r="M151" i="5" s="1"/>
  <c r="L152" i="5"/>
  <c r="M152" i="5" s="1"/>
  <c r="L153" i="5"/>
  <c r="M153" i="5" s="1"/>
  <c r="L154" i="5"/>
  <c r="M154" i="5" s="1"/>
  <c r="L155" i="5"/>
  <c r="M155" i="5" s="1"/>
  <c r="L156" i="5"/>
  <c r="M156" i="5" s="1"/>
  <c r="L157" i="5"/>
  <c r="M157" i="5" s="1"/>
  <c r="L158" i="5"/>
  <c r="M158" i="5" s="1"/>
  <c r="L159" i="5"/>
  <c r="M159" i="5" s="1"/>
  <c r="L160" i="5"/>
  <c r="M160" i="5" s="1"/>
  <c r="L161" i="5"/>
  <c r="M161" i="5" s="1"/>
  <c r="L162" i="5"/>
  <c r="M162" i="5" s="1"/>
  <c r="L163" i="5"/>
  <c r="M163" i="5" s="1"/>
  <c r="L164" i="5"/>
  <c r="M164" i="5" s="1"/>
  <c r="L165" i="5"/>
  <c r="M165" i="5" s="1"/>
  <c r="L166" i="5"/>
  <c r="M166" i="5" s="1"/>
  <c r="L167" i="5"/>
  <c r="M167" i="5" s="1"/>
  <c r="L168" i="5"/>
  <c r="M168" i="5" s="1"/>
  <c r="L169" i="5"/>
  <c r="M169" i="5" s="1"/>
  <c r="L170" i="5"/>
  <c r="M170" i="5" s="1"/>
  <c r="L171" i="5"/>
  <c r="M171" i="5" s="1"/>
  <c r="L172" i="5"/>
  <c r="M172" i="5" s="1"/>
  <c r="L173" i="5"/>
  <c r="M173" i="5" s="1"/>
  <c r="L174" i="5"/>
  <c r="M174" i="5" s="1"/>
  <c r="L175" i="5"/>
  <c r="M175" i="5" s="1"/>
  <c r="L176" i="5"/>
  <c r="M176" i="5" s="1"/>
  <c r="L177" i="5"/>
  <c r="M177" i="5" s="1"/>
  <c r="L178" i="5"/>
  <c r="M178" i="5" s="1"/>
  <c r="L179" i="5"/>
  <c r="M179" i="5" s="1"/>
  <c r="L180" i="5"/>
  <c r="M180" i="5" s="1"/>
  <c r="L181" i="5"/>
  <c r="M181" i="5" s="1"/>
  <c r="L182" i="5"/>
  <c r="M182" i="5" s="1"/>
  <c r="L183" i="5"/>
  <c r="M183" i="5" s="1"/>
  <c r="L184" i="5"/>
  <c r="M184" i="5" s="1"/>
  <c r="L185" i="5"/>
  <c r="M185" i="5" s="1"/>
  <c r="L186" i="5"/>
  <c r="M186" i="5" s="1"/>
  <c r="L187" i="5"/>
  <c r="M187" i="5" s="1"/>
  <c r="L188" i="5"/>
  <c r="M188" i="5" s="1"/>
  <c r="L189" i="5"/>
  <c r="M189" i="5" s="1"/>
  <c r="L190" i="5"/>
  <c r="M190" i="5" s="1"/>
  <c r="L191" i="5"/>
  <c r="M191" i="5" s="1"/>
  <c r="L192" i="5"/>
  <c r="M192" i="5" s="1"/>
  <c r="L193" i="5"/>
  <c r="M193" i="5" s="1"/>
  <c r="L194" i="5"/>
  <c r="M194" i="5" s="1"/>
  <c r="L195" i="5"/>
  <c r="M195" i="5" s="1"/>
  <c r="L196" i="5"/>
  <c r="M196" i="5" s="1"/>
  <c r="L197" i="5"/>
  <c r="M197" i="5" s="1"/>
  <c r="L198" i="5"/>
  <c r="M198" i="5" s="1"/>
  <c r="L199" i="5"/>
  <c r="M199" i="5" s="1"/>
  <c r="L200" i="5"/>
  <c r="M200" i="5" s="1"/>
  <c r="L201" i="5"/>
  <c r="M201" i="5" s="1"/>
  <c r="L202" i="5"/>
  <c r="M202" i="5" s="1"/>
  <c r="L203" i="5"/>
  <c r="M203" i="5" s="1"/>
  <c r="L204" i="5"/>
  <c r="M204" i="5" s="1"/>
  <c r="L205" i="5"/>
  <c r="M205" i="5" s="1"/>
  <c r="L206" i="5"/>
  <c r="M206" i="5" s="1"/>
  <c r="L207" i="5"/>
  <c r="M207" i="5" s="1"/>
  <c r="L208" i="5"/>
  <c r="M208" i="5" s="1"/>
  <c r="L209" i="5"/>
  <c r="M209" i="5" s="1"/>
  <c r="L210" i="5"/>
  <c r="M210" i="5" s="1"/>
  <c r="L211" i="5"/>
  <c r="M211" i="5" s="1"/>
  <c r="L212" i="5"/>
  <c r="M212" i="5" s="1"/>
  <c r="L213" i="5"/>
  <c r="M213" i="5" s="1"/>
  <c r="L214" i="5"/>
  <c r="M214" i="5" s="1"/>
  <c r="L215" i="5"/>
  <c r="M215" i="5" s="1"/>
  <c r="L216" i="5"/>
  <c r="M216" i="5" s="1"/>
  <c r="L217" i="5"/>
  <c r="M217" i="5" s="1"/>
  <c r="L218" i="5"/>
  <c r="M218" i="5" s="1"/>
  <c r="L219" i="5"/>
  <c r="M219" i="5" s="1"/>
  <c r="L220" i="5"/>
  <c r="M220" i="5" s="1"/>
  <c r="L221" i="5"/>
  <c r="M221" i="5" s="1"/>
  <c r="L222" i="5"/>
  <c r="M222" i="5" s="1"/>
  <c r="L223" i="5"/>
  <c r="M223" i="5" s="1"/>
  <c r="L224" i="5"/>
  <c r="M224" i="5" s="1"/>
  <c r="L225" i="5"/>
  <c r="M225" i="5" s="1"/>
  <c r="L226" i="5"/>
  <c r="M226" i="5" s="1"/>
  <c r="L227" i="5"/>
  <c r="M227" i="5" s="1"/>
  <c r="L228" i="5"/>
  <c r="M228" i="5" s="1"/>
  <c r="L229" i="5"/>
  <c r="M229" i="5" s="1"/>
  <c r="L230" i="5"/>
  <c r="M230" i="5" s="1"/>
  <c r="L231" i="5"/>
  <c r="M231" i="5" s="1"/>
  <c r="L232" i="5"/>
  <c r="M232" i="5" s="1"/>
  <c r="L233" i="5"/>
  <c r="M233" i="5" s="1"/>
  <c r="L234" i="5"/>
  <c r="M234" i="5" s="1"/>
  <c r="L235" i="5"/>
  <c r="M235" i="5" s="1"/>
  <c r="L236" i="5"/>
  <c r="M236" i="5" s="1"/>
  <c r="L237" i="5"/>
  <c r="M237" i="5" s="1"/>
  <c r="L238" i="5"/>
  <c r="M238" i="5" s="1"/>
  <c r="L239" i="5"/>
  <c r="M239" i="5" s="1"/>
  <c r="L240" i="5"/>
  <c r="M240" i="5" s="1"/>
  <c r="L241" i="5"/>
  <c r="M241" i="5" s="1"/>
  <c r="L242" i="5"/>
  <c r="M242" i="5" s="1"/>
  <c r="L243" i="5"/>
  <c r="M243" i="5" s="1"/>
  <c r="L244" i="5"/>
  <c r="M244" i="5" s="1"/>
  <c r="L245" i="5"/>
  <c r="M245" i="5" s="1"/>
  <c r="L246" i="5"/>
  <c r="M246" i="5" s="1"/>
  <c r="L247" i="5"/>
  <c r="M247" i="5" s="1"/>
  <c r="L248" i="5"/>
  <c r="M248" i="5" s="1"/>
  <c r="L249" i="5"/>
  <c r="M249" i="5" s="1"/>
  <c r="L250" i="5"/>
  <c r="M250" i="5" s="1"/>
  <c r="L251" i="5"/>
  <c r="M251" i="5" s="1"/>
  <c r="L252" i="5"/>
  <c r="M252" i="5" s="1"/>
  <c r="L253" i="5"/>
  <c r="M253" i="5" s="1"/>
  <c r="L254" i="5"/>
  <c r="M254" i="5" s="1"/>
  <c r="L255" i="5"/>
  <c r="M255" i="5" s="1"/>
  <c r="L256" i="5"/>
  <c r="M256" i="5" s="1"/>
  <c r="L257" i="5"/>
  <c r="M257" i="5" s="1"/>
  <c r="L258" i="5"/>
  <c r="M258" i="5" s="1"/>
  <c r="L259" i="5"/>
  <c r="M259" i="5" s="1"/>
  <c r="L260" i="5"/>
  <c r="M260" i="5" s="1"/>
  <c r="L261" i="5"/>
  <c r="M261" i="5" s="1"/>
  <c r="L262" i="5"/>
  <c r="M262" i="5" s="1"/>
  <c r="L263" i="5"/>
  <c r="M263" i="5" s="1"/>
  <c r="L264" i="5"/>
  <c r="M264" i="5" s="1"/>
  <c r="L265" i="5"/>
  <c r="M265" i="5" s="1"/>
  <c r="L266" i="5"/>
  <c r="M266" i="5" s="1"/>
  <c r="L267" i="5"/>
  <c r="M267" i="5" s="1"/>
  <c r="L268" i="5"/>
  <c r="M268" i="5" s="1"/>
  <c r="L269" i="5"/>
  <c r="M269" i="5" s="1"/>
  <c r="L270" i="5"/>
  <c r="M270" i="5" s="1"/>
  <c r="L271" i="5"/>
  <c r="M271" i="5" s="1"/>
  <c r="L272" i="5"/>
  <c r="M272" i="5" s="1"/>
  <c r="L273" i="5"/>
  <c r="M273" i="5" s="1"/>
  <c r="L274" i="5"/>
  <c r="M274" i="5" s="1"/>
  <c r="L275" i="5"/>
  <c r="M275" i="5" s="1"/>
  <c r="L276" i="5"/>
  <c r="M276" i="5" s="1"/>
  <c r="L277" i="5"/>
  <c r="M277" i="5" s="1"/>
  <c r="L278" i="5"/>
  <c r="M278" i="5" s="1"/>
  <c r="L279" i="5"/>
  <c r="M279" i="5" s="1"/>
  <c r="L280" i="5"/>
  <c r="M280" i="5" s="1"/>
  <c r="L281" i="5"/>
  <c r="M281" i="5" s="1"/>
  <c r="L282" i="5"/>
  <c r="M282" i="5" s="1"/>
  <c r="L283" i="5"/>
  <c r="M283" i="5" s="1"/>
  <c r="L284" i="5"/>
  <c r="M284" i="5" s="1"/>
  <c r="L285" i="5"/>
  <c r="M285" i="5" s="1"/>
  <c r="L286" i="5"/>
  <c r="M286" i="5" s="1"/>
  <c r="L287" i="5"/>
  <c r="M287" i="5" s="1"/>
  <c r="L288" i="5"/>
  <c r="M288" i="5" s="1"/>
  <c r="L289" i="5"/>
  <c r="M289" i="5" s="1"/>
  <c r="L290" i="5"/>
  <c r="M290" i="5" s="1"/>
  <c r="L291" i="5"/>
  <c r="M291" i="5" s="1"/>
  <c r="L292" i="5"/>
  <c r="M292" i="5" s="1"/>
  <c r="L293" i="5"/>
  <c r="M293" i="5" s="1"/>
  <c r="L294" i="5"/>
  <c r="M294" i="5" s="1"/>
  <c r="L295" i="5"/>
  <c r="M295" i="5" s="1"/>
  <c r="L296" i="5"/>
  <c r="M296" i="5" s="1"/>
  <c r="L297" i="5"/>
  <c r="M297" i="5" s="1"/>
  <c r="L298" i="5"/>
  <c r="M298" i="5" s="1"/>
  <c r="L299" i="5"/>
  <c r="M299" i="5" s="1"/>
  <c r="L300" i="5"/>
  <c r="M300" i="5" s="1"/>
  <c r="L301" i="5"/>
  <c r="M301" i="5" s="1"/>
  <c r="L302" i="5"/>
  <c r="M302" i="5" s="1"/>
  <c r="L303" i="5"/>
  <c r="M303" i="5" s="1"/>
  <c r="L304" i="5"/>
  <c r="M304" i="5" s="1"/>
  <c r="L305" i="5"/>
  <c r="M305" i="5" s="1"/>
  <c r="L306" i="5"/>
  <c r="M306" i="5" s="1"/>
  <c r="L307" i="5"/>
  <c r="M307" i="5" s="1"/>
  <c r="L308" i="5"/>
  <c r="M308" i="5" s="1"/>
  <c r="L309" i="5"/>
  <c r="M309" i="5" s="1"/>
  <c r="L310" i="5"/>
  <c r="M310" i="5" s="1"/>
  <c r="L311" i="5"/>
  <c r="M311" i="5" s="1"/>
  <c r="L312" i="5"/>
  <c r="M312" i="5" s="1"/>
  <c r="L313" i="5"/>
  <c r="M313" i="5" s="1"/>
  <c r="L314" i="5"/>
  <c r="M314" i="5" s="1"/>
  <c r="L315" i="5"/>
  <c r="M315" i="5" s="1"/>
  <c r="L316" i="5"/>
  <c r="M316" i="5" s="1"/>
  <c r="L317" i="5"/>
  <c r="M317" i="5" s="1"/>
  <c r="L318" i="5"/>
  <c r="M318" i="5" s="1"/>
  <c r="L319" i="5"/>
  <c r="M319" i="5" s="1"/>
  <c r="L320" i="5"/>
  <c r="M320" i="5" s="1"/>
  <c r="L321" i="5"/>
  <c r="M321" i="5" s="1"/>
  <c r="L322" i="5"/>
  <c r="M322" i="5" s="1"/>
  <c r="L323" i="5"/>
  <c r="M323" i="5" s="1"/>
  <c r="L324" i="5"/>
  <c r="M324" i="5" s="1"/>
  <c r="L325" i="5"/>
  <c r="M325" i="5" s="1"/>
  <c r="L326" i="5"/>
  <c r="M326" i="5" s="1"/>
  <c r="L327" i="5"/>
  <c r="M327" i="5" s="1"/>
  <c r="L328" i="5"/>
  <c r="M328" i="5" s="1"/>
  <c r="L329" i="5"/>
  <c r="M329" i="5" s="1"/>
  <c r="L330" i="5"/>
  <c r="M330" i="5" s="1"/>
  <c r="L331" i="5"/>
  <c r="M331" i="5" s="1"/>
  <c r="L332" i="5"/>
  <c r="M332" i="5" s="1"/>
  <c r="L333" i="5"/>
  <c r="M333" i="5" s="1"/>
  <c r="L334" i="5"/>
  <c r="M334" i="5" s="1"/>
  <c r="L335" i="5"/>
  <c r="M335" i="5" s="1"/>
  <c r="L336" i="5"/>
  <c r="M336" i="5" s="1"/>
  <c r="L337" i="5"/>
  <c r="M337" i="5" s="1"/>
  <c r="L338" i="5"/>
  <c r="M338" i="5" s="1"/>
  <c r="L339" i="5"/>
  <c r="M339" i="5" s="1"/>
  <c r="L340" i="5"/>
  <c r="M340" i="5" s="1"/>
  <c r="L341" i="5"/>
  <c r="M341" i="5" s="1"/>
  <c r="L342" i="5"/>
  <c r="M342" i="5" s="1"/>
  <c r="L343" i="5"/>
  <c r="M343" i="5" s="1"/>
  <c r="L344" i="5"/>
  <c r="M344" i="5" s="1"/>
  <c r="L345" i="5"/>
  <c r="M345" i="5" s="1"/>
  <c r="L346" i="5"/>
  <c r="M346" i="5" s="1"/>
  <c r="L347" i="5"/>
  <c r="M347" i="5" s="1"/>
  <c r="L348" i="5"/>
  <c r="M348" i="5" s="1"/>
  <c r="L349" i="5"/>
  <c r="M349" i="5" s="1"/>
  <c r="L350" i="5"/>
  <c r="M350" i="5" s="1"/>
  <c r="L351" i="5"/>
  <c r="M351" i="5" s="1"/>
  <c r="L352" i="5"/>
  <c r="M352" i="5" s="1"/>
  <c r="L353" i="5"/>
  <c r="M353" i="5" s="1"/>
  <c r="L354" i="5"/>
  <c r="M354" i="5" s="1"/>
  <c r="L355" i="5"/>
  <c r="M355" i="5" s="1"/>
  <c r="L356" i="5"/>
  <c r="M356" i="5" s="1"/>
  <c r="L357" i="5"/>
  <c r="M357" i="5" s="1"/>
  <c r="L358" i="5"/>
  <c r="M358" i="5" s="1"/>
  <c r="L359" i="5"/>
  <c r="M359" i="5" s="1"/>
  <c r="L360" i="5"/>
  <c r="M360" i="5" s="1"/>
  <c r="L361" i="5"/>
  <c r="M361" i="5" s="1"/>
  <c r="L362" i="5"/>
  <c r="M362" i="5" s="1"/>
  <c r="L363" i="5"/>
  <c r="M363" i="5" s="1"/>
  <c r="L364" i="5"/>
  <c r="M364" i="5" s="1"/>
  <c r="L365" i="5"/>
  <c r="M365" i="5" s="1"/>
  <c r="L366" i="5"/>
  <c r="M366" i="5" s="1"/>
  <c r="L367" i="5"/>
  <c r="M367" i="5" s="1"/>
  <c r="L368" i="5"/>
  <c r="M368" i="5" s="1"/>
  <c r="L369" i="5"/>
  <c r="M369" i="5" s="1"/>
  <c r="L370" i="5"/>
  <c r="M370" i="5" s="1"/>
  <c r="L371" i="5"/>
  <c r="M371" i="5" s="1"/>
  <c r="L372" i="5"/>
  <c r="M372" i="5" s="1"/>
  <c r="L373" i="5"/>
  <c r="M373" i="5" s="1"/>
  <c r="L374" i="5"/>
  <c r="M374" i="5" s="1"/>
  <c r="L375" i="5"/>
  <c r="M375" i="5" s="1"/>
  <c r="L376" i="5"/>
  <c r="M376" i="5" s="1"/>
  <c r="L377" i="5"/>
  <c r="M377" i="5" s="1"/>
  <c r="L378" i="5"/>
  <c r="M378" i="5" s="1"/>
  <c r="L379" i="5"/>
  <c r="M379" i="5" s="1"/>
  <c r="L380" i="5"/>
  <c r="M380" i="5" s="1"/>
  <c r="L381" i="5"/>
  <c r="M381" i="5" s="1"/>
  <c r="L382" i="5"/>
  <c r="M382" i="5" s="1"/>
  <c r="L383" i="5"/>
  <c r="M383" i="5" s="1"/>
  <c r="L384" i="5"/>
  <c r="M384" i="5" s="1"/>
  <c r="L385" i="5"/>
  <c r="M385" i="5" s="1"/>
  <c r="L386" i="5"/>
  <c r="M386" i="5" s="1"/>
  <c r="L387" i="5"/>
  <c r="M387" i="5" s="1"/>
  <c r="L388" i="5"/>
  <c r="M388" i="5" s="1"/>
  <c r="L389" i="5"/>
  <c r="M389" i="5" s="1"/>
  <c r="L390" i="5"/>
  <c r="M390" i="5" s="1"/>
  <c r="L391" i="5"/>
  <c r="M391" i="5" s="1"/>
  <c r="L392" i="5"/>
  <c r="M392" i="5" s="1"/>
  <c r="L393" i="5"/>
  <c r="M393" i="5" s="1"/>
  <c r="L394" i="5"/>
  <c r="M394" i="5" s="1"/>
  <c r="L395" i="5"/>
  <c r="M395" i="5" s="1"/>
  <c r="L396" i="5"/>
  <c r="M396" i="5" s="1"/>
  <c r="L397" i="5"/>
  <c r="M397" i="5" s="1"/>
  <c r="L398" i="5"/>
  <c r="M398" i="5" s="1"/>
  <c r="L399" i="5"/>
  <c r="M399" i="5" s="1"/>
  <c r="L400" i="5"/>
  <c r="M400" i="5" s="1"/>
  <c r="L401" i="5"/>
  <c r="M401" i="5" s="1"/>
  <c r="L402" i="5"/>
  <c r="M402" i="5" s="1"/>
  <c r="L403" i="5"/>
  <c r="M403" i="5" s="1"/>
  <c r="L404" i="5"/>
  <c r="M404" i="5" s="1"/>
  <c r="L405" i="5"/>
  <c r="M405" i="5" s="1"/>
  <c r="L406" i="5"/>
  <c r="M406" i="5" s="1"/>
  <c r="L407" i="5"/>
  <c r="M407" i="5" s="1"/>
  <c r="L408" i="5"/>
  <c r="M408" i="5" s="1"/>
  <c r="L409" i="5"/>
  <c r="M409" i="5" s="1"/>
  <c r="L410" i="5"/>
  <c r="M410" i="5" s="1"/>
  <c r="L411" i="5"/>
  <c r="M411" i="5" s="1"/>
  <c r="L412" i="5"/>
  <c r="M412" i="5" s="1"/>
  <c r="L413" i="5"/>
  <c r="M413" i="5" s="1"/>
  <c r="L414" i="5"/>
  <c r="M414" i="5" s="1"/>
  <c r="L415" i="5"/>
  <c r="M415" i="5" s="1"/>
  <c r="L416" i="5"/>
  <c r="M416" i="5" s="1"/>
  <c r="L417" i="5"/>
  <c r="M417" i="5" s="1"/>
  <c r="L418" i="5"/>
  <c r="M418" i="5" s="1"/>
  <c r="L419" i="5"/>
  <c r="M419" i="5" s="1"/>
  <c r="L420" i="5"/>
  <c r="M420" i="5" s="1"/>
  <c r="L421" i="5"/>
  <c r="M421" i="5" s="1"/>
  <c r="M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B87734-AE66-47A7-8CA3-A22CF8AE7366}" keepAlive="1" name="Query - cycle_counts_coldchain" description="Connection to the 'cycle_counts_coldchain' query in the workbook." type="5" refreshedVersion="8" background="1" saveData="1">
    <dbPr connection="Provider=Microsoft.Mashup.OleDb.1;Data Source=$Workbook$;Location=cycle_counts_coldchain;Extended Properties=&quot;&quot;" command="SELECT * FROM [cycle_counts_coldchain]"/>
  </connection>
  <connection id="2" xr16:uid="{21E05485-2706-4C13-A927-F23D99D901C6}" keepAlive="1" name="Query - Order_tracking_sheet" description="Connection to the 'Order_tracking_sheet' query in the workbook." type="5" refreshedVersion="8" background="1" saveData="1">
    <dbPr connection="Provider=Microsoft.Mashup.OleDb.1;Data Source=$Workbook$;Location=Order_tracking_sheet;Extended Properties=&quot;&quot;" command="SELECT * FROM [Order_tracking_sheet]"/>
  </connection>
  <connection id="3" xr16:uid="{68692498-ABEA-41BB-A938-FF864D61699D}" keepAlive="1" name="Query - products_coldchain" description="Connection to the 'products_coldchain' query in the workbook." type="5" refreshedVersion="8" background="1" saveData="1">
    <dbPr connection="Provider=Microsoft.Mashup.OleDb.1;Data Source=$Workbook$;Location=products_coldchain;Extended Properties=&quot;&quot;" command="SELECT * FROM [products_coldchain]"/>
  </connection>
  <connection id="4" xr16:uid="{E689138F-0C0D-4C52-9F11-84C0C45AF271}" keepAlive="1" name="Query - purchase_order_lines_coldchain" description="Connection to the 'purchase_order_lines_coldchain' query in the workbook." type="5" refreshedVersion="8" background="1" saveData="1">
    <dbPr connection="Provider=Microsoft.Mashup.OleDb.1;Data Source=$Workbook$;Location=purchase_order_lines_coldchain;Extended Properties=&quot;&quot;" command="SELECT * FROM [purchase_order_lines_coldchain]"/>
  </connection>
  <connection id="5" xr16:uid="{30234EED-20F5-4DB8-A3CD-DEF3857D112B}" keepAlive="1" name="Query - purchase_orders_coldchain" description="Connection to the 'purchase_orders_coldchain' query in the workbook." type="5" refreshedVersion="8" background="1" saveData="1">
    <dbPr connection="Provider=Microsoft.Mashup.OleDb.1;Data Source=$Workbook$;Location=purchase_orders_coldchain;Extended Properties=&quot;&quot;" command="SELECT * FROM [purchase_orders_coldchain]"/>
  </connection>
  <connection id="6" xr16:uid="{0934D3C9-AEDC-43E2-8AAD-85BAC2C776C8}" keepAlive="1" name="Query - stock_movements_coldchain" description="Connection to the 'stock_movements_coldchain' query in the workbook." type="5" refreshedVersion="8" background="1" saveData="1">
    <dbPr connection="Provider=Microsoft.Mashup.OleDb.1;Data Source=$Workbook$;Location=stock_movements_coldchain;Extended Properties=&quot;&quot;" command="SELECT * FROM [stock_movements_coldchain]"/>
  </connection>
  <connection id="7" xr16:uid="{6DCE0D93-259D-492B-85A0-A01502D61DA6}" keepAlive="1" name="Query - suppliers_coldchain" description="Connection to the 'suppliers_coldchain' query in the workbook." type="5" refreshedVersion="8" background="1" saveData="1">
    <dbPr connection="Provider=Microsoft.Mashup.OleDb.1;Data Source=$Workbook$;Location=suppliers_coldchain;Extended Properties=&quot;&quot;" command="SELECT * FROM [suppliers_coldchain]"/>
  </connection>
  <connection id="8" xr16:uid="{97E24A8C-6FB7-4971-A05C-4597D2EDFBFB}" keepAlive="1" name="Query - temperature_logs_coldchain" description="Connection to the 'temperature_logs_coldchain' query in the workbook." type="5" refreshedVersion="8" background="1" saveData="1">
    <dbPr connection="Provider=Microsoft.Mashup.OleDb.1;Data Source=$Workbook$;Location=temperature_logs_coldchain;Extended Properties=&quot;&quot;" command="SELECT * FROM [temperature_logs_coldchain]"/>
  </connection>
  <connection id="9" xr16:uid="{12FA9A37-D2A4-42E1-B92C-CF91697AD14E}" keepAlive="1" name="Query - Warehouse_Health_Status_Report" description="Connection to the 'Warehouse_Health_Status_Report' query in the workbook." type="5" refreshedVersion="8" background="1" saveData="1">
    <dbPr connection="Provider=Microsoft.Mashup.OleDb.1;Data Source=$Workbook$;Location=Warehouse_Health_Status_Report;Extended Properties=&quot;&quot;" command="SELECT * FROM [Warehouse_Health_Status_Report]"/>
  </connection>
  <connection id="10" xr16:uid="{14706324-3948-4BC1-B2A0-9433EAAB7699}" keepAlive="1" name="Query - Warehouse_Transfer_Log" description="Connection to the 'Warehouse_Transfer_Log' query in the workbook." type="5" refreshedVersion="8" background="1" saveData="1">
    <dbPr connection="Provider=Microsoft.Mashup.OleDb.1;Data Source=$Workbook$;Location=Warehouse_Transfer_Log;Extended Properties=&quot;&quot;" command="SELECT * FROM [Warehouse_Transfer_Log]"/>
  </connection>
  <connection id="11" xr16:uid="{A67A77A3-457D-439A-8A76-42929C40FFB8}" keepAlive="1" name="Query - Warehouse_Writeoff_Summary" description="Connection to the 'Warehouse_Writeoff_Summary' query in the workbook." type="5" refreshedVersion="8" background="1" saveData="1">
    <dbPr connection="Provider=Microsoft.Mashup.OleDb.1;Data Source=$Workbook$;Location=Warehouse_Writeoff_Summary;Extended Properties=&quot;&quot;" command="SELECT * FROM [Warehouse_Writeoff_Summ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<sst xmlns="http://schemas.openxmlformats.org/spreadsheetml/2006/main" count="14327" uniqueCount="3391">
  <si>
    <t>supplier_id</t>
  </si>
  <si>
    <t>supplier_name</t>
  </si>
  <si>
    <t>supplier_type</t>
  </si>
  <si>
    <t>country</t>
  </si>
  <si>
    <t>lead_time_days</t>
  </si>
  <si>
    <t>payment_terms_days</t>
  </si>
  <si>
    <t>service_level</t>
  </si>
  <si>
    <t>active_flag</t>
  </si>
  <si>
    <t>risk_score</t>
  </si>
  <si>
    <t>primary_contact</t>
  </si>
  <si>
    <t>SUP00001</t>
  </si>
  <si>
    <t>Supplier 001</t>
  </si>
  <si>
    <t>Importer</t>
  </si>
  <si>
    <t>UK</t>
  </si>
  <si>
    <t>B</t>
  </si>
  <si>
    <t>N</t>
  </si>
  <si>
    <t>contact001@example.com</t>
  </si>
  <si>
    <t>SUP00002</t>
  </si>
  <si>
    <t>Supplier 002</t>
  </si>
  <si>
    <t>Local Partner</t>
  </si>
  <si>
    <t>A</t>
  </si>
  <si>
    <t>contact002@example.com</t>
  </si>
  <si>
    <t>SUP00003</t>
  </si>
  <si>
    <t>Supplier 003</t>
  </si>
  <si>
    <t>Primary Manufacturer</t>
  </si>
  <si>
    <t>UAE</t>
  </si>
  <si>
    <t>C</t>
  </si>
  <si>
    <t>contact003@example.com</t>
  </si>
  <si>
    <t>SUP00004</t>
  </si>
  <si>
    <t>Supplier 004</t>
  </si>
  <si>
    <t>South Africa</t>
  </si>
  <si>
    <t>Y</t>
  </si>
  <si>
    <t>contact004@example.com</t>
  </si>
  <si>
    <t>SUP00005</t>
  </si>
  <si>
    <t>Supplier 005</t>
  </si>
  <si>
    <t>Morocco</t>
  </si>
  <si>
    <t>contact005@example.com</t>
  </si>
  <si>
    <t>SUP00006</t>
  </si>
  <si>
    <t>Supplier 006</t>
  </si>
  <si>
    <t>Egypt</t>
  </si>
  <si>
    <t>contact006@example.com</t>
  </si>
  <si>
    <t>SUP00007</t>
  </si>
  <si>
    <t>Supplier 007</t>
  </si>
  <si>
    <t>Distributor</t>
  </si>
  <si>
    <t>contact007@example.com</t>
  </si>
  <si>
    <t>SUP00008</t>
  </si>
  <si>
    <t>Supplier 008</t>
  </si>
  <si>
    <t>Ghana</t>
  </si>
  <si>
    <t>contact008@example.com</t>
  </si>
  <si>
    <t>SUP00009</t>
  </si>
  <si>
    <t>Supplier 009</t>
  </si>
  <si>
    <t>contact009@example.com</t>
  </si>
  <si>
    <t>SUP00010</t>
  </si>
  <si>
    <t>Supplier 010</t>
  </si>
  <si>
    <t>Nigeria</t>
  </si>
  <si>
    <t>contact010@example.com</t>
  </si>
  <si>
    <t>SUP00011</t>
  </si>
  <si>
    <t>Supplier 011</t>
  </si>
  <si>
    <t>contact011@example.com</t>
  </si>
  <si>
    <t>SUP00012</t>
  </si>
  <si>
    <t>Supplier 012</t>
  </si>
  <si>
    <t>contact012@example.com</t>
  </si>
  <si>
    <t>SUP00013</t>
  </si>
  <si>
    <t>Supplier 013</t>
  </si>
  <si>
    <t>contact013@example.com</t>
  </si>
  <si>
    <t>SUP00014</t>
  </si>
  <si>
    <t>Supplier 014</t>
  </si>
  <si>
    <t>contact014@example.com</t>
  </si>
  <si>
    <t>SUP00015</t>
  </si>
  <si>
    <t>Supplier 015</t>
  </si>
  <si>
    <t>contact015@example.com</t>
  </si>
  <si>
    <t>SUP00016</t>
  </si>
  <si>
    <t>Supplier 016</t>
  </si>
  <si>
    <t>contact016@example.com</t>
  </si>
  <si>
    <t>SUP00017</t>
  </si>
  <si>
    <t>Supplier 017</t>
  </si>
  <si>
    <t>contact017@example.com</t>
  </si>
  <si>
    <t>SUP00018</t>
  </si>
  <si>
    <t>Supplier 018</t>
  </si>
  <si>
    <t>contact018@example.com</t>
  </si>
  <si>
    <t>SUP00019</t>
  </si>
  <si>
    <t>Supplier 019</t>
  </si>
  <si>
    <t>contact019@example.com</t>
  </si>
  <si>
    <t>SUP00020</t>
  </si>
  <si>
    <t>Supplier 020</t>
  </si>
  <si>
    <t>Netherlands</t>
  </si>
  <si>
    <t>contact020@example.com</t>
  </si>
  <si>
    <t>SUP00021</t>
  </si>
  <si>
    <t>Supplier 021</t>
  </si>
  <si>
    <t>contact021@example.com</t>
  </si>
  <si>
    <t>SUP00022</t>
  </si>
  <si>
    <t>Supplier 022</t>
  </si>
  <si>
    <t>contact022@example.com</t>
  </si>
  <si>
    <t>SUP00023</t>
  </si>
  <si>
    <t>Supplier 023</t>
  </si>
  <si>
    <t>contact023@example.com</t>
  </si>
  <si>
    <t>SUP00024</t>
  </si>
  <si>
    <t>Supplier 024</t>
  </si>
  <si>
    <t>contact024@example.com</t>
  </si>
  <si>
    <t>SUP00025</t>
  </si>
  <si>
    <t>Supplier 025</t>
  </si>
  <si>
    <t>contact025@example.com</t>
  </si>
  <si>
    <t>SUP00026</t>
  </si>
  <si>
    <t>Supplier 026</t>
  </si>
  <si>
    <t>France</t>
  </si>
  <si>
    <t>contact026@example.com</t>
  </si>
  <si>
    <t>SUP00027</t>
  </si>
  <si>
    <t>Supplier 027</t>
  </si>
  <si>
    <t>contact027@example.com</t>
  </si>
  <si>
    <t>SUP00028</t>
  </si>
  <si>
    <t>Supplier 028</t>
  </si>
  <si>
    <t>contact028@example.com</t>
  </si>
  <si>
    <t>SUP00029</t>
  </si>
  <si>
    <t>Supplier 029</t>
  </si>
  <si>
    <t>Kenya</t>
  </si>
  <si>
    <t>contact029@example.com</t>
  </si>
  <si>
    <t>SUP00030</t>
  </si>
  <si>
    <t>Supplier 030</t>
  </si>
  <si>
    <t>contact030@example.com</t>
  </si>
  <si>
    <t>SUP00031</t>
  </si>
  <si>
    <t>Supplier 031</t>
  </si>
  <si>
    <t>contact031@example.com</t>
  </si>
  <si>
    <t>SUP00032</t>
  </si>
  <si>
    <t>Supplier 032</t>
  </si>
  <si>
    <t>contact032@example.com</t>
  </si>
  <si>
    <t>SUP00033</t>
  </si>
  <si>
    <t>Supplier 033</t>
  </si>
  <si>
    <t>contact033@example.com</t>
  </si>
  <si>
    <t>SUP00034</t>
  </si>
  <si>
    <t>Supplier 034</t>
  </si>
  <si>
    <t>contact034@example.com</t>
  </si>
  <si>
    <t>SUP00035</t>
  </si>
  <si>
    <t>Supplier 035</t>
  </si>
  <si>
    <t>contact035@example.com</t>
  </si>
  <si>
    <t>SUP00036</t>
  </si>
  <si>
    <t>Supplier 036</t>
  </si>
  <si>
    <t>contact036@example.com</t>
  </si>
  <si>
    <t>SUP00037</t>
  </si>
  <si>
    <t>Supplier 037</t>
  </si>
  <si>
    <t>contact037@example.com</t>
  </si>
  <si>
    <t>SUP00038</t>
  </si>
  <si>
    <t>Supplier 038</t>
  </si>
  <si>
    <t>contact038@example.com</t>
  </si>
  <si>
    <t>SUP00039</t>
  </si>
  <si>
    <t>Supplier 039</t>
  </si>
  <si>
    <t>contact039@example.com</t>
  </si>
  <si>
    <t>SUP00040</t>
  </si>
  <si>
    <t>Supplier 040</t>
  </si>
  <si>
    <t>contact040@example.com</t>
  </si>
  <si>
    <t>SUP00041</t>
  </si>
  <si>
    <t>Supplier 041</t>
  </si>
  <si>
    <t>contact041@example.com</t>
  </si>
  <si>
    <t>SUP00042</t>
  </si>
  <si>
    <t>Supplier 042</t>
  </si>
  <si>
    <t>contact042@example.com</t>
  </si>
  <si>
    <t>SUP00043</t>
  </si>
  <si>
    <t>Supplier 043</t>
  </si>
  <si>
    <t>contact043@example.com</t>
  </si>
  <si>
    <t>SUP00044</t>
  </si>
  <si>
    <t>Supplier 044</t>
  </si>
  <si>
    <t>contact044@example.com</t>
  </si>
  <si>
    <t>SUP00045</t>
  </si>
  <si>
    <t>Supplier 045</t>
  </si>
  <si>
    <t>contact045@example.com</t>
  </si>
  <si>
    <t>SUP00046</t>
  </si>
  <si>
    <t>Supplier 046</t>
  </si>
  <si>
    <t>contact046@example.com</t>
  </si>
  <si>
    <t>SUP00047</t>
  </si>
  <si>
    <t>Supplier 047</t>
  </si>
  <si>
    <t>contact047@example.com</t>
  </si>
  <si>
    <t>SUP00048</t>
  </si>
  <si>
    <t>Supplier 048</t>
  </si>
  <si>
    <t>contact048@example.com</t>
  </si>
  <si>
    <t>SUP00049</t>
  </si>
  <si>
    <t>Supplier 049</t>
  </si>
  <si>
    <t>contact049@example.com</t>
  </si>
  <si>
    <t>SUP00050</t>
  </si>
  <si>
    <t>Supplier 050</t>
  </si>
  <si>
    <t>contact050@example.com</t>
  </si>
  <si>
    <t>SUP00051</t>
  </si>
  <si>
    <t>contact051@example.com</t>
  </si>
  <si>
    <t>SUP00052</t>
  </si>
  <si>
    <t>Supplier 052</t>
  </si>
  <si>
    <t>contact052@example.com</t>
  </si>
  <si>
    <t>SUP00053</t>
  </si>
  <si>
    <t>Supplier 053</t>
  </si>
  <si>
    <t>contact053@example.com</t>
  </si>
  <si>
    <t>SUP00054</t>
  </si>
  <si>
    <t>Supplier 054</t>
  </si>
  <si>
    <t>contact054@example.com</t>
  </si>
  <si>
    <t>SUP00055</t>
  </si>
  <si>
    <t>Supplier 055</t>
  </si>
  <si>
    <t>contact055@example.com</t>
  </si>
  <si>
    <t>SUP00056</t>
  </si>
  <si>
    <t>Supplier 056</t>
  </si>
  <si>
    <t>contact056@example.com</t>
  </si>
  <si>
    <t>SUP00057</t>
  </si>
  <si>
    <t>Supplier 057</t>
  </si>
  <si>
    <t>contact057@example.com</t>
  </si>
  <si>
    <t>SUP00058</t>
  </si>
  <si>
    <t>Supplier 058</t>
  </si>
  <si>
    <t>contact058@example.com</t>
  </si>
  <si>
    <t>SUP00059</t>
  </si>
  <si>
    <t>Supplier 059</t>
  </si>
  <si>
    <t>contact059@example.com</t>
  </si>
  <si>
    <t>SUP00060</t>
  </si>
  <si>
    <t>Supplier 060</t>
  </si>
  <si>
    <t>contact060@example.com</t>
  </si>
  <si>
    <t>SUP00061</t>
  </si>
  <si>
    <t>Supplier 061</t>
  </si>
  <si>
    <t>contact061@example.com</t>
  </si>
  <si>
    <t>SUP00062</t>
  </si>
  <si>
    <t>Supplier 062</t>
  </si>
  <si>
    <t>contact062@example.com</t>
  </si>
  <si>
    <t>SUP00063</t>
  </si>
  <si>
    <t>Supplier 063</t>
  </si>
  <si>
    <t>contact063@example.com</t>
  </si>
  <si>
    <t>SUP00064</t>
  </si>
  <si>
    <t>Supplier 064</t>
  </si>
  <si>
    <t>contact064@example.com</t>
  </si>
  <si>
    <t>SUP00065</t>
  </si>
  <si>
    <t>Supplier 065</t>
  </si>
  <si>
    <t>contact065@example.com</t>
  </si>
  <si>
    <t>SUP00066</t>
  </si>
  <si>
    <t>Supplier 066</t>
  </si>
  <si>
    <t>contact066@example.com</t>
  </si>
  <si>
    <t>SUP00067</t>
  </si>
  <si>
    <t>Supplier 067</t>
  </si>
  <si>
    <t>contact067@example.com</t>
  </si>
  <si>
    <t>SUP00068</t>
  </si>
  <si>
    <t>Supplier 068</t>
  </si>
  <si>
    <t>contact068@example.com</t>
  </si>
  <si>
    <t>SUP00069</t>
  </si>
  <si>
    <t>Supplier 069</t>
  </si>
  <si>
    <t>contact069@example.com</t>
  </si>
  <si>
    <t>SUP00070</t>
  </si>
  <si>
    <t>Supplier 070</t>
  </si>
  <si>
    <t>contact070@example.com</t>
  </si>
  <si>
    <t>SUP00071</t>
  </si>
  <si>
    <t>Supplier 071</t>
  </si>
  <si>
    <t>contact071@example.com</t>
  </si>
  <si>
    <t>SUP00072</t>
  </si>
  <si>
    <t>Supplier 072</t>
  </si>
  <si>
    <t>contact072@example.com</t>
  </si>
  <si>
    <t>SUP00073</t>
  </si>
  <si>
    <t>Supplier 073</t>
  </si>
  <si>
    <t>contact073@example.com</t>
  </si>
  <si>
    <t>SUP00074</t>
  </si>
  <si>
    <t>Supplier 074</t>
  </si>
  <si>
    <t>contact074@example.com</t>
  </si>
  <si>
    <t>SUP00075</t>
  </si>
  <si>
    <t>Supplier 075</t>
  </si>
  <si>
    <t>contact075@example.com</t>
  </si>
  <si>
    <t>SUP00076</t>
  </si>
  <si>
    <t>Supplier 076</t>
  </si>
  <si>
    <t>contact076@example.com</t>
  </si>
  <si>
    <t>SUP00077</t>
  </si>
  <si>
    <t>Supplier 077</t>
  </si>
  <si>
    <t>contact077@example.com</t>
  </si>
  <si>
    <t>SUP00078</t>
  </si>
  <si>
    <t>Supplier 078</t>
  </si>
  <si>
    <t>contact078@example.com</t>
  </si>
  <si>
    <t>SUP00079</t>
  </si>
  <si>
    <t>Supplier 079</t>
  </si>
  <si>
    <t>contact079@example.com</t>
  </si>
  <si>
    <t>SUP00080</t>
  </si>
  <si>
    <t>Supplier 080</t>
  </si>
  <si>
    <t>contact080@example.com</t>
  </si>
  <si>
    <t>SUP00081</t>
  </si>
  <si>
    <t>Supplier 081</t>
  </si>
  <si>
    <t>contact081@example.com</t>
  </si>
  <si>
    <t>SUP00082</t>
  </si>
  <si>
    <t>Supplier 082</t>
  </si>
  <si>
    <t>contact082@example.com</t>
  </si>
  <si>
    <t>SUP00083</t>
  </si>
  <si>
    <t>contact083@example.com</t>
  </si>
  <si>
    <t>SUP00084</t>
  </si>
  <si>
    <t>Supplier 084</t>
  </si>
  <si>
    <t>contact084@example.com</t>
  </si>
  <si>
    <t>SUP00085</t>
  </si>
  <si>
    <t>Supplier 085</t>
  </si>
  <si>
    <t>contact085@example.com</t>
  </si>
  <si>
    <t>SUP00086</t>
  </si>
  <si>
    <t>Supplier 086</t>
  </si>
  <si>
    <t>contact086@example.com</t>
  </si>
  <si>
    <t>SUP00087</t>
  </si>
  <si>
    <t>Supplier 087</t>
  </si>
  <si>
    <t>contact087@example.com</t>
  </si>
  <si>
    <t>SUP00088</t>
  </si>
  <si>
    <t>Supplier 088</t>
  </si>
  <si>
    <t>contact088@example.com</t>
  </si>
  <si>
    <t>SUP00089</t>
  </si>
  <si>
    <t>Supplier 089</t>
  </si>
  <si>
    <t>contact089@example.com</t>
  </si>
  <si>
    <t>SUP00090</t>
  </si>
  <si>
    <t>Supplier 090</t>
  </si>
  <si>
    <t>contact090@example.com</t>
  </si>
  <si>
    <t>SUP00091</t>
  </si>
  <si>
    <t>Supplier 091</t>
  </si>
  <si>
    <t>contact091@example.com</t>
  </si>
  <si>
    <t>SUP00092</t>
  </si>
  <si>
    <t>Supplier 092</t>
  </si>
  <si>
    <t>contact092@example.com</t>
  </si>
  <si>
    <t>SUP00093</t>
  </si>
  <si>
    <t>Supplier 093</t>
  </si>
  <si>
    <t>contact093@example.com</t>
  </si>
  <si>
    <t>SUP00094</t>
  </si>
  <si>
    <t>Supplier 094</t>
  </si>
  <si>
    <t>contact094@example.com</t>
  </si>
  <si>
    <t>SUP00095</t>
  </si>
  <si>
    <t>Supplier 095</t>
  </si>
  <si>
    <t>contact095@example.com</t>
  </si>
  <si>
    <t>SUP00096</t>
  </si>
  <si>
    <t>Supplier 096</t>
  </si>
  <si>
    <t>contact096@example.com</t>
  </si>
  <si>
    <t>SUP00097</t>
  </si>
  <si>
    <t>Supplier 097</t>
  </si>
  <si>
    <t>contact097@example.com</t>
  </si>
  <si>
    <t>SUP00098</t>
  </si>
  <si>
    <t>Supplier 098</t>
  </si>
  <si>
    <t>contact098@example.com</t>
  </si>
  <si>
    <t>SUP00099</t>
  </si>
  <si>
    <t>Supplier 099</t>
  </si>
  <si>
    <t>contact099@example.com</t>
  </si>
  <si>
    <t>SUP00100</t>
  </si>
  <si>
    <t>Supplier 100</t>
  </si>
  <si>
    <t>contact100@example.com</t>
  </si>
  <si>
    <t>SUP00101</t>
  </si>
  <si>
    <t>Supplier 101</t>
  </si>
  <si>
    <t>contact101@example.com</t>
  </si>
  <si>
    <t>SUP00102</t>
  </si>
  <si>
    <t>Supplier 102</t>
  </si>
  <si>
    <t>contact102@example.com</t>
  </si>
  <si>
    <t>SUP00103</t>
  </si>
  <si>
    <t>Supplier 103</t>
  </si>
  <si>
    <t>contact103@example.com</t>
  </si>
  <si>
    <t>SUP00104</t>
  </si>
  <si>
    <t>Supplier 104</t>
  </si>
  <si>
    <t>contact104@example.com</t>
  </si>
  <si>
    <t>SUP00105</t>
  </si>
  <si>
    <t>Supplier 105</t>
  </si>
  <si>
    <t>contact105@example.com</t>
  </si>
  <si>
    <t>SUP00106</t>
  </si>
  <si>
    <t>contact106@example.com</t>
  </si>
  <si>
    <t>SUP00107</t>
  </si>
  <si>
    <t>contact107@example.com</t>
  </si>
  <si>
    <t>SUP00108</t>
  </si>
  <si>
    <t>Supplier 108</t>
  </si>
  <si>
    <t>contact108@example.com</t>
  </si>
  <si>
    <t>SUP00109</t>
  </si>
  <si>
    <t>Supplier 109</t>
  </si>
  <si>
    <t>contact109@example.com</t>
  </si>
  <si>
    <t>SUP00110</t>
  </si>
  <si>
    <t>Supplier 110</t>
  </si>
  <si>
    <t>contact110@example.com</t>
  </si>
  <si>
    <t>SUP00111</t>
  </si>
  <si>
    <t>Supplier 111</t>
  </si>
  <si>
    <t>contact111@example.com</t>
  </si>
  <si>
    <t>SUP00112</t>
  </si>
  <si>
    <t>Supplier 112</t>
  </si>
  <si>
    <t>contact112@example.com</t>
  </si>
  <si>
    <t>SUP00113</t>
  </si>
  <si>
    <t>Supplier 113</t>
  </si>
  <si>
    <t>contact113@example.com</t>
  </si>
  <si>
    <t>SUP00114</t>
  </si>
  <si>
    <t>Supplier 114</t>
  </si>
  <si>
    <t>contact114@example.com</t>
  </si>
  <si>
    <t>SUP00115</t>
  </si>
  <si>
    <t>Supplier 115</t>
  </si>
  <si>
    <t>contact115@example.com</t>
  </si>
  <si>
    <t>SUP00116</t>
  </si>
  <si>
    <t>Supplier 116</t>
  </si>
  <si>
    <t>contact116@example.com</t>
  </si>
  <si>
    <t>SUP00117</t>
  </si>
  <si>
    <t>Supplier 117</t>
  </si>
  <si>
    <t>contact117@example.com</t>
  </si>
  <si>
    <t>SUP00118</t>
  </si>
  <si>
    <t>Supplier 118</t>
  </si>
  <si>
    <t>contact118@example.com</t>
  </si>
  <si>
    <t>SUP00119</t>
  </si>
  <si>
    <t>Supplier 119</t>
  </si>
  <si>
    <t>contact119@example.com</t>
  </si>
  <si>
    <t>SUP00120</t>
  </si>
  <si>
    <t>Supplier 120</t>
  </si>
  <si>
    <t>contact120@example.com</t>
  </si>
  <si>
    <t>product_id</t>
  </si>
  <si>
    <t>sku</t>
  </si>
  <si>
    <t>product_name</t>
  </si>
  <si>
    <t>category</t>
  </si>
  <si>
    <t>uom</t>
  </si>
  <si>
    <t>primary_supplier_id</t>
  </si>
  <si>
    <t>storage_temp_min_c</t>
  </si>
  <si>
    <t>storage_temp_max_c</t>
  </si>
  <si>
    <t>shelf_life_days</t>
  </si>
  <si>
    <t>standard_cost</t>
  </si>
  <si>
    <t>standard_price</t>
  </si>
  <si>
    <t>fefo_required</t>
  </si>
  <si>
    <t>PRD00001</t>
  </si>
  <si>
    <t>CC-0001</t>
  </si>
  <si>
    <t>Baby Food Item 001</t>
  </si>
  <si>
    <t>Baby Food</t>
  </si>
  <si>
    <t>PRD00002</t>
  </si>
  <si>
    <t>CC-0002</t>
  </si>
  <si>
    <t>Premium Cheese Item 002</t>
  </si>
  <si>
    <t>Premium Cheese</t>
  </si>
  <si>
    <t>PRD00003</t>
  </si>
  <si>
    <t>CC-0003</t>
  </si>
  <si>
    <t>Herbs Item 003</t>
  </si>
  <si>
    <t>Herbs</t>
  </si>
  <si>
    <t>PRD00004</t>
  </si>
  <si>
    <t>CC-0004</t>
  </si>
  <si>
    <t>Ready Meal Item 004</t>
  </si>
  <si>
    <t>Ready Meal</t>
  </si>
  <si>
    <t>PRD00005</t>
  </si>
  <si>
    <t>CC-0005</t>
  </si>
  <si>
    <t>Seafood Item 005</t>
  </si>
  <si>
    <t>Seafood</t>
  </si>
  <si>
    <t>PRD00006</t>
  </si>
  <si>
    <t>CC-0006</t>
  </si>
  <si>
    <t>Ready Meal Item 006</t>
  </si>
  <si>
    <t>PRD00007</t>
  </si>
  <si>
    <t>CC-0007</t>
  </si>
  <si>
    <t>Herbs Item 007</t>
  </si>
  <si>
    <t>PRD00008</t>
  </si>
  <si>
    <t>CC-0008</t>
  </si>
  <si>
    <t>Fresh Dairy Item 008</t>
  </si>
  <si>
    <t>Fresh Dairy</t>
  </si>
  <si>
    <t>PRD00009</t>
  </si>
  <si>
    <t>CC-0009</t>
  </si>
  <si>
    <t>Seafood Item 009</t>
  </si>
  <si>
    <t>PRD00010</t>
  </si>
  <si>
    <t>CC-0010</t>
  </si>
  <si>
    <t>Ready Meal Item 010</t>
  </si>
  <si>
    <t>PRD00011</t>
  </si>
  <si>
    <t>CC-0011</t>
  </si>
  <si>
    <t>Chilled Juice Item 011</t>
  </si>
  <si>
    <t>Chilled Juice</t>
  </si>
  <si>
    <t>PRD00012</t>
  </si>
  <si>
    <t>CC-0012</t>
  </si>
  <si>
    <t>Fresh Dairy Item 012</t>
  </si>
  <si>
    <t>PRD00013</t>
  </si>
  <si>
    <t>CC-0013</t>
  </si>
  <si>
    <t>Herbs Item 013</t>
  </si>
  <si>
    <t>PRD00014</t>
  </si>
  <si>
    <t>CC-0014</t>
  </si>
  <si>
    <t>Seafood Item 014</t>
  </si>
  <si>
    <t>PRD00015</t>
  </si>
  <si>
    <t>CC-0015</t>
  </si>
  <si>
    <t>Herbs Item 015</t>
  </si>
  <si>
    <t>PRD00016</t>
  </si>
  <si>
    <t>CC-0016</t>
  </si>
  <si>
    <t>Baby Food Item 016</t>
  </si>
  <si>
    <t>PRD00017</t>
  </si>
  <si>
    <t>CC-0017</t>
  </si>
  <si>
    <t>Salad Kits Item 017</t>
  </si>
  <si>
    <t>Salad Kits</t>
  </si>
  <si>
    <t>PRD00018</t>
  </si>
  <si>
    <t>CC-0018</t>
  </si>
  <si>
    <t>Organic Berries Item 018</t>
  </si>
  <si>
    <t>Organic Berries</t>
  </si>
  <si>
    <t>PRD00019</t>
  </si>
  <si>
    <t>CC-0019</t>
  </si>
  <si>
    <t>Chilled Juice Item 019</t>
  </si>
  <si>
    <t>PRD00020</t>
  </si>
  <si>
    <t>CC-0020</t>
  </si>
  <si>
    <t>Seafood Item 020</t>
  </si>
  <si>
    <t>PRD00021</t>
  </si>
  <si>
    <t>CC-0021</t>
  </si>
  <si>
    <t>Fresh Dairy Item 021</t>
  </si>
  <si>
    <t>PRD00022</t>
  </si>
  <si>
    <t>CC-0022</t>
  </si>
  <si>
    <t>Fresh Dairy Item 022</t>
  </si>
  <si>
    <t>PRD00023</t>
  </si>
  <si>
    <t>CC-0023</t>
  </si>
  <si>
    <t>Baby Food Item 023</t>
  </si>
  <si>
    <t>PRD00024</t>
  </si>
  <si>
    <t>CC-0024</t>
  </si>
  <si>
    <t>Ready Meal Item 024</t>
  </si>
  <si>
    <t>PRD00025</t>
  </si>
  <si>
    <t>CC-0025</t>
  </si>
  <si>
    <t>Ready Meal Item 025</t>
  </si>
  <si>
    <t>PRD00026</t>
  </si>
  <si>
    <t>CC-0026</t>
  </si>
  <si>
    <t>Baby Food Item 026</t>
  </si>
  <si>
    <t>PRD00027</t>
  </si>
  <si>
    <t>CC-0027</t>
  </si>
  <si>
    <t>Organic Berries Item 027</t>
  </si>
  <si>
    <t>PRD00028</t>
  </si>
  <si>
    <t>CC-0028</t>
  </si>
  <si>
    <t>Ready Meal Item 028</t>
  </si>
  <si>
    <t>PRD00029</t>
  </si>
  <si>
    <t>CC-0029</t>
  </si>
  <si>
    <t>Premium Cheese Item 029</t>
  </si>
  <si>
    <t>PRD00030</t>
  </si>
  <si>
    <t>CC-0030</t>
  </si>
  <si>
    <t>Salad Kits Item 030</t>
  </si>
  <si>
    <t>PRD00031</t>
  </si>
  <si>
    <t>CC-0031</t>
  </si>
  <si>
    <t>Ready Meal Item 031</t>
  </si>
  <si>
    <t>PRD00032</t>
  </si>
  <si>
    <t>CC-0032</t>
  </si>
  <si>
    <t>Ready Meal Item 032</t>
  </si>
  <si>
    <t>PRD00033</t>
  </si>
  <si>
    <t>CC-0033</t>
  </si>
  <si>
    <t>Chilled Juice Item 033</t>
  </si>
  <si>
    <t>PRD00034</t>
  </si>
  <si>
    <t>CC-0034</t>
  </si>
  <si>
    <t>Organic Berries Item 034</t>
  </si>
  <si>
    <t>PRD00035</t>
  </si>
  <si>
    <t>CC-0035</t>
  </si>
  <si>
    <t>Salad Kits Item 035</t>
  </si>
  <si>
    <t>PRD00036</t>
  </si>
  <si>
    <t>CC-0036</t>
  </si>
  <si>
    <t>Seafood Item 036</t>
  </si>
  <si>
    <t>PRD00037</t>
  </si>
  <si>
    <t>CC-0037</t>
  </si>
  <si>
    <t>Premium Cheese Item 037</t>
  </si>
  <si>
    <t>PRD00038</t>
  </si>
  <si>
    <t>CC-0038</t>
  </si>
  <si>
    <t>Chilled Juice Item 038</t>
  </si>
  <si>
    <t>PRD00039</t>
  </si>
  <si>
    <t>CC-0039</t>
  </si>
  <si>
    <t>Herbs Item 039</t>
  </si>
  <si>
    <t>PRD00040</t>
  </si>
  <si>
    <t>CC-0040</t>
  </si>
  <si>
    <t>Chilled Juice Item 040</t>
  </si>
  <si>
    <t>PRD00041</t>
  </si>
  <si>
    <t>CC-0041</t>
  </si>
  <si>
    <t>Ready Meal Item 041</t>
  </si>
  <si>
    <t xml:space="preserve">Y </t>
  </si>
  <si>
    <t>PRD00042</t>
  </si>
  <si>
    <t>CC-0042</t>
  </si>
  <si>
    <t>Organic Berries Item 042</t>
  </si>
  <si>
    <t>PRD00043</t>
  </si>
  <si>
    <t>CC-0043</t>
  </si>
  <si>
    <t>Baby Food Item 043</t>
  </si>
  <si>
    <t>PRD00044</t>
  </si>
  <si>
    <t>CC-0044</t>
  </si>
  <si>
    <t>Seafood Item 044</t>
  </si>
  <si>
    <t>PRD00045</t>
  </si>
  <si>
    <t>CC-0045</t>
  </si>
  <si>
    <t>Chilled Juice Item 045</t>
  </si>
  <si>
    <t>PRD00046</t>
  </si>
  <si>
    <t>CC-0046</t>
  </si>
  <si>
    <t>Premium Cheese Item 046</t>
  </si>
  <si>
    <t>PRD00047</t>
  </si>
  <si>
    <t>CC-0047</t>
  </si>
  <si>
    <t>Fresh Dairy Item 047</t>
  </si>
  <si>
    <t>PRD00048</t>
  </si>
  <si>
    <t>CC-0048</t>
  </si>
  <si>
    <t>Chilled Juice Item 048</t>
  </si>
  <si>
    <t>PRD00049</t>
  </si>
  <si>
    <t>CC-0049</t>
  </si>
  <si>
    <t>Premium Cheese Item 049</t>
  </si>
  <si>
    <t>PRD00050</t>
  </si>
  <si>
    <t>CC-0050</t>
  </si>
  <si>
    <t>Ready Meal Item 050</t>
  </si>
  <si>
    <t>PRD00051</t>
  </si>
  <si>
    <t>CC-0051</t>
  </si>
  <si>
    <t>Premium Cheese Item 051</t>
  </si>
  <si>
    <t>PRD00052</t>
  </si>
  <si>
    <t>CC-0052</t>
  </si>
  <si>
    <t>Frozen Dessert Item 052</t>
  </si>
  <si>
    <t>Frozen Dessert</t>
  </si>
  <si>
    <t>PRD00053</t>
  </si>
  <si>
    <t>CC-0053</t>
  </si>
  <si>
    <t>Premium Cheese Item 053</t>
  </si>
  <si>
    <t>PRD00054</t>
  </si>
  <si>
    <t>CC-0054</t>
  </si>
  <si>
    <t>Baby Food Item 054</t>
  </si>
  <si>
    <t>PRD00055</t>
  </si>
  <si>
    <t>CC-0055</t>
  </si>
  <si>
    <t>Frozen Dessert Item 055</t>
  </si>
  <si>
    <t>PRD00056</t>
  </si>
  <si>
    <t>CC-0056</t>
  </si>
  <si>
    <t>Ready Meal Item 056</t>
  </si>
  <si>
    <t>PRD00057</t>
  </si>
  <si>
    <t>CC-0057</t>
  </si>
  <si>
    <t>Organic Berries Item 057</t>
  </si>
  <si>
    <t>PRD00058</t>
  </si>
  <si>
    <t>CC-0058</t>
  </si>
  <si>
    <t>Baby Food Item 058</t>
  </si>
  <si>
    <t>PRD00059</t>
  </si>
  <si>
    <t>CC-0059</t>
  </si>
  <si>
    <t>Herbs Item 059</t>
  </si>
  <si>
    <t>PRD00060</t>
  </si>
  <si>
    <t>CC-0060</t>
  </si>
  <si>
    <t>Ready Meal Item 060</t>
  </si>
  <si>
    <t>PRD00061</t>
  </si>
  <si>
    <t>CC-0061</t>
  </si>
  <si>
    <t>Fresh Dairy Item 061</t>
  </si>
  <si>
    <t>PRD00062</t>
  </si>
  <si>
    <t>CC-0062</t>
  </si>
  <si>
    <t>Ready Meal Item 062</t>
  </si>
  <si>
    <t>PRD00063</t>
  </si>
  <si>
    <t>CC-0063</t>
  </si>
  <si>
    <t>Organic Berries Item 063</t>
  </si>
  <si>
    <t>PRD00064</t>
  </si>
  <si>
    <t>CC-0064</t>
  </si>
  <si>
    <t>Premium Cheese Item 064</t>
  </si>
  <si>
    <t>PRD00065</t>
  </si>
  <si>
    <t>CC-0065</t>
  </si>
  <si>
    <t>Fresh Dairy Item 065</t>
  </si>
  <si>
    <t>PRD00066</t>
  </si>
  <si>
    <t>CC-0066</t>
  </si>
  <si>
    <t>Chilled Juice Item 066</t>
  </si>
  <si>
    <t>PRD00067</t>
  </si>
  <si>
    <t>CC-0067</t>
  </si>
  <si>
    <t>Premium Cheese Item 067</t>
  </si>
  <si>
    <t>PRD00068</t>
  </si>
  <si>
    <t>CC-0068</t>
  </si>
  <si>
    <t>Premium Cheese Item 068</t>
  </si>
  <si>
    <t>PRD00069</t>
  </si>
  <si>
    <t>CC-0069</t>
  </si>
  <si>
    <t>Seafood Item 069</t>
  </si>
  <si>
    <t>PRD00070</t>
  </si>
  <si>
    <t>CC-0070</t>
  </si>
  <si>
    <t>Organic Berries Item 070</t>
  </si>
  <si>
    <t>PRD00071</t>
  </si>
  <si>
    <t>CC-0071</t>
  </si>
  <si>
    <t>Ready Meal Item 071</t>
  </si>
  <si>
    <t>PRD00072</t>
  </si>
  <si>
    <t>CC-0072</t>
  </si>
  <si>
    <t>Premium Cheese Item 072</t>
  </si>
  <si>
    <t>PRD00073</t>
  </si>
  <si>
    <t>CC-0073</t>
  </si>
  <si>
    <t>Premium Cheese Item 073</t>
  </si>
  <si>
    <t>PRD00074</t>
  </si>
  <si>
    <t>CC-0074</t>
  </si>
  <si>
    <t>Baby Food Item 074</t>
  </si>
  <si>
    <t>PRD00075</t>
  </si>
  <si>
    <t>CC-0075</t>
  </si>
  <si>
    <t>Baby Food Item 075</t>
  </si>
  <si>
    <t>PRD00076</t>
  </si>
  <si>
    <t>CC-0076</t>
  </si>
  <si>
    <t>Ready Meal Item 076</t>
  </si>
  <si>
    <t>PRD00077</t>
  </si>
  <si>
    <t>CC-0077</t>
  </si>
  <si>
    <t>Seafood Item 077</t>
  </si>
  <si>
    <t>PRD00078</t>
  </si>
  <si>
    <t>CC-0078</t>
  </si>
  <si>
    <t>Fresh Dairy Item 078</t>
  </si>
  <si>
    <t>PRD00079</t>
  </si>
  <si>
    <t>CC-0079</t>
  </si>
  <si>
    <t>Ready Meal Item 079</t>
  </si>
  <si>
    <t>PRD00080</t>
  </si>
  <si>
    <t>CC-0080</t>
  </si>
  <si>
    <t>Premium Cheese Item 080</t>
  </si>
  <si>
    <t>PRD00081</t>
  </si>
  <si>
    <t>CC-0081</t>
  </si>
  <si>
    <t>Seafood Item 081</t>
  </si>
  <si>
    <t>PRD00082</t>
  </si>
  <si>
    <t>CC-0082</t>
  </si>
  <si>
    <t>Ready Meal Item 082</t>
  </si>
  <si>
    <t>PRD00083</t>
  </si>
  <si>
    <t>CC-0083</t>
  </si>
  <si>
    <t>Herbs Item 083</t>
  </si>
  <si>
    <t>PRD00084</t>
  </si>
  <si>
    <t>CC-0084</t>
  </si>
  <si>
    <t>Frozen Dessert Item 084</t>
  </si>
  <si>
    <t>PRD00085</t>
  </si>
  <si>
    <t>CC-0085</t>
  </si>
  <si>
    <t>Chilled Juice Item 085</t>
  </si>
  <si>
    <t>PRD00086</t>
  </si>
  <si>
    <t>CC-0086</t>
  </si>
  <si>
    <t>Premium Cheese Item 086</t>
  </si>
  <si>
    <t>PRD00087</t>
  </si>
  <si>
    <t>CC-0087</t>
  </si>
  <si>
    <t>Chilled Juice Item 087</t>
  </si>
  <si>
    <t>PRD00088</t>
  </si>
  <si>
    <t>CC-0088</t>
  </si>
  <si>
    <t>Premium Cheese Item 088</t>
  </si>
  <si>
    <t>PRD00089</t>
  </si>
  <si>
    <t>CC-0089</t>
  </si>
  <si>
    <t>Organic Berries Item 089</t>
  </si>
  <si>
    <t>PRD00090</t>
  </si>
  <si>
    <t>CC-0090</t>
  </si>
  <si>
    <t>Organic Berries Item 090</t>
  </si>
  <si>
    <t>PRD00091</t>
  </si>
  <si>
    <t>CC-0091</t>
  </si>
  <si>
    <t>Frozen Dessert Item 091</t>
  </si>
  <si>
    <t>PRD00092</t>
  </si>
  <si>
    <t>CC-0092</t>
  </si>
  <si>
    <t>Salad Kits Item 092</t>
  </si>
  <si>
    <t>PRD00093</t>
  </si>
  <si>
    <t>CC-0093</t>
  </si>
  <si>
    <t>Seafood Item 093</t>
  </si>
  <si>
    <t>PRD00094</t>
  </si>
  <si>
    <t>CC-0094</t>
  </si>
  <si>
    <t>Seafood Item 094</t>
  </si>
  <si>
    <t>PRD00095</t>
  </si>
  <si>
    <t>CC-0095</t>
  </si>
  <si>
    <t>Fresh Dairy Item 095</t>
  </si>
  <si>
    <t>PRD00096</t>
  </si>
  <si>
    <t>CC-0096</t>
  </si>
  <si>
    <t>Herbs Item 096</t>
  </si>
  <si>
    <t>PRD00097</t>
  </si>
  <si>
    <t>CC-0097</t>
  </si>
  <si>
    <t>Baby Food Item 097</t>
  </si>
  <si>
    <t>PRD00098</t>
  </si>
  <si>
    <t>CC-0098</t>
  </si>
  <si>
    <t>Premium Cheese Item 098</t>
  </si>
  <si>
    <t>PRD00099</t>
  </si>
  <si>
    <t>CC-0099</t>
  </si>
  <si>
    <t>Herbs Item 099</t>
  </si>
  <si>
    <t>PRD00100</t>
  </si>
  <si>
    <t>CC-0100</t>
  </si>
  <si>
    <t>Organic Berries Item 100</t>
  </si>
  <si>
    <t>PRD00101</t>
  </si>
  <si>
    <t>CC-0101</t>
  </si>
  <si>
    <t>Premium Cheese Item 101</t>
  </si>
  <si>
    <t>PRD00102</t>
  </si>
  <si>
    <t>CC-0102</t>
  </si>
  <si>
    <t>Ready Meal Item 102</t>
  </si>
  <si>
    <t>PRD00103</t>
  </si>
  <si>
    <t>CC-0103</t>
  </si>
  <si>
    <t>Baby Food Item 103</t>
  </si>
  <si>
    <t>PRD00104</t>
  </si>
  <si>
    <t>CC-0104</t>
  </si>
  <si>
    <t>Baby Food Item 104</t>
  </si>
  <si>
    <t>PRD00105</t>
  </si>
  <si>
    <t>CC-0105</t>
  </si>
  <si>
    <t>Organic Berries Item 105</t>
  </si>
  <si>
    <t>PRD00106</t>
  </si>
  <si>
    <t>CC-0106</t>
  </si>
  <si>
    <t>Ready Meal Item 106</t>
  </si>
  <si>
    <t>PRD00107</t>
  </si>
  <si>
    <t>CC-0107</t>
  </si>
  <si>
    <t>Fresh Dairy Item 107</t>
  </si>
  <si>
    <t>PRD00108</t>
  </si>
  <si>
    <t>CC-0108</t>
  </si>
  <si>
    <t>Fresh Dairy Item 108</t>
  </si>
  <si>
    <t>PRD00109</t>
  </si>
  <si>
    <t>CC-0109</t>
  </si>
  <si>
    <t>Ready Meal Item 109</t>
  </si>
  <si>
    <t>PRD00110</t>
  </si>
  <si>
    <t>CC-0110</t>
  </si>
  <si>
    <t>Premium Cheese Item 110</t>
  </si>
  <si>
    <t>PRD00111</t>
  </si>
  <si>
    <t>CC-0111</t>
  </si>
  <si>
    <t>Chilled Juice Item 111</t>
  </si>
  <si>
    <t>PRD00112</t>
  </si>
  <si>
    <t>CC-0112</t>
  </si>
  <si>
    <t>Seafood Item 112</t>
  </si>
  <si>
    <t>PRD00113</t>
  </si>
  <si>
    <t>CC-0113</t>
  </si>
  <si>
    <t>Fresh Dairy Item 113</t>
  </si>
  <si>
    <t>PRD00114</t>
  </si>
  <si>
    <t>CC-0114</t>
  </si>
  <si>
    <t>Organic Berries Item 114</t>
  </si>
  <si>
    <t>PRD00115</t>
  </si>
  <si>
    <t>CC-0115</t>
  </si>
  <si>
    <t>Premium Cheese Item 115</t>
  </si>
  <si>
    <t>PRD00116</t>
  </si>
  <si>
    <t>CC-0116</t>
  </si>
  <si>
    <t>Ready Meal Item 116</t>
  </si>
  <si>
    <t>PRD00117</t>
  </si>
  <si>
    <t>CC-0117</t>
  </si>
  <si>
    <t>Premium Cheese Item 117</t>
  </si>
  <si>
    <t>PRD00118</t>
  </si>
  <si>
    <t>CC-0118</t>
  </si>
  <si>
    <t>Premium Cheese Item 118</t>
  </si>
  <si>
    <t>PRD00119</t>
  </si>
  <si>
    <t>CC-0119</t>
  </si>
  <si>
    <t>Herbs Item 119</t>
  </si>
  <si>
    <t>PRD00120</t>
  </si>
  <si>
    <t>CC-0120</t>
  </si>
  <si>
    <t>Chilled Juice Item 120</t>
  </si>
  <si>
    <t>PRD00121</t>
  </si>
  <si>
    <t>CC-0121</t>
  </si>
  <si>
    <t>Baby Food Item 121</t>
  </si>
  <si>
    <t>PRD00122</t>
  </si>
  <si>
    <t>CC-0122</t>
  </si>
  <si>
    <t>Fresh Dairy Item 122</t>
  </si>
  <si>
    <t>PRD00123</t>
  </si>
  <si>
    <t>CC-0123</t>
  </si>
  <si>
    <t>Ready Meal Item 123</t>
  </si>
  <si>
    <t>PRD00124</t>
  </si>
  <si>
    <t>CC-0124</t>
  </si>
  <si>
    <t>Fresh Dairy Item 124</t>
  </si>
  <si>
    <t>PRD00125</t>
  </si>
  <si>
    <t>CC-0125</t>
  </si>
  <si>
    <t>Frozen Dessert Item 125</t>
  </si>
  <si>
    <t>PRD00126</t>
  </si>
  <si>
    <t>CC-0126</t>
  </si>
  <si>
    <t>Herbs Item 126</t>
  </si>
  <si>
    <t>PRD00127</t>
  </si>
  <si>
    <t>CC-0127</t>
  </si>
  <si>
    <t>Organic Berries Item 127</t>
  </si>
  <si>
    <t>PRD00128</t>
  </si>
  <si>
    <t>CC-0128</t>
  </si>
  <si>
    <t>Baby Food Item 128</t>
  </si>
  <si>
    <t>PRD00129</t>
  </si>
  <si>
    <t>CC-0129</t>
  </si>
  <si>
    <t>Frozen Dessert Item 129</t>
  </si>
  <si>
    <t>PRD00130</t>
  </si>
  <si>
    <t>CC-0130</t>
  </si>
  <si>
    <t>Herbs Item 130</t>
  </si>
  <si>
    <t>PRD00131</t>
  </si>
  <si>
    <t>CC-0131</t>
  </si>
  <si>
    <t>Fresh Dairy Item 131</t>
  </si>
  <si>
    <t>PRD00132</t>
  </si>
  <si>
    <t>CC-0132</t>
  </si>
  <si>
    <t>Chilled Juice Item 132</t>
  </si>
  <si>
    <t>PRD00133</t>
  </si>
  <si>
    <t>CC-0133</t>
  </si>
  <si>
    <t>Chilled Juice Item 133</t>
  </si>
  <si>
    <t>PRD00134</t>
  </si>
  <si>
    <t>CC-0134</t>
  </si>
  <si>
    <t>Ready Meal Item 134</t>
  </si>
  <si>
    <t>PRD00135</t>
  </si>
  <si>
    <t>CC-0135</t>
  </si>
  <si>
    <t>Seafood Item 135</t>
  </si>
  <si>
    <t>PRD00136</t>
  </si>
  <si>
    <t>CC-0136</t>
  </si>
  <si>
    <t>Salad Kits Item 136</t>
  </si>
  <si>
    <t>PRD00137</t>
  </si>
  <si>
    <t>CC-0137</t>
  </si>
  <si>
    <t>Organic Berries Item 137</t>
  </si>
  <si>
    <t>PRD00138</t>
  </si>
  <si>
    <t>CC-0138</t>
  </si>
  <si>
    <t>Premium Cheese Item 138</t>
  </si>
  <si>
    <t>PRD00139</t>
  </si>
  <si>
    <t>CC-0139</t>
  </si>
  <si>
    <t>Herbs Item 139</t>
  </si>
  <si>
    <t>PRD00140</t>
  </si>
  <si>
    <t>CC-0140</t>
  </si>
  <si>
    <t>Premium Cheese Item 140</t>
  </si>
  <si>
    <t>PRD00141</t>
  </si>
  <si>
    <t>CC-0141</t>
  </si>
  <si>
    <t>Premium Cheese Item 141</t>
  </si>
  <si>
    <t>PRD00142</t>
  </si>
  <si>
    <t>CC-0142</t>
  </si>
  <si>
    <t>Chilled Juice Item 142</t>
  </si>
  <si>
    <t>PRD00143</t>
  </si>
  <si>
    <t>CC-0143</t>
  </si>
  <si>
    <t>Baby Food Item 143</t>
  </si>
  <si>
    <t>PRD00144</t>
  </si>
  <si>
    <t>CC-0144</t>
  </si>
  <si>
    <t>Organic Berries Item 144</t>
  </si>
  <si>
    <t>PRD00145</t>
  </si>
  <si>
    <t>CC-0145</t>
  </si>
  <si>
    <t>Chilled Juice Item 145</t>
  </si>
  <si>
    <t>PRD00146</t>
  </si>
  <si>
    <t>CC-0146</t>
  </si>
  <si>
    <t>Herbs Item 146</t>
  </si>
  <si>
    <t>PRD00147</t>
  </si>
  <si>
    <t>CC-0147</t>
  </si>
  <si>
    <t>Baby Food Item 147</t>
  </si>
  <si>
    <t>PRD00148</t>
  </si>
  <si>
    <t>CC-0148</t>
  </si>
  <si>
    <t>Seafood Item 148</t>
  </si>
  <si>
    <t>PRD00149</t>
  </si>
  <si>
    <t>CC-0149</t>
  </si>
  <si>
    <t>Seafood Item 149</t>
  </si>
  <si>
    <t>PRD00150</t>
  </si>
  <si>
    <t>CC-0150</t>
  </si>
  <si>
    <t>Organic Berries Item 150</t>
  </si>
  <si>
    <t>PRD00151</t>
  </si>
  <si>
    <t>CC-0151</t>
  </si>
  <si>
    <t>Seafood Item 151</t>
  </si>
  <si>
    <t>PRD00152</t>
  </si>
  <si>
    <t>CC-0152</t>
  </si>
  <si>
    <t>Seafood Item 152</t>
  </si>
  <si>
    <t>PRD00153</t>
  </si>
  <si>
    <t>CC-0153</t>
  </si>
  <si>
    <t>Fresh Dairy Item 153</t>
  </si>
  <si>
    <t>PRD00154</t>
  </si>
  <si>
    <t>CC-0154</t>
  </si>
  <si>
    <t>Ready Meal Item 154</t>
  </si>
  <si>
    <t>PRD00155</t>
  </si>
  <si>
    <t>CC-0155</t>
  </si>
  <si>
    <t>Organic Berries Item 155</t>
  </si>
  <si>
    <t>PRD00156</t>
  </si>
  <si>
    <t>CC-0156</t>
  </si>
  <si>
    <t>Ready Meal Item 156</t>
  </si>
  <si>
    <t>PRD00157</t>
  </si>
  <si>
    <t>CC-0157</t>
  </si>
  <si>
    <t>Organic Berries Item 157</t>
  </si>
  <si>
    <t>PRD00158</t>
  </si>
  <si>
    <t>CC-0158</t>
  </si>
  <si>
    <t>Salad Kits Item 158</t>
  </si>
  <si>
    <t>PRD00159</t>
  </si>
  <si>
    <t>CC-0159</t>
  </si>
  <si>
    <t>Salad Kits Item 159</t>
  </si>
  <si>
    <t>PRD00160</t>
  </si>
  <si>
    <t>CC-0160</t>
  </si>
  <si>
    <t>Seafood Item 160</t>
  </si>
  <si>
    <t>PRD00161</t>
  </si>
  <si>
    <t>CC-0161</t>
  </si>
  <si>
    <t>Salad Kits Item 161</t>
  </si>
  <si>
    <t>PRD00162</t>
  </si>
  <si>
    <t>CC-0162</t>
  </si>
  <si>
    <t>Salad Kits Item 162</t>
  </si>
  <si>
    <t>PRD00163</t>
  </si>
  <si>
    <t>CC-0163</t>
  </si>
  <si>
    <t>Chilled Juice Item 163</t>
  </si>
  <si>
    <t>PRD00164</t>
  </si>
  <si>
    <t>CC-0164</t>
  </si>
  <si>
    <t>Frozen Dessert Item 164</t>
  </si>
  <si>
    <t>PRD00165</t>
  </si>
  <si>
    <t>CC-0165</t>
  </si>
  <si>
    <t>Herbs Item 165</t>
  </si>
  <si>
    <t>PRD00166</t>
  </si>
  <si>
    <t>CC-0166</t>
  </si>
  <si>
    <t>Frozen Dessert Item 166</t>
  </si>
  <si>
    <t>PRD00167</t>
  </si>
  <si>
    <t>CC-0167</t>
  </si>
  <si>
    <t>Salad Kits Item 167</t>
  </si>
  <si>
    <t>PRD00168</t>
  </si>
  <si>
    <t>CC-0168</t>
  </si>
  <si>
    <t>Ready Meal Item 168</t>
  </si>
  <si>
    <t>PRD00169</t>
  </si>
  <si>
    <t>CC-0169</t>
  </si>
  <si>
    <t>Salad Kits Item 169</t>
  </si>
  <si>
    <t>PRD00170</t>
  </si>
  <si>
    <t>CC-0170</t>
  </si>
  <si>
    <t>Salad Kits Item 170</t>
  </si>
  <si>
    <t>PRD00171</t>
  </si>
  <si>
    <t>CC-0171</t>
  </si>
  <si>
    <t>Organic Berries Item 171</t>
  </si>
  <si>
    <t>PRD00172</t>
  </si>
  <si>
    <t>CC-0172</t>
  </si>
  <si>
    <t>Herbs Item 172</t>
  </si>
  <si>
    <t>PRD00173</t>
  </si>
  <si>
    <t>CC-0173</t>
  </si>
  <si>
    <t>Salad Kits Item 173</t>
  </si>
  <si>
    <t>PRD00174</t>
  </si>
  <si>
    <t>CC-0174</t>
  </si>
  <si>
    <t>Frozen Dessert Item 174</t>
  </si>
  <si>
    <t>PRD00175</t>
  </si>
  <si>
    <t>CC-0175</t>
  </si>
  <si>
    <t>Seafood Item 175</t>
  </si>
  <si>
    <t>PRD00176</t>
  </si>
  <si>
    <t>CC-0176</t>
  </si>
  <si>
    <t>Seafood Item 176</t>
  </si>
  <si>
    <t>PRD00177</t>
  </si>
  <si>
    <t>CC-0177</t>
  </si>
  <si>
    <t>Frozen Dessert Item 177</t>
  </si>
  <si>
    <t>PRD00178</t>
  </si>
  <si>
    <t>CC-0178</t>
  </si>
  <si>
    <t>Salad Kits Item 178</t>
  </si>
  <si>
    <t>PRD00179</t>
  </si>
  <si>
    <t>CC-0179</t>
  </si>
  <si>
    <t>Seafood Item 179</t>
  </si>
  <si>
    <t>PRD00180</t>
  </si>
  <si>
    <t>CC-0180</t>
  </si>
  <si>
    <t>Frozen Dessert Item 180</t>
  </si>
  <si>
    <t>po_id</t>
  </si>
  <si>
    <t>warehouse_id</t>
  </si>
  <si>
    <t>warehouse_name</t>
  </si>
  <si>
    <t>order_date</t>
  </si>
  <si>
    <t>expected_delivery_date</t>
  </si>
  <si>
    <t>status</t>
  </si>
  <si>
    <t>ordered_by</t>
  </si>
  <si>
    <t>currency</t>
  </si>
  <si>
    <t>shipping_cost</t>
  </si>
  <si>
    <t>priority</t>
  </si>
  <si>
    <t>PO000001</t>
  </si>
  <si>
    <t>WH-ABJ-01</t>
  </si>
  <si>
    <t>Abuja Distribution Hub</t>
  </si>
  <si>
    <t>A. Yusuf</t>
  </si>
  <si>
    <t>NGN</t>
  </si>
  <si>
    <t>PO000002</t>
  </si>
  <si>
    <t>WH-LAG-01</t>
  </si>
  <si>
    <t>Lagos North Cold Hub</t>
  </si>
  <si>
    <t>I. Chukwu</t>
  </si>
  <si>
    <t>PO000003</t>
  </si>
  <si>
    <t>WH-AWK-01</t>
  </si>
  <si>
    <t>Awka Micro Hub</t>
  </si>
  <si>
    <t>USD</t>
  </si>
  <si>
    <t>PO000004</t>
  </si>
  <si>
    <t>WH-JOS-01</t>
  </si>
  <si>
    <t>Jos Altitude Hub</t>
  </si>
  <si>
    <t>T. Bello</t>
  </si>
  <si>
    <t>PO000005</t>
  </si>
  <si>
    <t>WH-LAG-02</t>
  </si>
  <si>
    <t>Lagos South Cold Hub</t>
  </si>
  <si>
    <t>M. Okafor</t>
  </si>
  <si>
    <t>PO000006</t>
  </si>
  <si>
    <t>WH-BEN-01</t>
  </si>
  <si>
    <t>Benin City Hub</t>
  </si>
  <si>
    <t>S. Ibrahim</t>
  </si>
  <si>
    <t>PO000007</t>
  </si>
  <si>
    <t>PO000008</t>
  </si>
  <si>
    <t>PO000009</t>
  </si>
  <si>
    <t>PO000010</t>
  </si>
  <si>
    <t>WH-ENU-01</t>
  </si>
  <si>
    <t>Enugu Regional Hub</t>
  </si>
  <si>
    <t>PO000011</t>
  </si>
  <si>
    <t>WH-IBA-01</t>
  </si>
  <si>
    <t>Ibadan Regional Hub</t>
  </si>
  <si>
    <t>PO000012</t>
  </si>
  <si>
    <t>PO000013</t>
  </si>
  <si>
    <t>PO000014</t>
  </si>
  <si>
    <t>PO000015</t>
  </si>
  <si>
    <t>WH-PHC-01</t>
  </si>
  <si>
    <t>Port Harcourt Hub</t>
  </si>
  <si>
    <t>PO000016</t>
  </si>
  <si>
    <t>WH-KAD-01</t>
  </si>
  <si>
    <t>Kaduna Cold Store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</si>
  <si>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</si>
  <si>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</si>
  <si>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</si>
  <si>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</si>
  <si>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</si>
  <si>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</si>
  <si>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</si>
  <si>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</si>
  <si>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</si>
  <si>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</si>
  <si>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</si>
  <si>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</si>
  <si>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</si>
  <si>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</si>
  <si>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</si>
  <si>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</si>
  <si>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</si>
  <si>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</si>
  <si>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</si>
  <si>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</si>
  <si>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</si>
  <si>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</si>
  <si>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</si>
  <si>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</si>
  <si>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</si>
  <si>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</si>
  <si>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</si>
  <si>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</si>
  <si>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</si>
  <si>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</si>
  <si>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</si>
  <si>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</si>
  <si>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</si>
  <si>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</si>
  <si>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</si>
  <si>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</si>
  <si>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</si>
  <si>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</si>
  <si>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</si>
  <si>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</si>
  <si>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</si>
  <si>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</si>
  <si>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</si>
  <si>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</si>
  <si>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</si>
  <si>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</si>
  <si>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</si>
  <si>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</si>
  <si>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</si>
  <si>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</si>
  <si>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</si>
  <si>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</si>
  <si>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</si>
  <si>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</si>
  <si>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</si>
  <si>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</si>
  <si>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</si>
  <si>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</si>
  <si>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</si>
  <si>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</si>
  <si>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</si>
  <si>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</si>
  <si>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</si>
  <si>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</si>
  <si>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</si>
  <si>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</si>
  <si>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</si>
  <si>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</si>
  <si>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</si>
  <si>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</si>
  <si>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</si>
  <si>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</si>
  <si>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</si>
  <si>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</si>
  <si>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</si>
  <si>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</si>
  <si>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</si>
  <si>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</si>
  <si>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</si>
  <si>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</si>
  <si>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</si>
  <si>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</si>
  <si>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</si>
  <si>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</si>
  <si>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</si>
  <si>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</si>
  <si>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</si>
  <si>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</si>
  <si>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</si>
  <si>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</si>
  <si>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</si>
  <si>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</si>
  <si>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</si>
  <si>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</si>
  <si>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</si>
  <si>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</si>
  <si>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</si>
  <si>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</si>
  <si>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</si>
  <si>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</si>
  <si>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</si>
  <si>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</si>
  <si>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</si>
  <si>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</si>
  <si>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</si>
  <si>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</si>
  <si>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</si>
  <si>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</si>
  <si>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</si>
  <si>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</si>
  <si>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</si>
  <si>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</si>
  <si>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</si>
  <si>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</si>
  <si>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</si>
  <si>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</si>
  <si>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</si>
  <si>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</si>
  <si>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</si>
  <si>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</si>
  <si>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</si>
  <si>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</si>
  <si>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</si>
  <si>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</si>
  <si>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</si>
  <si>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</si>
  <si>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</si>
  <si>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</si>
  <si>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</si>
  <si>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</si>
  <si>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</si>
  <si>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</si>
  <si>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</si>
  <si>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</si>
  <si>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po_line_id</t>
  </si>
  <si>
    <t>ordered_qty</t>
  </si>
  <si>
    <t>unit_cost</t>
  </si>
  <si>
    <t>discount_pct</t>
  </si>
  <si>
    <t>line_total</t>
  </si>
  <si>
    <t>line_status</t>
  </si>
  <si>
    <t>POL000001</t>
  </si>
  <si>
    <t>POL000002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</si>
  <si>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</si>
  <si>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</si>
  <si>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</si>
  <si>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</si>
  <si>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</si>
  <si>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</si>
  <si>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</si>
  <si>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</si>
  <si>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</si>
  <si>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</si>
  <si>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</si>
  <si>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</si>
  <si>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</si>
  <si>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</si>
  <si>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</si>
  <si>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</si>
  <si>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</si>
  <si>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</si>
  <si>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</si>
  <si>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</si>
  <si>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</si>
  <si>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</si>
  <si>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</si>
  <si>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</si>
  <si>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</si>
  <si>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</si>
  <si>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</si>
  <si>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</si>
  <si>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</si>
  <si>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</si>
  <si>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</si>
  <si>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</si>
  <si>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</si>
  <si>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</si>
  <si>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</si>
  <si>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</si>
  <si>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</si>
  <si>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</si>
  <si>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</si>
  <si>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</si>
  <si>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</si>
  <si>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</si>
  <si>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</si>
  <si>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</si>
  <si>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</si>
  <si>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</si>
  <si>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</si>
  <si>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</si>
  <si>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</si>
  <si>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</si>
  <si>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</si>
  <si>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</si>
  <si>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</si>
  <si>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</si>
  <si>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</si>
  <si>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</si>
  <si>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</si>
  <si>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</si>
  <si>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</si>
  <si>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</si>
  <si>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</si>
  <si>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</si>
  <si>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</si>
  <si>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</si>
  <si>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</si>
  <si>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</si>
  <si>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</si>
  <si>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</si>
  <si>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</si>
  <si>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</si>
  <si>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</si>
  <si>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</si>
  <si>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</si>
  <si>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</si>
  <si>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</si>
  <si>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</si>
  <si>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</si>
  <si>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</si>
  <si>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</si>
  <si>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</si>
  <si>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</si>
  <si>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</si>
  <si>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</si>
  <si>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</si>
  <si>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</si>
  <si>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</si>
  <si>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</si>
  <si>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</si>
  <si>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</si>
  <si>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</si>
  <si>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</si>
  <si>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</si>
  <si>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</si>
  <si>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</si>
  <si>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</si>
  <si>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</si>
  <si>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</si>
  <si>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</si>
  <si>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</si>
  <si>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</si>
  <si>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</si>
  <si>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</si>
  <si>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</si>
  <si>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</si>
  <si>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</si>
  <si>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Closed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</si>
  <si>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</si>
  <si>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</si>
  <si>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</si>
  <si>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</si>
  <si>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</si>
  <si>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</si>
  <si>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</si>
  <si>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</si>
  <si>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</si>
  <si>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Open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</si>
  <si>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</si>
  <si>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</si>
  <si>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</si>
  <si>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</si>
  <si>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</si>
  <si>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</si>
  <si>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</si>
  <si>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</si>
  <si>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</si>
  <si>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</si>
  <si>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</si>
  <si>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</si>
  <si>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</si>
  <si>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</si>
  <si>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</si>
  <si>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</si>
  <si>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</si>
  <si>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</si>
  <si>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</si>
  <si>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</si>
  <si>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</si>
  <si>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</si>
  <si>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</si>
  <si>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</si>
  <si>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</si>
  <si>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</si>
  <si>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</si>
  <si>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</si>
  <si>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</si>
  <si>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</si>
  <si>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</si>
  <si>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</si>
  <si>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</si>
  <si>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</si>
  <si>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</si>
  <si>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</si>
  <si>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</si>
  <si>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</si>
  <si>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</si>
  <si>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</si>
  <si>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</si>
  <si>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</si>
  <si>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</si>
  <si>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</si>
  <si>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</si>
  <si>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</si>
  <si>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</si>
  <si>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</si>
  <si>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</si>
  <si>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</si>
  <si>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</si>
  <si>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</si>
  <si>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</si>
  <si>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</si>
  <si>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</si>
  <si>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</si>
  <si>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</si>
  <si>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</si>
  <si>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</si>
  <si>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</si>
  <si>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</si>
  <si>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</si>
  <si>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</si>
  <si>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</si>
  <si>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</si>
  <si>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</si>
  <si>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</si>
  <si>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</si>
  <si>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</si>
  <si>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</si>
  <si>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</si>
  <si>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</si>
  <si>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</si>
  <si>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</si>
  <si>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</si>
  <si>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</si>
  <si>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</si>
  <si>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</si>
  <si>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</si>
  <si>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</si>
  <si>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</si>
  <si>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</si>
  <si>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</si>
  <si>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</si>
  <si>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</si>
  <si>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</si>
  <si>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</si>
  <si>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</si>
  <si>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</si>
  <si>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</si>
  <si>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</si>
  <si>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</si>
  <si>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</si>
  <si>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</si>
  <si>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</si>
  <si>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</si>
  <si>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</si>
  <si>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</si>
  <si>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</si>
  <si>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</si>
  <si>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</si>
  <si>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</si>
  <si>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</si>
  <si>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</si>
  <si>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</si>
  <si>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</si>
  <si>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</si>
  <si>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</si>
  <si>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</si>
  <si>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</si>
  <si>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</si>
  <si>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</si>
  <si>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</si>
  <si>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</si>
  <si>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</si>
  <si>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</si>
  <si>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</si>
  <si>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</si>
  <si>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</si>
  <si>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</si>
  <si>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</si>
  <si>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</si>
  <si>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</si>
  <si>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</si>
  <si>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</si>
  <si>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</si>
  <si>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</si>
  <si>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</si>
  <si>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</si>
  <si>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</si>
  <si>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</si>
  <si>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</si>
  <si>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</si>
  <si>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</si>
  <si>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</si>
  <si>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</si>
  <si>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</si>
  <si>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</si>
  <si>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</si>
  <si>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</si>
  <si>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</si>
  <si>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</si>
  <si>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</si>
  <si>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</si>
  <si>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</si>
  <si>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</si>
  <si>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</si>
  <si>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</si>
  <si>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</si>
  <si>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</si>
  <si>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</si>
  <si>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</si>
  <si>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</si>
  <si>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</si>
  <si>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</si>
  <si>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</si>
  <si>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</si>
  <si>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</si>
  <si>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</si>
  <si>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</si>
  <si>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</si>
  <si>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</si>
  <si>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</si>
  <si>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</si>
  <si>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</si>
  <si>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</si>
  <si>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</si>
  <si>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</si>
  <si>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</si>
  <si>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</si>
  <si>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</si>
  <si>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</si>
  <si>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</si>
  <si>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</si>
  <si>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</si>
  <si>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</si>
  <si>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</si>
  <si>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</si>
  <si>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</si>
  <si>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</si>
  <si>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</si>
  <si>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</si>
  <si>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</si>
  <si>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</si>
  <si>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</si>
  <si>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</si>
  <si>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</si>
  <si>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</si>
  <si>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</si>
  <si>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</si>
  <si>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</si>
  <si>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</si>
  <si>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</si>
  <si>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</si>
  <si>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</si>
  <si>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</si>
  <si>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</si>
  <si>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</si>
  <si>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</si>
  <si>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</si>
  <si>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</si>
  <si>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</si>
  <si>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</si>
  <si>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</si>
  <si>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</si>
  <si>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</si>
  <si>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</si>
  <si>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</si>
  <si>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</si>
  <si>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</si>
  <si>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</si>
  <si>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</si>
  <si>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</si>
  <si>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</si>
  <si>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</si>
  <si>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</si>
  <si>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</si>
  <si>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</si>
  <si>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</si>
  <si>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</si>
  <si>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</si>
  <si>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</si>
  <si>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</si>
  <si>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</si>
  <si>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</si>
  <si>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</si>
  <si>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</si>
  <si>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</si>
  <si>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</si>
  <si>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</si>
  <si>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</si>
  <si>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</si>
  <si>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</si>
  <si>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</si>
  <si>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</si>
  <si>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</si>
  <si>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</si>
  <si>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</si>
  <si>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</si>
  <si>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</si>
  <si>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</si>
  <si>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</si>
  <si>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</si>
  <si>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</si>
  <si>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</si>
  <si>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</si>
  <si>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</si>
  <si>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</si>
  <si>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</si>
  <si>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</si>
  <si>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</si>
  <si>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</si>
  <si>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</si>
  <si>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</si>
  <si>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</si>
  <si>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</si>
  <si>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</si>
  <si>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</si>
  <si>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</si>
  <si>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</si>
  <si>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</si>
  <si>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</si>
  <si>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</si>
  <si>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</si>
  <si>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</si>
  <si>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</si>
  <si>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</si>
  <si>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</si>
  <si>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</si>
  <si>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</si>
  <si>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</si>
  <si>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</si>
  <si>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</si>
  <si>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</si>
  <si>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</si>
  <si>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</si>
  <si>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</si>
  <si>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</si>
  <si>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</si>
  <si>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</si>
  <si>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</si>
  <si>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</si>
  <si>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</si>
  <si>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</si>
  <si>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</si>
  <si>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</si>
  <si>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</si>
  <si>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</si>
  <si>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</si>
  <si>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</si>
  <si>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</si>
  <si>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</si>
  <si>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</si>
  <si>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</si>
  <si>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</si>
  <si>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</si>
  <si>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</si>
  <si>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</si>
  <si>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</si>
  <si>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</si>
  <si>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</si>
  <si>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</si>
  <si>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</si>
  <si>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</si>
  <si>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movement_id</t>
  </si>
  <si>
    <t>movement_date</t>
  </si>
  <si>
    <t>movement_type</t>
  </si>
  <si>
    <t>reference_id</t>
  </si>
  <si>
    <t>lot_number</t>
  </si>
  <si>
    <t>quantity</t>
  </si>
  <si>
    <t>signed_qty</t>
  </si>
  <si>
    <t>movement_value</t>
  </si>
  <si>
    <t>temperature_c</t>
  </si>
  <si>
    <t>reason</t>
  </si>
  <si>
    <t>MOV0000001</t>
  </si>
  <si>
    <t>LOT-124-000001</t>
  </si>
  <si>
    <t>MOV0000002</t>
  </si>
  <si>
    <t>LOT-043-000002</t>
  </si>
  <si>
    <t>MOV0000003</t>
  </si>
  <si>
    <t>LOT-075-000003</t>
  </si>
  <si>
    <t>MOV0000004</t>
  </si>
  <si>
    <t>LOT-066-000004</t>
  </si>
  <si>
    <t>MOV0000005</t>
  </si>
  <si>
    <t>LOT-066-000005</t>
  </si>
  <si>
    <t>MOV0000006</t>
  </si>
  <si>
    <t>LOT-011-000006</t>
  </si>
  <si>
    <t>MOV0000007</t>
  </si>
  <si>
    <t>LOT-107-000007</t>
  </si>
  <si>
    <t>MOV0000008</t>
  </si>
  <si>
    <t>LOT-118-000008</t>
  </si>
  <si>
    <t>MOV0000009</t>
  </si>
  <si>
    <t>LOT-080-000009</t>
  </si>
  <si>
    <t>MOV0000010</t>
  </si>
  <si>
    <t>LOT-144-000010</t>
  </si>
  <si>
    <t>MOV0000011</t>
  </si>
  <si>
    <t>LOT-128-000011</t>
  </si>
  <si>
    <t>MOV0000012</t>
  </si>
  <si>
    <t>LOT-022-000012</t>
  </si>
  <si>
    <t>MOV0000013</t>
  </si>
  <si>
    <t>LOT-045-000013</t>
  </si>
  <si>
    <t>MOV0000014</t>
  </si>
  <si>
    <t>LOT-054-000014</t>
  </si>
  <si>
    <t>MOV0000015</t>
  </si>
  <si>
    <t>LOT-020-000015</t>
  </si>
  <si>
    <t>MOV0000016</t>
  </si>
  <si>
    <t>LOT-129-000016</t>
  </si>
  <si>
    <t>MOV0000017</t>
  </si>
  <si>
    <t>LOT-108-000017</t>
  </si>
  <si>
    <t>MOV0000018</t>
  </si>
  <si>
    <t>LOT-176-000018</t>
  </si>
  <si>
    <t>MOV0000019</t>
  </si>
  <si>
    <t>LOT-034-000019</t>
  </si>
  <si>
    <t>MOV0000020</t>
  </si>
  <si>
    <t>LOT-045-000020</t>
  </si>
  <si>
    <t>MOV0000021</t>
  </si>
  <si>
    <t>LOT-144-000021</t>
  </si>
  <si>
    <t>MOV0000022</t>
  </si>
  <si>
    <t>LOT-008-000022</t>
  </si>
  <si>
    <t>MOV0000023</t>
  </si>
  <si>
    <t>LOT-013-000023</t>
  </si>
  <si>
    <t>MOV0000024</t>
  </si>
  <si>
    <t>LOT-121-000024</t>
  </si>
  <si>
    <t>MOV0000025</t>
  </si>
  <si>
    <t>LOT-051-000025</t>
  </si>
  <si>
    <t>MOV0000026</t>
  </si>
  <si>
    <t>LOT-017-000026</t>
  </si>
  <si>
    <t>MOV0000027</t>
  </si>
  <si>
    <t>LOT-035-000027</t>
  </si>
  <si>
    <t>MOV0000028</t>
  </si>
  <si>
    <t>LOT-150-000028</t>
  </si>
  <si>
    <t>MOV0000029</t>
  </si>
  <si>
    <t>LOT-066-000029</t>
  </si>
  <si>
    <t>MOV0000030</t>
  </si>
  <si>
    <t>LOT-064-000030</t>
  </si>
  <si>
    <t>MOV0000031</t>
  </si>
  <si>
    <t>LOT-085-000031</t>
  </si>
  <si>
    <t>MOV0000032</t>
  </si>
  <si>
    <t>LOT-021-000032</t>
  </si>
  <si>
    <t>MOV0000033</t>
  </si>
  <si>
    <t>LOT-010-000033</t>
  </si>
  <si>
    <t>MOV0000034</t>
  </si>
  <si>
    <t>LOT-013-000034</t>
  </si>
  <si>
    <t>MOV0000035</t>
  </si>
  <si>
    <t>LOT-045-000035</t>
  </si>
  <si>
    <t>MOV0000036</t>
  </si>
  <si>
    <t>LOT-009-000036</t>
  </si>
  <si>
    <t>MOV0000037</t>
  </si>
  <si>
    <t>LOT-136-000037</t>
  </si>
  <si>
    <t>MOV0000038</t>
  </si>
  <si>
    <t>LOT-021-000038</t>
  </si>
  <si>
    <t>MOV0000039</t>
  </si>
  <si>
    <t>LOT-044-000039</t>
  </si>
  <si>
    <t>MOV0000040</t>
  </si>
  <si>
    <t>LOT-135-000040</t>
  </si>
  <si>
    <t>MOV0000041</t>
  </si>
  <si>
    <t>LOT-090-000041</t>
  </si>
  <si>
    <t>MOV0000042</t>
  </si>
  <si>
    <t>LOT-092-000042</t>
  </si>
  <si>
    <t>MOV0000043</t>
  </si>
  <si>
    <t>LOT-161-000043</t>
  </si>
  <si>
    <t>MOV0000044</t>
  </si>
  <si>
    <t>LOT-075-000044</t>
  </si>
  <si>
    <t>MOV0000045</t>
  </si>
  <si>
    <t>LOT-016-000045</t>
  </si>
  <si>
    <t>MOV0000046</t>
  </si>
  <si>
    <t>LOT-051-000046</t>
  </si>
  <si>
    <t>MOV0000047</t>
  </si>
  <si>
    <t>LOT-124-000047</t>
  </si>
  <si>
    <t>MOV0000048</t>
  </si>
  <si>
    <t>LOT-064-000048</t>
  </si>
  <si>
    <t>MOV0000049</t>
  </si>
  <si>
    <t>LOT-051-000049</t>
  </si>
  <si>
    <t>MOV0000050</t>
  </si>
  <si>
    <t>LOT-078-000050</t>
  </si>
  <si>
    <t>MOV0000051</t>
  </si>
  <si>
    <t>LOT-031-000051</t>
  </si>
  <si>
    <t>MOV0000052</t>
  </si>
  <si>
    <t>LOT-070-000052</t>
  </si>
  <si>
    <t>MOV0000053</t>
  </si>
  <si>
    <t/>
  </si>
  <si>
    <t>LOT-067-000053</t>
  </si>
  <si>
    <t>MOV0000054</t>
  </si>
  <si>
    <t>LOT-018-000054</t>
  </si>
  <si>
    <t>MOV0000055</t>
  </si>
  <si>
    <t>LOT-098-000055</t>
  </si>
  <si>
    <t>MOV0000056</t>
  </si>
  <si>
    <t>LOT-098-000056</t>
  </si>
  <si>
    <t>MOV0000057</t>
  </si>
  <si>
    <t>LOT-161-000057</t>
  </si>
  <si>
    <t>MOV0000058</t>
  </si>
  <si>
    <t>LOT-146-000058</t>
  </si>
  <si>
    <t>MOV0000059</t>
  </si>
  <si>
    <t>LOT-054-000059</t>
  </si>
  <si>
    <t>MOV0000060</t>
  </si>
  <si>
    <t>LOT-136-000060</t>
  </si>
  <si>
    <t>MOV0000061</t>
  </si>
  <si>
    <t>LOT-005-000061</t>
  </si>
  <si>
    <t>MOV0000062</t>
  </si>
  <si>
    <t>LOT-178-000062</t>
  </si>
  <si>
    <t>MOV0000063</t>
  </si>
  <si>
    <t>LOT-039-000063</t>
  </si>
  <si>
    <t>MOV0000064</t>
  </si>
  <si>
    <t>LOT-098-000064</t>
  </si>
  <si>
    <t>MOV0000065</t>
  </si>
  <si>
    <t>LOT-086-000065</t>
  </si>
  <si>
    <t>MOV0000066</t>
  </si>
  <si>
    <t>LOT-142-000066</t>
  </si>
  <si>
    <t>MOV0000067</t>
  </si>
  <si>
    <t>LOT-068-000067</t>
  </si>
  <si>
    <t>MOV0000068</t>
  </si>
  <si>
    <t>LOT-049-000068</t>
  </si>
  <si>
    <t>MOV0000069</t>
  </si>
  <si>
    <t>LOT-139-000069</t>
  </si>
  <si>
    <t>MOV0000070</t>
  </si>
  <si>
    <t>LOT-159-000070</t>
  </si>
  <si>
    <t>MOV0000071</t>
  </si>
  <si>
    <t>LOT-049-000071</t>
  </si>
  <si>
    <t>MOV0000072</t>
  </si>
  <si>
    <t>LOT-013-000072</t>
  </si>
  <si>
    <t>MOV0000073</t>
  </si>
  <si>
    <t>LOT-051-000073</t>
  </si>
  <si>
    <t>MOV0000074</t>
  </si>
  <si>
    <t>LOT-016-000074</t>
  </si>
  <si>
    <t>MOV0000075</t>
  </si>
  <si>
    <t>LOT-066-000075</t>
  </si>
  <si>
    <t>MOV0000076</t>
  </si>
  <si>
    <t>LOT-087-000076</t>
  </si>
  <si>
    <t>MOV0000077</t>
  </si>
  <si>
    <t>LOT-010-000077</t>
  </si>
  <si>
    <t>MOV0000078</t>
  </si>
  <si>
    <t>LOT-102-000078</t>
  </si>
  <si>
    <t>MOV0000079</t>
  </si>
  <si>
    <t>LOT-067-000079</t>
  </si>
  <si>
    <t>MOV0000080</t>
  </si>
  <si>
    <t>LOT-049-000080</t>
  </si>
  <si>
    <t>MOV0000081</t>
  </si>
  <si>
    <t>LOT-041-000081</t>
  </si>
  <si>
    <t>MOV0000082</t>
  </si>
  <si>
    <t>LOT-162-000082</t>
  </si>
  <si>
    <t>MOV0000083</t>
  </si>
  <si>
    <t>LOT-087-000083</t>
  </si>
  <si>
    <t>MOV0000084</t>
  </si>
  <si>
    <t>LOT-051-000084</t>
  </si>
  <si>
    <t>MOV0000085</t>
  </si>
  <si>
    <t>LOT-013-000085</t>
  </si>
  <si>
    <t>MOV0000086</t>
  </si>
  <si>
    <t>LOT-041-000086</t>
  </si>
  <si>
    <t>MOV0000087</t>
  </si>
  <si>
    <t>LOT-160-000087</t>
  </si>
  <si>
    <t>MOV0000088</t>
  </si>
  <si>
    <t>LOT-020-000088</t>
  </si>
  <si>
    <t>MOV0000089</t>
  </si>
  <si>
    <t>LOT-096-000089</t>
  </si>
  <si>
    <t>MOV0000090</t>
  </si>
  <si>
    <t>LOT-147-000090</t>
  </si>
  <si>
    <t>MOV0000091</t>
  </si>
  <si>
    <t>LOT-171-000091</t>
  </si>
  <si>
    <t>MOV0000092</t>
  </si>
  <si>
    <t>LOT-103-000092</t>
  </si>
  <si>
    <t>MOV0000093</t>
  </si>
  <si>
    <t>LOT-167-000093</t>
  </si>
  <si>
    <t>MOV0000094</t>
  </si>
  <si>
    <t>LOT-020-000094</t>
  </si>
  <si>
    <t>MOV0000095</t>
  </si>
  <si>
    <t>LOT-101-000095</t>
  </si>
  <si>
    <t>MOV0000096</t>
  </si>
  <si>
    <t>LOT-136-000096</t>
  </si>
  <si>
    <t>MOV0000097</t>
  </si>
  <si>
    <t>LOT-014-000097</t>
  </si>
  <si>
    <t>MOV0000098</t>
  </si>
  <si>
    <t>LOT-074-000098</t>
  </si>
  <si>
    <t>MOV0000099</t>
  </si>
  <si>
    <t>LOT-146-000099</t>
  </si>
  <si>
    <t>MOV0000100</t>
  </si>
  <si>
    <t>LOT-041-000100</t>
  </si>
  <si>
    <t>MOV0000101</t>
  </si>
  <si>
    <t>LOT-023-000101</t>
  </si>
  <si>
    <t>MOV0000102</t>
  </si>
  <si>
    <t>LOT-125-000102</t>
  </si>
  <si>
    <t>MOV0000103</t>
  </si>
  <si>
    <t>LOT-079-000103</t>
  </si>
  <si>
    <t>MOV0000104</t>
  </si>
  <si>
    <t>LOT-161-000104</t>
  </si>
  <si>
    <t>MOV0000105</t>
  </si>
  <si>
    <t>LOT-094-000105</t>
  </si>
  <si>
    <t>MOV0000106</t>
  </si>
  <si>
    <t>LOT-092-000106</t>
  </si>
  <si>
    <t>MOV0000107</t>
  </si>
  <si>
    <t>LOT-173-000107</t>
  </si>
  <si>
    <t>MOV0000108</t>
  </si>
  <si>
    <t>LOT-108-000108</t>
  </si>
  <si>
    <t>MOV0000109</t>
  </si>
  <si>
    <t>LOT-170-000109</t>
  </si>
  <si>
    <t>MOV0000110</t>
  </si>
  <si>
    <t>LOT-070-000110</t>
  </si>
  <si>
    <t>MOV0000111</t>
  </si>
  <si>
    <t>LOT-146-000111</t>
  </si>
  <si>
    <t>MOV0000112</t>
  </si>
  <si>
    <t>LOT-067-000112</t>
  </si>
  <si>
    <t>MOV0000113</t>
  </si>
  <si>
    <t>LOT-038-000113</t>
  </si>
  <si>
    <t>MOV0000114</t>
  </si>
  <si>
    <t>LOT-147-000114</t>
  </si>
  <si>
    <t>MOV0000115</t>
  </si>
  <si>
    <t>LOT-161-000115</t>
  </si>
  <si>
    <t>MOV0000116</t>
  </si>
  <si>
    <t>LOT-093-000116</t>
  </si>
  <si>
    <t>MOV0000117</t>
  </si>
  <si>
    <t>LOT-051-000117</t>
  </si>
  <si>
    <t>MOV0000118</t>
  </si>
  <si>
    <t>LOT-172-000118</t>
  </si>
  <si>
    <t>MOV0000119</t>
  </si>
  <si>
    <t>LOT-103-000119</t>
  </si>
  <si>
    <t>MOV0000120</t>
  </si>
  <si>
    <t>LOT-170-000120</t>
  </si>
  <si>
    <t>MOV0000121</t>
  </si>
  <si>
    <t>LOT-055-000121</t>
  </si>
  <si>
    <t>MOV0000122</t>
  </si>
  <si>
    <t>LOT-065-000122</t>
  </si>
  <si>
    <t>MOV0000123</t>
  </si>
  <si>
    <t>LOT-097-000123</t>
  </si>
  <si>
    <t>MOV0000124</t>
  </si>
  <si>
    <t>LOT-161-000124</t>
  </si>
  <si>
    <t>MOV0000125</t>
  </si>
  <si>
    <t>LOT-146-000125</t>
  </si>
  <si>
    <t>MOV0000126</t>
  </si>
  <si>
    <t>LOT-030-000126</t>
  </si>
  <si>
    <t>MOV0000127</t>
  </si>
  <si>
    <t>LOT-136-000127</t>
  </si>
  <si>
    <t>MOV0000128</t>
  </si>
  <si>
    <t>LOT-007-000128</t>
  </si>
  <si>
    <t>MOV0000129</t>
  </si>
  <si>
    <t>LOT-154-000129</t>
  </si>
  <si>
    <t>MOV0000130</t>
  </si>
  <si>
    <t>LOT-101-000130</t>
  </si>
  <si>
    <t>MOV0000131</t>
  </si>
  <si>
    <t>LOT-113-000131</t>
  </si>
  <si>
    <t>MOV0000132</t>
  </si>
  <si>
    <t>LOT-073-000132</t>
  </si>
  <si>
    <t>MOV0000133</t>
  </si>
  <si>
    <t>LOT-161-000133</t>
  </si>
  <si>
    <t>MOV0000134</t>
  </si>
  <si>
    <t>LOT-066-000134</t>
  </si>
  <si>
    <t>MOV0000135</t>
  </si>
  <si>
    <t>LOT-096-000135</t>
  </si>
  <si>
    <t>MOV0000136</t>
  </si>
  <si>
    <t>LOT-070-000136</t>
  </si>
  <si>
    <t>MOV0000137</t>
  </si>
  <si>
    <t>LOT-051-000137</t>
  </si>
  <si>
    <t>MOV0000138</t>
  </si>
  <si>
    <t>LOT-129-000138</t>
  </si>
  <si>
    <t>MOV0000139</t>
  </si>
  <si>
    <t>LOT-081-000139</t>
  </si>
  <si>
    <t>MOV0000140</t>
  </si>
  <si>
    <t>LOT-121-000140</t>
  </si>
  <si>
    <t>MOV0000141</t>
  </si>
  <si>
    <t>LOT-021-000141</t>
  </si>
  <si>
    <t>MOV0000142</t>
  </si>
  <si>
    <t>LOT-044-000142</t>
  </si>
  <si>
    <t>MOV0000143</t>
  </si>
  <si>
    <t>LOT-176-000143</t>
  </si>
  <si>
    <t>MOV0000144</t>
  </si>
  <si>
    <t>LOT-016-000144</t>
  </si>
  <si>
    <t>MOV0000145</t>
  </si>
  <si>
    <t>LOT-134-000145</t>
  </si>
  <si>
    <t>MOV0000146</t>
  </si>
  <si>
    <t>LOT-003-000146</t>
  </si>
  <si>
    <t>MOV0000147</t>
  </si>
  <si>
    <t>LOT-168-000147</t>
  </si>
  <si>
    <t>MOV0000148</t>
  </si>
  <si>
    <t>LOT-101-000148</t>
  </si>
  <si>
    <t>MOV0000149</t>
  </si>
  <si>
    <t>LOT-051-000149</t>
  </si>
  <si>
    <t>MOV0000150</t>
  </si>
  <si>
    <t>LOT-105-000150</t>
  </si>
  <si>
    <t>MOV0000151</t>
  </si>
  <si>
    <t>LOT-070-000151</t>
  </si>
  <si>
    <t>MOV0000152</t>
  </si>
  <si>
    <t>LOT-163-000152</t>
  </si>
  <si>
    <t>MOV0000153</t>
  </si>
  <si>
    <t>LOT-051-000153</t>
  </si>
  <si>
    <t>MOV0000154</t>
  </si>
  <si>
    <t>LOT-154-000154</t>
  </si>
  <si>
    <t>MOV0000155</t>
  </si>
  <si>
    <t>LOT-152-000155</t>
  </si>
  <si>
    <t>MOV0000156</t>
  </si>
  <si>
    <t>LOT-134-000156</t>
  </si>
  <si>
    <t>MOV0000157</t>
  </si>
  <si>
    <t>LOT-033-000157</t>
  </si>
  <si>
    <t>MOV0000158</t>
  </si>
  <si>
    <t>LOT-055-000158</t>
  </si>
  <si>
    <t>MOV0000159</t>
  </si>
  <si>
    <t>LOT-050-000159</t>
  </si>
  <si>
    <t>MOV0000160</t>
  </si>
  <si>
    <t>LOT-113-000160</t>
  </si>
  <si>
    <t>MOV0000161</t>
  </si>
  <si>
    <t>LOT-036-000161</t>
  </si>
  <si>
    <t>MOV0000162</t>
  </si>
  <si>
    <t>LOT-121-000162</t>
  </si>
  <si>
    <t>MOV0000163</t>
  </si>
  <si>
    <t>LOT-053-000163</t>
  </si>
  <si>
    <t>MOV0000164</t>
  </si>
  <si>
    <t>LOT-151-000164</t>
  </si>
  <si>
    <t>MOV0000165</t>
  </si>
  <si>
    <t>LOT-151-000165</t>
  </si>
  <si>
    <t>MOV0000166</t>
  </si>
  <si>
    <t>LOT-017-000166</t>
  </si>
  <si>
    <t>MOV0000167</t>
  </si>
  <si>
    <t>LOT-165-000167</t>
  </si>
  <si>
    <t>MOV0000168</t>
  </si>
  <si>
    <t>LOT-051-000168</t>
  </si>
  <si>
    <t>MOV0000169</t>
  </si>
  <si>
    <t>LOT-157-000169</t>
  </si>
  <si>
    <t>MOV0000170</t>
  </si>
  <si>
    <t>LOT-002-000170</t>
  </si>
  <si>
    <t>MOV0000171</t>
  </si>
  <si>
    <t>LOT-050-000171</t>
  </si>
  <si>
    <t>MOV0000172</t>
  </si>
  <si>
    <t>LOT-138-000172</t>
  </si>
  <si>
    <t>MOV0000173</t>
  </si>
  <si>
    <t>LOT-016-000173</t>
  </si>
  <si>
    <t>MOV0000174</t>
  </si>
  <si>
    <t>LOT-032-000174</t>
  </si>
  <si>
    <t>MOV0000175</t>
  </si>
  <si>
    <t>LOT-073-000175</t>
  </si>
  <si>
    <t>MOV0000176</t>
  </si>
  <si>
    <t>LOT-075-000176</t>
  </si>
  <si>
    <t>MOV0000177</t>
  </si>
  <si>
    <t>LOT-100-000177</t>
  </si>
  <si>
    <t>MOV0000178</t>
  </si>
  <si>
    <t>LOT-092-000178</t>
  </si>
  <si>
    <t>MOV0000179</t>
  </si>
  <si>
    <t>LOT-098-000179</t>
  </si>
  <si>
    <t>MOV0000180</t>
  </si>
  <si>
    <t>LOT-161-000180</t>
  </si>
  <si>
    <t>MOV0000181</t>
  </si>
  <si>
    <t>LOT-061-000181</t>
  </si>
  <si>
    <t>MOV0000182</t>
  </si>
  <si>
    <t>LOT-161-000182</t>
  </si>
  <si>
    <t>MOV0000183</t>
  </si>
  <si>
    <t>LOT-147-000183</t>
  </si>
  <si>
    <t>MOV0000184</t>
  </si>
  <si>
    <t>LOT-119-000184</t>
  </si>
  <si>
    <t>MOV0000185</t>
  </si>
  <si>
    <t>LOT-122-000185</t>
  </si>
  <si>
    <t>MOV0000186</t>
  </si>
  <si>
    <t>LOT-136-000186</t>
  </si>
  <si>
    <t>MOV0000187</t>
  </si>
  <si>
    <t>LOT-169-000187</t>
  </si>
  <si>
    <t>MOV0000188</t>
  </si>
  <si>
    <t>LOT-053-000188</t>
  </si>
  <si>
    <t>MOV0000189</t>
  </si>
  <si>
    <t>LOT-064-000189</t>
  </si>
  <si>
    <t>MOV0000190</t>
  </si>
  <si>
    <t>LOT-066-000190</t>
  </si>
  <si>
    <t>MOV0000191</t>
  </si>
  <si>
    <t>LOT-066-000191</t>
  </si>
  <si>
    <t>MOV0000192</t>
  </si>
  <si>
    <t>LOT-064-000192</t>
  </si>
  <si>
    <t>MOV0000193</t>
  </si>
  <si>
    <t>LOT-069-000193</t>
  </si>
  <si>
    <t>MOV0000194</t>
  </si>
  <si>
    <t>LOT-013-000194</t>
  </si>
  <si>
    <t>MOV0000195</t>
  </si>
  <si>
    <t>LOT-104-000195</t>
  </si>
  <si>
    <t>MOV0000196</t>
  </si>
  <si>
    <t>LOT-073-000196</t>
  </si>
  <si>
    <t>MOV0000197</t>
  </si>
  <si>
    <t>LOT-013-000197</t>
  </si>
  <si>
    <t>MOV0000198</t>
  </si>
  <si>
    <t>LOT-033-000198</t>
  </si>
  <si>
    <t>MOV0000199</t>
  </si>
  <si>
    <t>LOT-092-000199</t>
  </si>
  <si>
    <t>MOV0000200</t>
  </si>
  <si>
    <t>LOT-170-000200</t>
  </si>
  <si>
    <t>MOV0000201</t>
  </si>
  <si>
    <t>LOT-038-000201</t>
  </si>
  <si>
    <t>MOV0000202</t>
  </si>
  <si>
    <t>LOT-159-000202</t>
  </si>
  <si>
    <t>MOV0000203</t>
  </si>
  <si>
    <t>LOT-037-000203</t>
  </si>
  <si>
    <t>MOV0000204</t>
  </si>
  <si>
    <t>LOT-161-000204</t>
  </si>
  <si>
    <t>MOV0000205</t>
  </si>
  <si>
    <t>LOT-157-000205</t>
  </si>
  <si>
    <t>MOV0000206</t>
  </si>
  <si>
    <t>LOT-054-000206</t>
  </si>
  <si>
    <t>MOV0000207</t>
  </si>
  <si>
    <t>LOT-085-000207</t>
  </si>
  <si>
    <t>MOV0000208</t>
  </si>
  <si>
    <t>LOT-004-000208</t>
  </si>
  <si>
    <t>MOV0000209</t>
  </si>
  <si>
    <t>LOT-136-000209</t>
  </si>
  <si>
    <t>MOV0000210</t>
  </si>
  <si>
    <t>LOT-098-000210</t>
  </si>
  <si>
    <t>MOV0000211</t>
  </si>
  <si>
    <t>LOT-037-000211</t>
  </si>
  <si>
    <t>MOV0000212</t>
  </si>
  <si>
    <t>LOT-170-000212</t>
  </si>
  <si>
    <t>MOV0000213</t>
  </si>
  <si>
    <t>LOT-091-000213</t>
  </si>
  <si>
    <t>MOV0000214</t>
  </si>
  <si>
    <t>LOT-021-000214</t>
  </si>
  <si>
    <t>MOV0000215</t>
  </si>
  <si>
    <t>LOT-005-000215</t>
  </si>
  <si>
    <t>MOV0000216</t>
  </si>
  <si>
    <t>LOT-131-000216</t>
  </si>
  <si>
    <t>MOV0000217</t>
  </si>
  <si>
    <t>LOT-064-000217</t>
  </si>
  <si>
    <t>MOV0000218</t>
  </si>
  <si>
    <t>LOT-159-000218</t>
  </si>
  <si>
    <t>MOV0000219</t>
  </si>
  <si>
    <t>LOT-055-000219</t>
  </si>
  <si>
    <t>MOV0000220</t>
  </si>
  <si>
    <t>LOT-058-000220</t>
  </si>
  <si>
    <t>MOV0000221</t>
  </si>
  <si>
    <t>LOT-015-000221</t>
  </si>
  <si>
    <t>MOV0000222</t>
  </si>
  <si>
    <t>LOT-081-000222</t>
  </si>
  <si>
    <t>MOV0000223</t>
  </si>
  <si>
    <t>LOT-020-000223</t>
  </si>
  <si>
    <t>MOV0000224</t>
  </si>
  <si>
    <t>LOT-033-000224</t>
  </si>
  <si>
    <t>MOV0000225</t>
  </si>
  <si>
    <t>LOT-034-000225</t>
  </si>
  <si>
    <t>MOV0000226</t>
  </si>
  <si>
    <t>LOT-136-000226</t>
  </si>
  <si>
    <t>MOV0000227</t>
  </si>
  <si>
    <t>LOT-078-000227</t>
  </si>
  <si>
    <t>MOV0000228</t>
  </si>
  <si>
    <t>LOT-139-000228</t>
  </si>
  <si>
    <t>MOV0000229</t>
  </si>
  <si>
    <t>LOT-045-000229</t>
  </si>
  <si>
    <t>MOV0000230</t>
  </si>
  <si>
    <t>LOT-092-000230</t>
  </si>
  <si>
    <t>MOV0000231</t>
  </si>
  <si>
    <t>LOT-019-000231</t>
  </si>
  <si>
    <t>MOV0000232</t>
  </si>
  <si>
    <t>LOT-176-000232</t>
  </si>
  <si>
    <t>MOV0000233</t>
  </si>
  <si>
    <t>LOT-045-000233</t>
  </si>
  <si>
    <t>MOV0000234</t>
  </si>
  <si>
    <t>LOT-031-000234</t>
  </si>
  <si>
    <t>MOV0000235</t>
  </si>
  <si>
    <t>LOT-124-000235</t>
  </si>
  <si>
    <t>MOV0000236</t>
  </si>
  <si>
    <t>LOT-136-000236</t>
  </si>
  <si>
    <t>MOV0000237</t>
  </si>
  <si>
    <t>LOT-058-000237</t>
  </si>
  <si>
    <t>MOV0000238</t>
  </si>
  <si>
    <t>LOT-010-000238</t>
  </si>
  <si>
    <t>MOV0000239</t>
  </si>
  <si>
    <t>LOT-011-000239</t>
  </si>
  <si>
    <t>MOV0000240</t>
  </si>
  <si>
    <t>LOT-067-000240</t>
  </si>
  <si>
    <t>MOV0000241</t>
  </si>
  <si>
    <t>LOT-108-000241</t>
  </si>
  <si>
    <t>MOV0000242</t>
  </si>
  <si>
    <t>LOT-018-000242</t>
  </si>
  <si>
    <t>MOV0000243</t>
  </si>
  <si>
    <t>LOT-110-000243</t>
  </si>
  <si>
    <t>MOV0000244</t>
  </si>
  <si>
    <t>LOT-093-000244</t>
  </si>
  <si>
    <t>MOV0000245</t>
  </si>
  <si>
    <t>LOT-032-000245</t>
  </si>
  <si>
    <t>MOV0000246</t>
  </si>
  <si>
    <t>LOT-124-000246</t>
  </si>
  <si>
    <t>MOV0000247</t>
  </si>
  <si>
    <t>LOT-034-000247</t>
  </si>
  <si>
    <t>MOV0000248</t>
  </si>
  <si>
    <t>LOT-051-000248</t>
  </si>
  <si>
    <t>MOV0000249</t>
  </si>
  <si>
    <t>LOT-010-000249</t>
  </si>
  <si>
    <t>MOV0000250</t>
  </si>
  <si>
    <t>LOT-090-000250</t>
  </si>
  <si>
    <t>MOV0000251</t>
  </si>
  <si>
    <t>LOT-031-000251</t>
  </si>
  <si>
    <t>MOV0000252</t>
  </si>
  <si>
    <t>LOT-071-000252</t>
  </si>
  <si>
    <t>MOV0000253</t>
  </si>
  <si>
    <t>LOT-149-000253</t>
  </si>
  <si>
    <t>MOV0000254</t>
  </si>
  <si>
    <t>LOT-016-000254</t>
  </si>
  <si>
    <t>MOV0000255</t>
  </si>
  <si>
    <t>LOT-062-000255</t>
  </si>
  <si>
    <t>MOV0000256</t>
  </si>
  <si>
    <t>LOT-027-000256</t>
  </si>
  <si>
    <t>MOV0000257</t>
  </si>
  <si>
    <t>LOT-033-000257</t>
  </si>
  <si>
    <t>MOV0000258</t>
  </si>
  <si>
    <t>LOT-002-000258</t>
  </si>
  <si>
    <t>MOV0000259</t>
  </si>
  <si>
    <t>LOT-163-000259</t>
  </si>
  <si>
    <t>MOV0000260</t>
  </si>
  <si>
    <t>LOT-147-000260</t>
  </si>
  <si>
    <t>MOV0000261</t>
  </si>
  <si>
    <t>LOT-009-000261</t>
  </si>
  <si>
    <t>MOV0000262</t>
  </si>
  <si>
    <t>LOT-041-000262</t>
  </si>
  <si>
    <t>MOV0000263</t>
  </si>
  <si>
    <t>LOT-134-000263</t>
  </si>
  <si>
    <t>MOV0000264</t>
  </si>
  <si>
    <t>LOT-010-000264</t>
  </si>
  <si>
    <t>MOV0000265</t>
  </si>
  <si>
    <t>LOT-051-000265</t>
  </si>
  <si>
    <t>MOV0000266</t>
  </si>
  <si>
    <t>LOT-042-000266</t>
  </si>
  <si>
    <t>MOV0000267</t>
  </si>
  <si>
    <t>LOT-084-000267</t>
  </si>
  <si>
    <t>MOV0000268</t>
  </si>
  <si>
    <t>LOT-179-000268</t>
  </si>
  <si>
    <t>MOV0000269</t>
  </si>
  <si>
    <t>LOT-027-000269</t>
  </si>
  <si>
    <t>MOV0000270</t>
  </si>
  <si>
    <t>LOT-097-000270</t>
  </si>
  <si>
    <t>MOV0000271</t>
  </si>
  <si>
    <t>LOT-151-000271</t>
  </si>
  <si>
    <t>MOV0000272</t>
  </si>
  <si>
    <t>LOT-134-000272</t>
  </si>
  <si>
    <t>MOV0000273</t>
  </si>
  <si>
    <t>LOT-034-000273</t>
  </si>
  <si>
    <t>MOV0000274</t>
  </si>
  <si>
    <t>LOT-009-000274</t>
  </si>
  <si>
    <t>MOV0000275</t>
  </si>
  <si>
    <t>LOT-012-000275</t>
  </si>
  <si>
    <t>MOV0000276</t>
  </si>
  <si>
    <t>LOT-100-000276</t>
  </si>
  <si>
    <t>MOV0000277</t>
  </si>
  <si>
    <t>LOT-170-000277</t>
  </si>
  <si>
    <t>MOV0000278</t>
  </si>
  <si>
    <t>LOT-176-000278</t>
  </si>
  <si>
    <t>MOV0000279</t>
  </si>
  <si>
    <t>LOT-007-000279</t>
  </si>
  <si>
    <t>MOV0000280</t>
  </si>
  <si>
    <t>LOT-070-000280</t>
  </si>
  <si>
    <t>MOV0000281</t>
  </si>
  <si>
    <t>LOT-143-000281</t>
  </si>
  <si>
    <t>MOV0000282</t>
  </si>
  <si>
    <t>LOT-115-000282</t>
  </si>
  <si>
    <t>MOV0000283</t>
  </si>
  <si>
    <t>LOT-033-000283</t>
  </si>
  <si>
    <t>MOV0000284</t>
  </si>
  <si>
    <t>LOT-094-000284</t>
  </si>
  <si>
    <t>MOV0000285</t>
  </si>
  <si>
    <t>LOT-136-000285</t>
  </si>
  <si>
    <t>MOV0000286</t>
  </si>
  <si>
    <t>LOT-050-000286</t>
  </si>
  <si>
    <t>MOV0000287</t>
  </si>
  <si>
    <t>LOT-146-000287</t>
  </si>
  <si>
    <t>MOV0000288</t>
  </si>
  <si>
    <t>LOT-129-000288</t>
  </si>
  <si>
    <t>MOV0000289</t>
  </si>
  <si>
    <t>LOT-113-000289</t>
  </si>
  <si>
    <t>MOV0000290</t>
  </si>
  <si>
    <t>LOT-167-000290</t>
  </si>
  <si>
    <t>MOV0000291</t>
  </si>
  <si>
    <t>LOT-098-000291</t>
  </si>
  <si>
    <t>MOV0000292</t>
  </si>
  <si>
    <t>LOT-144-000292</t>
  </si>
  <si>
    <t>MOV0000293</t>
  </si>
  <si>
    <t>LOT-039-000293</t>
  </si>
  <si>
    <t>MOV0000294</t>
  </si>
  <si>
    <t>LOT-094-000294</t>
  </si>
  <si>
    <t>MOV0000295</t>
  </si>
  <si>
    <t>LOT-006-000295</t>
  </si>
  <si>
    <t>MOV0000296</t>
  </si>
  <si>
    <t>LOT-078-000296</t>
  </si>
  <si>
    <t>MOV0000297</t>
  </si>
  <si>
    <t>LOT-049-000297</t>
  </si>
  <si>
    <t>MOV0000298</t>
  </si>
  <si>
    <t>LOT-042-000298</t>
  </si>
  <si>
    <t>MOV0000299</t>
  </si>
  <si>
    <t>LOT-137-000299</t>
  </si>
  <si>
    <t>MOV0000300</t>
  </si>
  <si>
    <t>LOT-124-000300</t>
  </si>
  <si>
    <t>MOV0000301</t>
  </si>
  <si>
    <t>LOT-051-000301</t>
  </si>
  <si>
    <t>MOV0000302</t>
  </si>
  <si>
    <t>LOT-121-000302</t>
  </si>
  <si>
    <t>MOV0000303</t>
  </si>
  <si>
    <t>LOT-029-000303</t>
  </si>
  <si>
    <t>MOV0000304</t>
  </si>
  <si>
    <t>LOT-051-000304</t>
  </si>
  <si>
    <t>MOV0000305</t>
  </si>
  <si>
    <t>LOT-176-000305</t>
  </si>
  <si>
    <t>MOV0000306</t>
  </si>
  <si>
    <t>LOT-139-000306</t>
  </si>
  <si>
    <t>MOV0000307</t>
  </si>
  <si>
    <t>LOT-150-000307</t>
  </si>
  <si>
    <t>MOV0000308</t>
  </si>
  <si>
    <t>LOT-159-000308</t>
  </si>
  <si>
    <t>MOV0000309</t>
  </si>
  <si>
    <t>LOT-132-000309</t>
  </si>
  <si>
    <t>MOV0000310</t>
  </si>
  <si>
    <t>LOT-163-000310</t>
  </si>
  <si>
    <t>MOV0000311</t>
  </si>
  <si>
    <t>LOT-051-000311</t>
  </si>
  <si>
    <t>MOV0000312</t>
  </si>
  <si>
    <t>LOT-122-000312</t>
  </si>
  <si>
    <t>MOV0000313</t>
  </si>
  <si>
    <t>LOT-006-000313</t>
  </si>
  <si>
    <t>MOV0000314</t>
  </si>
  <si>
    <t>LOT-105-000314</t>
  </si>
  <si>
    <t>MOV0000315</t>
  </si>
  <si>
    <t>LOT-141-000315</t>
  </si>
  <si>
    <t>MOV0000316</t>
  </si>
  <si>
    <t>LOT-058-000316</t>
  </si>
  <si>
    <t>MOV0000317</t>
  </si>
  <si>
    <t>LOT-029-000317</t>
  </si>
  <si>
    <t>MOV0000318</t>
  </si>
  <si>
    <t>LOT-090-000318</t>
  </si>
  <si>
    <t>MOV0000319</t>
  </si>
  <si>
    <t>LOT-006-000319</t>
  </si>
  <si>
    <t>MOV0000320</t>
  </si>
  <si>
    <t>LOT-157-000320</t>
  </si>
  <si>
    <t>MOV0000321</t>
  </si>
  <si>
    <t>SO-189088</t>
  </si>
  <si>
    <t>MOV0000322</t>
  </si>
  <si>
    <t>SO-145145</t>
  </si>
  <si>
    <t>MOV0000323</t>
  </si>
  <si>
    <t>SO-186113</t>
  </si>
  <si>
    <t>MOV0000324</t>
  </si>
  <si>
    <t>SO-197896</t>
  </si>
  <si>
    <t>MOV0000325</t>
  </si>
  <si>
    <t>SO-121892</t>
  </si>
  <si>
    <t>MOV0000326</t>
  </si>
  <si>
    <t>SO-158368</t>
  </si>
  <si>
    <t>MOV0000327</t>
  </si>
  <si>
    <t>SO-172509</t>
  </si>
  <si>
    <t>MOV0000328</t>
  </si>
  <si>
    <t>SO-109493</t>
  </si>
  <si>
    <t>MOV0000329</t>
  </si>
  <si>
    <t>SO-106213</t>
  </si>
  <si>
    <t>MOV0000330</t>
  </si>
  <si>
    <t>SO-107203</t>
  </si>
  <si>
    <t>MOV0000331</t>
  </si>
  <si>
    <t>SO-113619</t>
  </si>
  <si>
    <t>MOV0000332</t>
  </si>
  <si>
    <t>SO-151694</t>
  </si>
  <si>
    <t>MOV0000333</t>
  </si>
  <si>
    <t>SO-144881</t>
  </si>
  <si>
    <t>MOV0000334</t>
  </si>
  <si>
    <t>SO-121519</t>
  </si>
  <si>
    <t>MOV0000335</t>
  </si>
  <si>
    <t>SO-146160</t>
  </si>
  <si>
    <t>MOV0000336</t>
  </si>
  <si>
    <t>SO-158398</t>
  </si>
  <si>
    <t>MOV0000337</t>
  </si>
  <si>
    <t>SO-166310</t>
  </si>
  <si>
    <t>MOV0000338</t>
  </si>
  <si>
    <t>SO-110494</t>
  </si>
  <si>
    <t>MOV0000339</t>
  </si>
  <si>
    <t>SO-102487</t>
  </si>
  <si>
    <t>MOV0000340</t>
  </si>
  <si>
    <t>SO-151216</t>
  </si>
  <si>
    <t>MOV0000341</t>
  </si>
  <si>
    <t>SO-123210</t>
  </si>
  <si>
    <t>MOV0000342</t>
  </si>
  <si>
    <t>SO-111526</t>
  </si>
  <si>
    <t>MOV0000343</t>
  </si>
  <si>
    <t>SO-128078</t>
  </si>
  <si>
    <t>MOV0000344</t>
  </si>
  <si>
    <t>SO-104675</t>
  </si>
  <si>
    <t>MOV0000345</t>
  </si>
  <si>
    <t>SO-102977</t>
  </si>
  <si>
    <t>MOV0000346</t>
  </si>
  <si>
    <t>SO-159813</t>
  </si>
  <si>
    <t>MOV0000347</t>
  </si>
  <si>
    <t>SO-100459</t>
  </si>
  <si>
    <t>MOV0000348</t>
  </si>
  <si>
    <t>SO-107751</t>
  </si>
  <si>
    <t>MOV0000349</t>
  </si>
  <si>
    <t>SO-180405</t>
  </si>
  <si>
    <t>MOV0000350</t>
  </si>
  <si>
    <t>SO-168915</t>
  </si>
  <si>
    <t>MOV0000351</t>
  </si>
  <si>
    <t>SO-125299</t>
  </si>
  <si>
    <t>MOV0000352</t>
  </si>
  <si>
    <t>SO-117062</t>
  </si>
  <si>
    <t>MOV0000353</t>
  </si>
  <si>
    <t>SO-147790</t>
  </si>
  <si>
    <t>MOV0000354</t>
  </si>
  <si>
    <t>SO-116523</t>
  </si>
  <si>
    <t>MOV0000355</t>
  </si>
  <si>
    <t>SO-115936</t>
  </si>
  <si>
    <t>MOV0000356</t>
  </si>
  <si>
    <t>SO-110354</t>
  </si>
  <si>
    <t>MOV0000357</t>
  </si>
  <si>
    <t>SO-168251</t>
  </si>
  <si>
    <t>MOV0000358</t>
  </si>
  <si>
    <t>SO-119176</t>
  </si>
  <si>
    <t>MOV0000359</t>
  </si>
  <si>
    <t>SO-148434</t>
  </si>
  <si>
    <t>MOV0000360</t>
  </si>
  <si>
    <t>SO-186633</t>
  </si>
  <si>
    <t>MOV0000361</t>
  </si>
  <si>
    <t>SO-131523</t>
  </si>
  <si>
    <t>MOV0000362</t>
  </si>
  <si>
    <t>SO-162031</t>
  </si>
  <si>
    <t>MOV0000363</t>
  </si>
  <si>
    <t>SO-135538</t>
  </si>
  <si>
    <t>MOV0000364</t>
  </si>
  <si>
    <t>SO-139543</t>
  </si>
  <si>
    <t>MOV0000365</t>
  </si>
  <si>
    <t>SO-144833</t>
  </si>
  <si>
    <t>MOV0000366</t>
  </si>
  <si>
    <t>SO-105146</t>
  </si>
  <si>
    <t>MOV0000367</t>
  </si>
  <si>
    <t>SO-121236</t>
  </si>
  <si>
    <t>MOV0000368</t>
  </si>
  <si>
    <t>SO-118835</t>
  </si>
  <si>
    <t>MOV0000369</t>
  </si>
  <si>
    <t>SO-152515</t>
  </si>
  <si>
    <t>MOV0000370</t>
  </si>
  <si>
    <t>SO-122661</t>
  </si>
  <si>
    <t>MOV0000371</t>
  </si>
  <si>
    <t>SO-164647</t>
  </si>
  <si>
    <t>MOV0000372</t>
  </si>
  <si>
    <t>SO-164253</t>
  </si>
  <si>
    <t>MOV0000373</t>
  </si>
  <si>
    <t>MOV0000374</t>
  </si>
  <si>
    <t>SO-119810</t>
  </si>
  <si>
    <t>MOV0000375</t>
  </si>
  <si>
    <t>SO-184075</t>
  </si>
  <si>
    <t>MOV0000376</t>
  </si>
  <si>
    <t>SO-117147</t>
  </si>
  <si>
    <t>MOV0000377</t>
  </si>
  <si>
    <t>SO-105559</t>
  </si>
  <si>
    <t>MOV0000378</t>
  </si>
  <si>
    <t>SO-154992</t>
  </si>
  <si>
    <t>MOV0000379</t>
  </si>
  <si>
    <t>SO-151002</t>
  </si>
  <si>
    <t>MOV0000380</t>
  </si>
  <si>
    <t>SO-184531</t>
  </si>
  <si>
    <t>MOV0000381</t>
  </si>
  <si>
    <t>SO-180174</t>
  </si>
  <si>
    <t>MOV0000382</t>
  </si>
  <si>
    <t>SO-130547</t>
  </si>
  <si>
    <t>MOV0000383</t>
  </si>
  <si>
    <t>SO-120513</t>
  </si>
  <si>
    <t>MOV0000384</t>
  </si>
  <si>
    <t>SO-169910</t>
  </si>
  <si>
    <t>MOV0000385</t>
  </si>
  <si>
    <t>SO-197416</t>
  </si>
  <si>
    <t>MOV0000386</t>
  </si>
  <si>
    <t>SO-150944</t>
  </si>
  <si>
    <t>MOV0000387</t>
  </si>
  <si>
    <t>SO-170552</t>
  </si>
  <si>
    <t>MOV0000388</t>
  </si>
  <si>
    <t>SO-124140</t>
  </si>
  <si>
    <t>MOV0000389</t>
  </si>
  <si>
    <t>SO-189899</t>
  </si>
  <si>
    <t>MOV0000390</t>
  </si>
  <si>
    <t>SO-172769</t>
  </si>
  <si>
    <t>MOV0000391</t>
  </si>
  <si>
    <t>SO-148636</t>
  </si>
  <si>
    <t>MOV0000392</t>
  </si>
  <si>
    <t>SO-163461</t>
  </si>
  <si>
    <t>MOV0000393</t>
  </si>
  <si>
    <t>SO-166964</t>
  </si>
  <si>
    <t>MOV0000394</t>
  </si>
  <si>
    <t>SO-164493</t>
  </si>
  <si>
    <t>MOV0000395</t>
  </si>
  <si>
    <t>SO-162004</t>
  </si>
  <si>
    <t>MOV0000396</t>
  </si>
  <si>
    <t>SO-107313</t>
  </si>
  <si>
    <t>MOV0000397</t>
  </si>
  <si>
    <t>SO-157570</t>
  </si>
  <si>
    <t>MOV0000398</t>
  </si>
  <si>
    <t>SO-195578</t>
  </si>
  <si>
    <t>MOV0000399</t>
  </si>
  <si>
    <t>SO-118463</t>
  </si>
  <si>
    <t>MOV0000400</t>
  </si>
  <si>
    <t>SO-120348</t>
  </si>
  <si>
    <t>MOV0000401</t>
  </si>
  <si>
    <t>SO-197417</t>
  </si>
  <si>
    <t>MOV0000402</t>
  </si>
  <si>
    <t>SO-138523</t>
  </si>
  <si>
    <t>MOV0000403</t>
  </si>
  <si>
    <t>SO-131783</t>
  </si>
  <si>
    <t>MOV0000404</t>
  </si>
  <si>
    <t>SO-153557</t>
  </si>
  <si>
    <t>MOV0000405</t>
  </si>
  <si>
    <t>SO-197317</t>
  </si>
  <si>
    <t>MOV0000406</t>
  </si>
  <si>
    <t>SO-179186</t>
  </si>
  <si>
    <t>MOV0000407</t>
  </si>
  <si>
    <t>SO-175726</t>
  </si>
  <si>
    <t>MOV0000408</t>
  </si>
  <si>
    <t>SO-148720</t>
  </si>
  <si>
    <t>MOV0000409</t>
  </si>
  <si>
    <t>SO-100422</t>
  </si>
  <si>
    <t>MOV0000410</t>
  </si>
  <si>
    <t>SO-144187</t>
  </si>
  <si>
    <t>MOV0000411</t>
  </si>
  <si>
    <t>SO-125841</t>
  </si>
  <si>
    <t>MOV0000412</t>
  </si>
  <si>
    <t>SO-173610</t>
  </si>
  <si>
    <t>MOV0000413</t>
  </si>
  <si>
    <t>SO-183229</t>
  </si>
  <si>
    <t>MOV0000414</t>
  </si>
  <si>
    <t>SO-167411</t>
  </si>
  <si>
    <t>MOV0000415</t>
  </si>
  <si>
    <t>SO-194856</t>
  </si>
  <si>
    <t>MOV0000416</t>
  </si>
  <si>
    <t>SO-121093</t>
  </si>
  <si>
    <t>MOV0000417</t>
  </si>
  <si>
    <t>SO-198222</t>
  </si>
  <si>
    <t>MOV0000418</t>
  </si>
  <si>
    <t>SO-173737</t>
  </si>
  <si>
    <t>MOV0000419</t>
  </si>
  <si>
    <t>SO-170140</t>
  </si>
  <si>
    <t>MOV0000420</t>
  </si>
  <si>
    <t>MOV0000421</t>
  </si>
  <si>
    <t>SO-117734</t>
  </si>
  <si>
    <t>MOV0000422</t>
  </si>
  <si>
    <t>SO-193919</t>
  </si>
  <si>
    <t>MOV0000423</t>
  </si>
  <si>
    <t>SO-197525</t>
  </si>
  <si>
    <t>MOV0000424</t>
  </si>
  <si>
    <t>SO-124711</t>
  </si>
  <si>
    <t>MOV0000425</t>
  </si>
  <si>
    <t>SO-124580</t>
  </si>
  <si>
    <t>MOV0000426</t>
  </si>
  <si>
    <t>SO-142380</t>
  </si>
  <si>
    <t>MOV0000427</t>
  </si>
  <si>
    <t>SO-163544</t>
  </si>
  <si>
    <t>MOV0000428</t>
  </si>
  <si>
    <t>SO-144786</t>
  </si>
  <si>
    <t>MOV0000429</t>
  </si>
  <si>
    <t>SO-155084</t>
  </si>
  <si>
    <t>MOV0000430</t>
  </si>
  <si>
    <t>SO-128932</t>
  </si>
  <si>
    <t>MOV0000431</t>
  </si>
  <si>
    <t>SO-172834</t>
  </si>
  <si>
    <t>MOV0000432</t>
  </si>
  <si>
    <t>SO-107567</t>
  </si>
  <si>
    <t>MOV0000433</t>
  </si>
  <si>
    <t>SO-112381</t>
  </si>
  <si>
    <t>MOV0000434</t>
  </si>
  <si>
    <t>SO-144796</t>
  </si>
  <si>
    <t>MOV0000435</t>
  </si>
  <si>
    <t>SO-181086</t>
  </si>
  <si>
    <t>MOV0000436</t>
  </si>
  <si>
    <t>SO-169997</t>
  </si>
  <si>
    <t>MOV0000437</t>
  </si>
  <si>
    <t>SO-177385</t>
  </si>
  <si>
    <t>MOV0000438</t>
  </si>
  <si>
    <t>SO-163770</t>
  </si>
  <si>
    <t>MOV0000439</t>
  </si>
  <si>
    <t>SO-100846</t>
  </si>
  <si>
    <t>MOV0000440</t>
  </si>
  <si>
    <t>SO-156296</t>
  </si>
  <si>
    <t>MOV0000441</t>
  </si>
  <si>
    <t>SO-194199</t>
  </si>
  <si>
    <t>MOV0000442</t>
  </si>
  <si>
    <t>SO-180361</t>
  </si>
  <si>
    <t>MOV0000443</t>
  </si>
  <si>
    <t>SO-174963</t>
  </si>
  <si>
    <t>MOV0000444</t>
  </si>
  <si>
    <t>SO-112913</t>
  </si>
  <si>
    <t>MOV0000445</t>
  </si>
  <si>
    <t>SO-175174</t>
  </si>
  <si>
    <t>MOV0000446</t>
  </si>
  <si>
    <t>SO-173322</t>
  </si>
  <si>
    <t>MOV0000447</t>
  </si>
  <si>
    <t>SO-199461</t>
  </si>
  <si>
    <t>MOV0000448</t>
  </si>
  <si>
    <t>SO-101805</t>
  </si>
  <si>
    <t>MOV0000449</t>
  </si>
  <si>
    <t>SO-150461</t>
  </si>
  <si>
    <t>MOV0000450</t>
  </si>
  <si>
    <t>SO-159941</t>
  </si>
  <si>
    <t>MOV0000451</t>
  </si>
  <si>
    <t>SO-129562</t>
  </si>
  <si>
    <t>MOV0000452</t>
  </si>
  <si>
    <t>SO-197005</t>
  </si>
  <si>
    <t>MOV0000453</t>
  </si>
  <si>
    <t>MOV0000454</t>
  </si>
  <si>
    <t>SO-103038</t>
  </si>
  <si>
    <t>MOV0000455</t>
  </si>
  <si>
    <t>SO-110481</t>
  </si>
  <si>
    <t>MOV0000456</t>
  </si>
  <si>
    <t>SO-103764</t>
  </si>
  <si>
    <t>MOV0000457</t>
  </si>
  <si>
    <t>SO-197162</t>
  </si>
  <si>
    <t>MOV0000458</t>
  </si>
  <si>
    <t>SO-194610</t>
  </si>
  <si>
    <t>MOV0000459</t>
  </si>
  <si>
    <t>SO-184799</t>
  </si>
  <si>
    <t>MOV0000460</t>
  </si>
  <si>
    <t>SO-183922</t>
  </si>
  <si>
    <t>MOV0000461</t>
  </si>
  <si>
    <t>SO-196029</t>
  </si>
  <si>
    <t>MOV0000462</t>
  </si>
  <si>
    <t>SO-173393</t>
  </si>
  <si>
    <t>MOV0000463</t>
  </si>
  <si>
    <t>SO-140047</t>
  </si>
  <si>
    <t>MOV0000464</t>
  </si>
  <si>
    <t>SO-104175</t>
  </si>
  <si>
    <t>MOV0000465</t>
  </si>
  <si>
    <t>SO-162910</t>
  </si>
  <si>
    <t>MOV0000466</t>
  </si>
  <si>
    <t>SO-165082</t>
  </si>
  <si>
    <t>MOV0000467</t>
  </si>
  <si>
    <t>SO-142563</t>
  </si>
  <si>
    <t>MOV0000468</t>
  </si>
  <si>
    <t>SO-171245</t>
  </si>
  <si>
    <t>MOV0000469</t>
  </si>
  <si>
    <t>SO-135131</t>
  </si>
  <si>
    <t>MOV0000470</t>
  </si>
  <si>
    <t>SO-112933</t>
  </si>
  <si>
    <t>MOV0000471</t>
  </si>
  <si>
    <t>SO-155510</t>
  </si>
  <si>
    <t>MOV0000472</t>
  </si>
  <si>
    <t>SO-140132</t>
  </si>
  <si>
    <t>MOV0000473</t>
  </si>
  <si>
    <t>SO-172605</t>
  </si>
  <si>
    <t>MOV0000474</t>
  </si>
  <si>
    <t>SO-138997</t>
  </si>
  <si>
    <t>MOV0000475</t>
  </si>
  <si>
    <t>SO-114466</t>
  </si>
  <si>
    <t>MOV0000476</t>
  </si>
  <si>
    <t>SO-104664</t>
  </si>
  <si>
    <t>MOV0000477</t>
  </si>
  <si>
    <t>SO-152639</t>
  </si>
  <si>
    <t>MOV0000478</t>
  </si>
  <si>
    <t>SO-155532</t>
  </si>
  <si>
    <t>MOV0000479</t>
  </si>
  <si>
    <t>SO-122423</t>
  </si>
  <si>
    <t>MOV0000480</t>
  </si>
  <si>
    <t>SO-130790</t>
  </si>
  <si>
    <t>MOV0000481</t>
  </si>
  <si>
    <t>SO-115732</t>
  </si>
  <si>
    <t>MOV0000482</t>
  </si>
  <si>
    <t>SO-138216</t>
  </si>
  <si>
    <t>MOV0000483</t>
  </si>
  <si>
    <t>SO-124616</t>
  </si>
  <si>
    <t>MOV0000484</t>
  </si>
  <si>
    <t>SO-151111</t>
  </si>
  <si>
    <t>MOV0000485</t>
  </si>
  <si>
    <t>SO-169689</t>
  </si>
  <si>
    <t>MOV0000486</t>
  </si>
  <si>
    <t>SO-199630</t>
  </si>
  <si>
    <t>MOV0000487</t>
  </si>
  <si>
    <t>SO-107680</t>
  </si>
  <si>
    <t>MOV0000488</t>
  </si>
  <si>
    <t>SO-149981</t>
  </si>
  <si>
    <t>MOV0000489</t>
  </si>
  <si>
    <t>SO-128393</t>
  </si>
  <si>
    <t>MOV0000490</t>
  </si>
  <si>
    <t>SO-154467</t>
  </si>
  <si>
    <t>MOV0000491</t>
  </si>
  <si>
    <t>SO-159729</t>
  </si>
  <si>
    <t>MOV0000492</t>
  </si>
  <si>
    <t>SO-120845</t>
  </si>
  <si>
    <t>MOV0000493</t>
  </si>
  <si>
    <t>SO-174487</t>
  </si>
  <si>
    <t>MOV0000494</t>
  </si>
  <si>
    <t>SO-129886</t>
  </si>
  <si>
    <t>MOV0000495</t>
  </si>
  <si>
    <t>SO-128661</t>
  </si>
  <si>
    <t>MOV0000496</t>
  </si>
  <si>
    <t>SO-178521</t>
  </si>
  <si>
    <t>MOV0000497</t>
  </si>
  <si>
    <t>SO-171116</t>
  </si>
  <si>
    <t>MOV0000498</t>
  </si>
  <si>
    <t>SO-173498</t>
  </si>
  <si>
    <t>MOV0000499</t>
  </si>
  <si>
    <t>SO-111240</t>
  </si>
  <si>
    <t>MOV0000500</t>
  </si>
  <si>
    <t>SO-105396</t>
  </si>
  <si>
    <t>MOV0000501</t>
  </si>
  <si>
    <t>RET-28637</t>
  </si>
  <si>
    <t>MOV0000502</t>
  </si>
  <si>
    <t>RET-90677</t>
  </si>
  <si>
    <t>MOV0000503</t>
  </si>
  <si>
    <t>RET-97674</t>
  </si>
  <si>
    <t>MOV0000504</t>
  </si>
  <si>
    <t>RET-62603</t>
  </si>
  <si>
    <t>MOV0000505</t>
  </si>
  <si>
    <t>RET-42920</t>
  </si>
  <si>
    <t>MOV0000506</t>
  </si>
  <si>
    <t>RET-69227</t>
  </si>
  <si>
    <t>MOV0000507</t>
  </si>
  <si>
    <t>RET-34523</t>
  </si>
  <si>
    <t>MOV0000508</t>
  </si>
  <si>
    <t>RET-30437</t>
  </si>
  <si>
    <t>MOV0000509</t>
  </si>
  <si>
    <t>RET-13690</t>
  </si>
  <si>
    <t>MOV0000510</t>
  </si>
  <si>
    <t>RET-50943</t>
  </si>
  <si>
    <t>MOV0000511</t>
  </si>
  <si>
    <t>RET-93045</t>
  </si>
  <si>
    <t>MOV0000512</t>
  </si>
  <si>
    <t>RET-39988</t>
  </si>
  <si>
    <t>MOV0000513</t>
  </si>
  <si>
    <t>RET-47378</t>
  </si>
  <si>
    <t>MOV0000514</t>
  </si>
  <si>
    <t>RET-56166</t>
  </si>
  <si>
    <t>MOV0000515</t>
  </si>
  <si>
    <t>RET-43690</t>
  </si>
  <si>
    <t>MOV0000516</t>
  </si>
  <si>
    <t>RET-69161</t>
  </si>
  <si>
    <t>MOV0000517</t>
  </si>
  <si>
    <t>RET-99491</t>
  </si>
  <si>
    <t>MOV0000518</t>
  </si>
  <si>
    <t>RET-63362</t>
  </si>
  <si>
    <t>MOV0000519</t>
  </si>
  <si>
    <t>RET-71138</t>
  </si>
  <si>
    <t>MOV0000520</t>
  </si>
  <si>
    <t>RET-81772</t>
  </si>
  <si>
    <t>MOV0000521</t>
  </si>
  <si>
    <t>RET-96187</t>
  </si>
  <si>
    <t>MOV0000522</t>
  </si>
  <si>
    <t>RET-48775</t>
  </si>
  <si>
    <t>MOV0000523</t>
  </si>
  <si>
    <t>RET-36370</t>
  </si>
  <si>
    <t>MOV0000524</t>
  </si>
  <si>
    <t>RET-62713</t>
  </si>
  <si>
    <t>MOV0000525</t>
  </si>
  <si>
    <t>RET-23597</t>
  </si>
  <si>
    <t>MOV0000526</t>
  </si>
  <si>
    <t>RET-83672</t>
  </si>
  <si>
    <t>MOV0000527</t>
  </si>
  <si>
    <t>RET-89306</t>
  </si>
  <si>
    <t>MOV0000528</t>
  </si>
  <si>
    <t>RET-38137</t>
  </si>
  <si>
    <t>MOV0000529</t>
  </si>
  <si>
    <t>RET-57927</t>
  </si>
  <si>
    <t>MOV0000530</t>
  </si>
  <si>
    <t>RET-93002</t>
  </si>
  <si>
    <t>MOV0000531</t>
  </si>
  <si>
    <t>RET-38014</t>
  </si>
  <si>
    <t>MOV0000532</t>
  </si>
  <si>
    <t>RET-45359</t>
  </si>
  <si>
    <t>MOV0000533</t>
  </si>
  <si>
    <t>RET-58220</t>
  </si>
  <si>
    <t>MOV0000534</t>
  </si>
  <si>
    <t>RET-67490</t>
  </si>
  <si>
    <t>MOV0000535</t>
  </si>
  <si>
    <t>RET-97653</t>
  </si>
  <si>
    <t>MOV0000536</t>
  </si>
  <si>
    <t>RET-15992</t>
  </si>
  <si>
    <t>MOV0000537</t>
  </si>
  <si>
    <t>RET-23601</t>
  </si>
  <si>
    <t>MOV0000538</t>
  </si>
  <si>
    <t>RET-39500</t>
  </si>
  <si>
    <t>MOV0000539</t>
  </si>
  <si>
    <t>RET-49080</t>
  </si>
  <si>
    <t>MOV0000540</t>
  </si>
  <si>
    <t>RET-75706</t>
  </si>
  <si>
    <t>MOV0000541</t>
  </si>
  <si>
    <t>RET-58628</t>
  </si>
  <si>
    <t>MOV0000542</t>
  </si>
  <si>
    <t>RET-96520</t>
  </si>
  <si>
    <t>MOV0000543</t>
  </si>
  <si>
    <t>RET-53851</t>
  </si>
  <si>
    <t>MOV0000544</t>
  </si>
  <si>
    <t>RET-56633</t>
  </si>
  <si>
    <t>MOV0000545</t>
  </si>
  <si>
    <t>RET-10444</t>
  </si>
  <si>
    <t>MOV0000546</t>
  </si>
  <si>
    <t>RET-99138</t>
  </si>
  <si>
    <t>MOV0000547</t>
  </si>
  <si>
    <t>RET-92666</t>
  </si>
  <si>
    <t>MOV0000548</t>
  </si>
  <si>
    <t>RET-93401</t>
  </si>
  <si>
    <t>MOV0000549</t>
  </si>
  <si>
    <t>RET-50212</t>
  </si>
  <si>
    <t>MOV0000550</t>
  </si>
  <si>
    <t>RET-58506</t>
  </si>
  <si>
    <t>MOV0000551</t>
  </si>
  <si>
    <t>WO-33795</t>
  </si>
  <si>
    <t>MOV0000552</t>
  </si>
  <si>
    <t>WO-89276</t>
  </si>
  <si>
    <t>MOV0000553</t>
  </si>
  <si>
    <t>WO-15587</t>
  </si>
  <si>
    <t>MOV0000554</t>
  </si>
  <si>
    <t>WO-60022</t>
  </si>
  <si>
    <t>MOV0000555</t>
  </si>
  <si>
    <t>WO-72692</t>
  </si>
  <si>
    <t>MOV0000556</t>
  </si>
  <si>
    <t>WO-77080</t>
  </si>
  <si>
    <t>MOV0000557</t>
  </si>
  <si>
    <t>WO-77294</t>
  </si>
  <si>
    <t>MOV0000558</t>
  </si>
  <si>
    <t>WO-70255</t>
  </si>
  <si>
    <t>MOV0000559</t>
  </si>
  <si>
    <t>WO-47132</t>
  </si>
  <si>
    <t>MOV0000560</t>
  </si>
  <si>
    <t>WO-69150</t>
  </si>
  <si>
    <t>MOV0000561</t>
  </si>
  <si>
    <t>WO-46812</t>
  </si>
  <si>
    <t>MOV0000562</t>
  </si>
  <si>
    <t>WO-98198</t>
  </si>
  <si>
    <t>MOV0000563</t>
  </si>
  <si>
    <t>WO-30660</t>
  </si>
  <si>
    <t>MOV0000564</t>
  </si>
  <si>
    <t>WO-70754</t>
  </si>
  <si>
    <t>MOV0000565</t>
  </si>
  <si>
    <t>WO-30325</t>
  </si>
  <si>
    <t>MOV0000566</t>
  </si>
  <si>
    <t>WO-52972</t>
  </si>
  <si>
    <t>MOV0000567</t>
  </si>
  <si>
    <t>WO-38520</t>
  </si>
  <si>
    <t>MOV0000568</t>
  </si>
  <si>
    <t>WO-41841</t>
  </si>
  <si>
    <t>MOV0000569</t>
  </si>
  <si>
    <t>WO-58620</t>
  </si>
  <si>
    <t>MOV0000570</t>
  </si>
  <si>
    <t>WO-70318</t>
  </si>
  <si>
    <t>MOV0000571</t>
  </si>
  <si>
    <t>WO-19257</t>
  </si>
  <si>
    <t>MOV0000572</t>
  </si>
  <si>
    <t>WO-59078</t>
  </si>
  <si>
    <t>MOV0000573</t>
  </si>
  <si>
    <t>WO-14498</t>
  </si>
  <si>
    <t>MOV0000574</t>
  </si>
  <si>
    <t>WO-35669</t>
  </si>
  <si>
    <t>MOV0000575</t>
  </si>
  <si>
    <t>WO-11118</t>
  </si>
  <si>
    <t>MOV0000576</t>
  </si>
  <si>
    <t>WO-11340</t>
  </si>
  <si>
    <t>MOV0000577</t>
  </si>
  <si>
    <t>WO-41341</t>
  </si>
  <si>
    <t>MOV0000578</t>
  </si>
  <si>
    <t>WO-45511</t>
  </si>
  <si>
    <t>MOV0000579</t>
  </si>
  <si>
    <t>WO-78090</t>
  </si>
  <si>
    <t>MOV0000580</t>
  </si>
  <si>
    <t>WO-65694</t>
  </si>
  <si>
    <t>MOV0000581</t>
  </si>
  <si>
    <t>ADJ-18965</t>
  </si>
  <si>
    <t>MOV0000582</t>
  </si>
  <si>
    <t>ADJ-70680</t>
  </si>
  <si>
    <t>MOV0000583</t>
  </si>
  <si>
    <t>ADJ-21114</t>
  </si>
  <si>
    <t>MOV0000584</t>
  </si>
  <si>
    <t>ADJ-36757</t>
  </si>
  <si>
    <t>MOV0000585</t>
  </si>
  <si>
    <t>ADJ-93421</t>
  </si>
  <si>
    <t>MOV0000586</t>
  </si>
  <si>
    <t>ADJ-62617</t>
  </si>
  <si>
    <t>MOV0000587</t>
  </si>
  <si>
    <t>MOV0000588</t>
  </si>
  <si>
    <t>ADJ-74395</t>
  </si>
  <si>
    <t>MOV0000589</t>
  </si>
  <si>
    <t>ADJ-31351</t>
  </si>
  <si>
    <t>MOV0000590</t>
  </si>
  <si>
    <t>ADJ-35949</t>
  </si>
  <si>
    <t>MOV0000591</t>
  </si>
  <si>
    <t>ADJ-87934</t>
  </si>
  <si>
    <t>MOV0000592</t>
  </si>
  <si>
    <t>ADJ-44842</t>
  </si>
  <si>
    <t>MOV0000593</t>
  </si>
  <si>
    <t>ADJ-29576</t>
  </si>
  <si>
    <t>MOV0000594</t>
  </si>
  <si>
    <t>ADJ-86035</t>
  </si>
  <si>
    <t>MOV0000595</t>
  </si>
  <si>
    <t>ADJ-30908</t>
  </si>
  <si>
    <t>MOV0000596</t>
  </si>
  <si>
    <t>ADJ-70258</t>
  </si>
  <si>
    <t>MOV0000597</t>
  </si>
  <si>
    <t>ADJ-68133</t>
  </si>
  <si>
    <t>MOV0000598</t>
  </si>
  <si>
    <t>ADJ-87784</t>
  </si>
  <si>
    <t>MOV0000599</t>
  </si>
  <si>
    <t>ADJ-35322</t>
  </si>
  <si>
    <t>MOV0000600</t>
  </si>
  <si>
    <t>ADJ-53981</t>
  </si>
  <si>
    <t>MOV0000601</t>
  </si>
  <si>
    <t>XFER-000601</t>
  </si>
  <si>
    <t>MOV0000602</t>
  </si>
  <si>
    <t>MOV0000603</t>
  </si>
  <si>
    <t>XFER-000603</t>
  </si>
  <si>
    <t>MOV0000604</t>
  </si>
  <si>
    <t>MOV0000605</t>
  </si>
  <si>
    <t>XFER-000605</t>
  </si>
  <si>
    <t>MOV0000606</t>
  </si>
  <si>
    <t>MOV0000607</t>
  </si>
  <si>
    <t>XFER-000607</t>
  </si>
  <si>
    <t>MOV0000608</t>
  </si>
  <si>
    <t>MOV0000609</t>
  </si>
  <si>
    <t>XFER-000609</t>
  </si>
  <si>
    <t>MOV0000610</t>
  </si>
  <si>
    <t>MOV0000611</t>
  </si>
  <si>
    <t>XFER-000611</t>
  </si>
  <si>
    <t>MOV0000612</t>
  </si>
  <si>
    <t>MOV0000613</t>
  </si>
  <si>
    <t>XFER-000613</t>
  </si>
  <si>
    <t>MOV0000614</t>
  </si>
  <si>
    <t>MOV0000615</t>
  </si>
  <si>
    <t>XFER-000615</t>
  </si>
  <si>
    <t>MOV0000616</t>
  </si>
  <si>
    <t>MOV0000617</t>
  </si>
  <si>
    <t>XFER-000617</t>
  </si>
  <si>
    <t>MOV0000618</t>
  </si>
  <si>
    <t>MOV0000619</t>
  </si>
  <si>
    <t>XFER-000619</t>
  </si>
  <si>
    <t>MOV0000620</t>
  </si>
  <si>
    <t>MOV0000621</t>
  </si>
  <si>
    <t>XFER-000621</t>
  </si>
  <si>
    <t>MOV0000622</t>
  </si>
  <si>
    <t>MOV0000623</t>
  </si>
  <si>
    <t>XFER-000623</t>
  </si>
  <si>
    <t>MOV0000624</t>
  </si>
  <si>
    <t>MOV0000625</t>
  </si>
  <si>
    <t>XFER-000625</t>
  </si>
  <si>
    <t>MOV0000626</t>
  </si>
  <si>
    <t>MOV0000627</t>
  </si>
  <si>
    <t>XFER-000627</t>
  </si>
  <si>
    <t>MOV0000628</t>
  </si>
  <si>
    <t>MOV0000629</t>
  </si>
  <si>
    <t>XFER-000629</t>
  </si>
  <si>
    <t>MOV0000630</t>
  </si>
  <si>
    <t>count_id</t>
  </si>
  <si>
    <t>count_date</t>
  </si>
  <si>
    <t>system_qty</t>
  </si>
  <si>
    <t>counted_qty</t>
  </si>
  <si>
    <t>variance</t>
  </si>
  <si>
    <t>count_type</t>
  </si>
  <si>
    <t>counted_by</t>
  </si>
  <si>
    <t>notes</t>
  </si>
  <si>
    <t>CC000001</t>
  </si>
  <si>
    <t>I. Musa</t>
  </si>
  <si>
    <t>CC000002</t>
  </si>
  <si>
    <t>CC000003</t>
  </si>
  <si>
    <t>A. Ibrahim</t>
  </si>
  <si>
    <t>CC000004</t>
  </si>
  <si>
    <t>F. Adebayo</t>
  </si>
  <si>
    <t>CC000005</t>
  </si>
  <si>
    <t>CC000006</t>
  </si>
  <si>
    <t>S. Bello</t>
  </si>
  <si>
    <t>CC000007</t>
  </si>
  <si>
    <t>CC000008</t>
  </si>
  <si>
    <t>CC000009</t>
  </si>
  <si>
    <t>CC000010</t>
  </si>
  <si>
    <t>CC000011</t>
  </si>
  <si>
    <t>CC000012</t>
  </si>
  <si>
    <t>CC000013</t>
  </si>
  <si>
    <t>CC000014</t>
  </si>
  <si>
    <t>CC000015</t>
  </si>
  <si>
    <t>CC000016</t>
  </si>
  <si>
    <t>CC000017</t>
  </si>
  <si>
    <t>CC000018</t>
  </si>
  <si>
    <t>CC000019</t>
  </si>
  <si>
    <t>CC000020</t>
  </si>
  <si>
    <t>CC000021</t>
  </si>
  <si>
    <t>CC000022</t>
  </si>
  <si>
    <t>CC000023</t>
  </si>
  <si>
    <t>CC000024</t>
  </si>
  <si>
    <t>CC000025</t>
  </si>
  <si>
    <t>CC000026</t>
  </si>
  <si>
    <t>CC000027</t>
  </si>
  <si>
    <t>CC000028</t>
  </si>
  <si>
    <t>CC000029</t>
  </si>
  <si>
    <t>CC000030</t>
  </si>
  <si>
    <t>CC000031</t>
  </si>
  <si>
    <t>CC000032</t>
  </si>
  <si>
    <t>CC000033</t>
  </si>
  <si>
    <t>CC000034</t>
  </si>
  <si>
    <t>CC000035</t>
  </si>
  <si>
    <t>CC000036</t>
  </si>
  <si>
    <t>CC000037</t>
  </si>
  <si>
    <t>CC000038</t>
  </si>
  <si>
    <t>CC000039</t>
  </si>
  <si>
    <t>CC000040</t>
  </si>
  <si>
    <t>CC000041</t>
  </si>
  <si>
    <t>CC000042</t>
  </si>
  <si>
    <t>CC000043</t>
  </si>
  <si>
    <t>CC000044</t>
  </si>
  <si>
    <t>CC000045</t>
  </si>
  <si>
    <t>CC000046</t>
  </si>
  <si>
    <t>CC000047</t>
  </si>
  <si>
    <t>CC000048</t>
  </si>
  <si>
    <t>CC000049</t>
  </si>
  <si>
    <t>CC000050</t>
  </si>
  <si>
    <t>CC000051</t>
  </si>
  <si>
    <t>CC000052</t>
  </si>
  <si>
    <t>CC000053</t>
  </si>
  <si>
    <t>CC000054</t>
  </si>
  <si>
    <t>CC000055</t>
  </si>
  <si>
    <t>CC000056</t>
  </si>
  <si>
    <t>CC000057</t>
  </si>
  <si>
    <t>CC000058</t>
  </si>
  <si>
    <t>CC000059</t>
  </si>
  <si>
    <t>CC000060</t>
  </si>
  <si>
    <t>CC000061</t>
  </si>
  <si>
    <t>CC000062</t>
  </si>
  <si>
    <t>CC000063</t>
  </si>
  <si>
    <t>CC000064</t>
  </si>
  <si>
    <t>CC000065</t>
  </si>
  <si>
    <t>CC000066</t>
  </si>
  <si>
    <t>CC000067</t>
  </si>
  <si>
    <t>CC000068</t>
  </si>
  <si>
    <t>CC000069</t>
  </si>
  <si>
    <t>CC000070</t>
  </si>
  <si>
    <t>CC000071</t>
  </si>
  <si>
    <t>CC000072</t>
  </si>
  <si>
    <t>CC000073</t>
  </si>
  <si>
    <t>CC000074</t>
  </si>
  <si>
    <t>CC000075</t>
  </si>
  <si>
    <t>CC000076</t>
  </si>
  <si>
    <t>CC000077</t>
  </si>
  <si>
    <t>CC000078</t>
  </si>
  <si>
    <t>CC000079</t>
  </si>
  <si>
    <t>CC000080</t>
  </si>
  <si>
    <t>CC000081</t>
  </si>
  <si>
    <t>CC000082</t>
  </si>
  <si>
    <t>CC000083</t>
  </si>
  <si>
    <t>CC000084</t>
  </si>
  <si>
    <t>CC000085</t>
  </si>
  <si>
    <t>CC000086</t>
  </si>
  <si>
    <t>CC000087</t>
  </si>
  <si>
    <t>CC000088</t>
  </si>
  <si>
    <t>CC000089</t>
  </si>
  <si>
    <t>CC000090</t>
  </si>
  <si>
    <t>CC000091</t>
  </si>
  <si>
    <t>CC000092</t>
  </si>
  <si>
    <t>CC000093</t>
  </si>
  <si>
    <t>CC000094</t>
  </si>
  <si>
    <t>CC000095</t>
  </si>
  <si>
    <t>CC000096</t>
  </si>
  <si>
    <t>CC000097</t>
  </si>
  <si>
    <t>CC000098</t>
  </si>
  <si>
    <t>CC000099</t>
  </si>
  <si>
    <t>CC000100</t>
  </si>
  <si>
    <t>CC000101</t>
  </si>
  <si>
    <t>CC000102</t>
  </si>
  <si>
    <t>CC000103</t>
  </si>
  <si>
    <t>CC000104</t>
  </si>
  <si>
    <t>CC000105</t>
  </si>
  <si>
    <t>CC000106</t>
  </si>
  <si>
    <t>CC000107</t>
  </si>
  <si>
    <t>CC000108</t>
  </si>
  <si>
    <t>CC000109</t>
  </si>
  <si>
    <t>CC000110</t>
  </si>
  <si>
    <t>CC000111</t>
  </si>
  <si>
    <t>CC000112</t>
  </si>
  <si>
    <t>CC000113</t>
  </si>
  <si>
    <t>CC000114</t>
  </si>
  <si>
    <t>CC000115</t>
  </si>
  <si>
    <t>CC000116</t>
  </si>
  <si>
    <t>CC000117</t>
  </si>
  <si>
    <t>CC000118</t>
  </si>
  <si>
    <t>CC000119</t>
  </si>
  <si>
    <t>CC000120</t>
  </si>
  <si>
    <t>CC000121</t>
  </si>
  <si>
    <t>CC000122</t>
  </si>
  <si>
    <t>CC000123</t>
  </si>
  <si>
    <t>CC000124</t>
  </si>
  <si>
    <t>CC000125</t>
  </si>
  <si>
    <t>CC000126</t>
  </si>
  <si>
    <t>CC000127</t>
  </si>
  <si>
    <t>CC000128</t>
  </si>
  <si>
    <t>CC000129</t>
  </si>
  <si>
    <t>CC000130</t>
  </si>
  <si>
    <t>CC000131</t>
  </si>
  <si>
    <t>CC000132</t>
  </si>
  <si>
    <t>CC000133</t>
  </si>
  <si>
    <t>CC000134</t>
  </si>
  <si>
    <t>CC000135</t>
  </si>
  <si>
    <t>CC000136</t>
  </si>
  <si>
    <t>CC000137</t>
  </si>
  <si>
    <t>CC000138</t>
  </si>
  <si>
    <t>CC000139</t>
  </si>
  <si>
    <t>CC000140</t>
  </si>
  <si>
    <t>CC000141</t>
  </si>
  <si>
    <t>CC000142</t>
  </si>
  <si>
    <t>CC000143</t>
  </si>
  <si>
    <t>CC000144</t>
  </si>
  <si>
    <t>CC000145</t>
  </si>
  <si>
    <t>CC000146</t>
  </si>
  <si>
    <t>CC000147</t>
  </si>
  <si>
    <t>CC000148</t>
  </si>
  <si>
    <t>CC000149</t>
  </si>
  <si>
    <t>CC000150</t>
  </si>
  <si>
    <t>CC000151</t>
  </si>
  <si>
    <t>CC000152</t>
  </si>
  <si>
    <t>CC000153</t>
  </si>
  <si>
    <t>CC000154</t>
  </si>
  <si>
    <t>CC000155</t>
  </si>
  <si>
    <t>CC000156</t>
  </si>
  <si>
    <t>CC000157</t>
  </si>
  <si>
    <t>CC000158</t>
  </si>
  <si>
    <t>CC000159</t>
  </si>
  <si>
    <t>CC000160</t>
  </si>
  <si>
    <t>CC000161</t>
  </si>
  <si>
    <t>CC000162</t>
  </si>
  <si>
    <t>CC000163</t>
  </si>
  <si>
    <t>CC000164</t>
  </si>
  <si>
    <t>CC000165</t>
  </si>
  <si>
    <t>CC000166</t>
  </si>
  <si>
    <t>CC000167</t>
  </si>
  <si>
    <t>CC000168</t>
  </si>
  <si>
    <t>CC000169</t>
  </si>
  <si>
    <t>CC000170</t>
  </si>
  <si>
    <t>CC000171</t>
  </si>
  <si>
    <t>CC000172</t>
  </si>
  <si>
    <t>CC000173</t>
  </si>
  <si>
    <t>CC000174</t>
  </si>
  <si>
    <t>CC000175</t>
  </si>
  <si>
    <t>CC000176</t>
  </si>
  <si>
    <t>CC000177</t>
  </si>
  <si>
    <t>CC000178</t>
  </si>
  <si>
    <t>CC000179</t>
  </si>
  <si>
    <t>CC000180</t>
  </si>
  <si>
    <t>log_id</t>
  </si>
  <si>
    <t>log_time</t>
  </si>
  <si>
    <t>setpoint_c</t>
  </si>
  <si>
    <t>humidity_pct</t>
  </si>
  <si>
    <t>sensor_status</t>
  </si>
  <si>
    <t>excursion_flag</t>
  </si>
  <si>
    <t>TL000001</t>
  </si>
  <si>
    <t>OK</t>
  </si>
  <si>
    <t>TL000002</t>
  </si>
  <si>
    <t>TL000003</t>
  </si>
  <si>
    <t>TL000004</t>
  </si>
  <si>
    <t>TL000005</t>
  </si>
  <si>
    <t>WARN</t>
  </si>
  <si>
    <t>TL000006</t>
  </si>
  <si>
    <t>TL000007</t>
  </si>
  <si>
    <t>TL000008</t>
  </si>
  <si>
    <t>TL000009</t>
  </si>
  <si>
    <t>TL000010</t>
  </si>
  <si>
    <t>TL000011</t>
  </si>
  <si>
    <t>TL000012</t>
  </si>
  <si>
    <t>TL000013</t>
  </si>
  <si>
    <t>TL000014</t>
  </si>
  <si>
    <t>TL000015</t>
  </si>
  <si>
    <t>TL000016</t>
  </si>
  <si>
    <t>TL000017</t>
  </si>
  <si>
    <t>TL000018</t>
  </si>
  <si>
    <t>TL000019</t>
  </si>
  <si>
    <t>TL000020</t>
  </si>
  <si>
    <t>TL000021</t>
  </si>
  <si>
    <t>TL000022</t>
  </si>
  <si>
    <t>TL000023</t>
  </si>
  <si>
    <t>TL000024</t>
  </si>
  <si>
    <t>TL000025</t>
  </si>
  <si>
    <t>TL000026</t>
  </si>
  <si>
    <t>TL000027</t>
  </si>
  <si>
    <t>TL000028</t>
  </si>
  <si>
    <t>TL000029</t>
  </si>
  <si>
    <t>TL000030</t>
  </si>
  <si>
    <t>TL000031</t>
  </si>
  <si>
    <t>TL000032</t>
  </si>
  <si>
    <t>TL000033</t>
  </si>
  <si>
    <t>TL000034</t>
  </si>
  <si>
    <t>TL000035</t>
  </si>
  <si>
    <t>TL000036</t>
  </si>
  <si>
    <t>TL000037</t>
  </si>
  <si>
    <t>TL000038</t>
  </si>
  <si>
    <t>TL000039</t>
  </si>
  <si>
    <t>TL000040</t>
  </si>
  <si>
    <t>TL000041</t>
  </si>
  <si>
    <t>TL000042</t>
  </si>
  <si>
    <t>TL000043</t>
  </si>
  <si>
    <t>TL000044</t>
  </si>
  <si>
    <t>TL000045</t>
  </si>
  <si>
    <t>TL000046</t>
  </si>
  <si>
    <t>TL000047</t>
  </si>
  <si>
    <t>TL000048</t>
  </si>
  <si>
    <t>TL000049</t>
  </si>
  <si>
    <t>TL000050</t>
  </si>
  <si>
    <t>TL000051</t>
  </si>
  <si>
    <t>TL000052</t>
  </si>
  <si>
    <t>TL000053</t>
  </si>
  <si>
    <t>TL000054</t>
  </si>
  <si>
    <t>TL000055</t>
  </si>
  <si>
    <t>TL000056</t>
  </si>
  <si>
    <t>TL000057</t>
  </si>
  <si>
    <t>TL000058</t>
  </si>
  <si>
    <t>TL000059</t>
  </si>
  <si>
    <t>TL000060</t>
  </si>
  <si>
    <t>TL000061</t>
  </si>
  <si>
    <t>TL000062</t>
  </si>
  <si>
    <t>TL000063</t>
  </si>
  <si>
    <t>TL000064</t>
  </si>
  <si>
    <t>TL000065</t>
  </si>
  <si>
    <t>TL000066</t>
  </si>
  <si>
    <t>TL000067</t>
  </si>
  <si>
    <t>TL000068</t>
  </si>
  <si>
    <t>TL000069</t>
  </si>
  <si>
    <t>TL000070</t>
  </si>
  <si>
    <t>TL000071</t>
  </si>
  <si>
    <t>TL000072</t>
  </si>
  <si>
    <t>TL000073</t>
  </si>
  <si>
    <t>TL000074</t>
  </si>
  <si>
    <t>TL000075</t>
  </si>
  <si>
    <t>TL000076</t>
  </si>
  <si>
    <t>TL000077</t>
  </si>
  <si>
    <t>TL000078</t>
  </si>
  <si>
    <t>TL000079</t>
  </si>
  <si>
    <t>TL000080</t>
  </si>
  <si>
    <t>TL000081</t>
  </si>
  <si>
    <t>TL000082</t>
  </si>
  <si>
    <t>TL000083</t>
  </si>
  <si>
    <t>TL000084</t>
  </si>
  <si>
    <t>TL000085</t>
  </si>
  <si>
    <t>TL000086</t>
  </si>
  <si>
    <t>TL000087</t>
  </si>
  <si>
    <t>TL000088</t>
  </si>
  <si>
    <t>TL000089</t>
  </si>
  <si>
    <t>TL000090</t>
  </si>
  <si>
    <t>TL000091</t>
  </si>
  <si>
    <t>TL000092</t>
  </si>
  <si>
    <t>TL000093</t>
  </si>
  <si>
    <t>OFFLINE</t>
  </si>
  <si>
    <t>TL000094</t>
  </si>
  <si>
    <t>TL000095</t>
  </si>
  <si>
    <t>TL000096</t>
  </si>
  <si>
    <t>TL000097</t>
  </si>
  <si>
    <t>TL000098</t>
  </si>
  <si>
    <t>TL000099</t>
  </si>
  <si>
    <t>TL000100</t>
  </si>
  <si>
    <t>TL000101</t>
  </si>
  <si>
    <t>TL000102</t>
  </si>
  <si>
    <t>TL000103</t>
  </si>
  <si>
    <t>TL000104</t>
  </si>
  <si>
    <t>TL000105</t>
  </si>
  <si>
    <t>TL000106</t>
  </si>
  <si>
    <t>TL000107</t>
  </si>
  <si>
    <t>TL000108</t>
  </si>
  <si>
    <t>TL000109</t>
  </si>
  <si>
    <t>TL000110</t>
  </si>
  <si>
    <t>TL000111</t>
  </si>
  <si>
    <t>TL000112</t>
  </si>
  <si>
    <t>TL000113</t>
  </si>
  <si>
    <t>TL000114</t>
  </si>
  <si>
    <t>TL000115</t>
  </si>
  <si>
    <t>TL000116</t>
  </si>
  <si>
    <t>TL000117</t>
  </si>
  <si>
    <t>TL000118</t>
  </si>
  <si>
    <t>TL000119</t>
  </si>
  <si>
    <t>TL000120</t>
  </si>
  <si>
    <t>TL000121</t>
  </si>
  <si>
    <t>TL000122</t>
  </si>
  <si>
    <t>TL000123</t>
  </si>
  <si>
    <t>TL000124</t>
  </si>
  <si>
    <t>TL000125</t>
  </si>
  <si>
    <t>TL000126</t>
  </si>
  <si>
    <t>TL000127</t>
  </si>
  <si>
    <t>TL000128</t>
  </si>
  <si>
    <t>TL000129</t>
  </si>
  <si>
    <t>TL000130</t>
  </si>
  <si>
    <t>TL000131</t>
  </si>
  <si>
    <t>TL000132</t>
  </si>
  <si>
    <t>TL000133</t>
  </si>
  <si>
    <t>TL000134</t>
  </si>
  <si>
    <t>TL000135</t>
  </si>
  <si>
    <t>TL000136</t>
  </si>
  <si>
    <t>TL000137</t>
  </si>
  <si>
    <t>TL000138</t>
  </si>
  <si>
    <t>TL000139</t>
  </si>
  <si>
    <t>TL000140</t>
  </si>
  <si>
    <t>TL000141</t>
  </si>
  <si>
    <t>TL000142</t>
  </si>
  <si>
    <t>TL000143</t>
  </si>
  <si>
    <t>TL000144</t>
  </si>
  <si>
    <t>TL000145</t>
  </si>
  <si>
    <t>TL000146</t>
  </si>
  <si>
    <t>TL000147</t>
  </si>
  <si>
    <t>TL000148</t>
  </si>
  <si>
    <t>TL000149</t>
  </si>
  <si>
    <t>TL000150</t>
  </si>
  <si>
    <t>TL000151</t>
  </si>
  <si>
    <t>TL000152</t>
  </si>
  <si>
    <t>TL000153</t>
  </si>
  <si>
    <t>TL000154</t>
  </si>
  <si>
    <t>TL000155</t>
  </si>
  <si>
    <t>TL000156</t>
  </si>
  <si>
    <t>TL000157</t>
  </si>
  <si>
    <t>TL000158</t>
  </si>
  <si>
    <t>TL000159</t>
  </si>
  <si>
    <t>TL000160</t>
  </si>
  <si>
    <t>TL000161</t>
  </si>
  <si>
    <t>TL000162</t>
  </si>
  <si>
    <t>TL000163</t>
  </si>
  <si>
    <t>TL000164</t>
  </si>
  <si>
    <t>TL000165</t>
  </si>
  <si>
    <t>TL000166</t>
  </si>
  <si>
    <t>TL000167</t>
  </si>
  <si>
    <t>TL000168</t>
  </si>
  <si>
    <t>TL000169</t>
  </si>
  <si>
    <t>TL000170</t>
  </si>
  <si>
    <t>TL000171</t>
  </si>
  <si>
    <t>TL000172</t>
  </si>
  <si>
    <t>TL000173</t>
  </si>
  <si>
    <t>TL000174</t>
  </si>
  <si>
    <t>TL000175</t>
  </si>
  <si>
    <t>TL000176</t>
  </si>
  <si>
    <t>TL000177</t>
  </si>
  <si>
    <t>TL000178</t>
  </si>
  <si>
    <t>TL000179</t>
  </si>
  <si>
    <t>TL000180</t>
  </si>
  <si>
    <t>TL000181</t>
  </si>
  <si>
    <t>TL000182</t>
  </si>
  <si>
    <t>TL000183</t>
  </si>
  <si>
    <t>TL000184</t>
  </si>
  <si>
    <t>TL000185</t>
  </si>
  <si>
    <t>TL000186</t>
  </si>
  <si>
    <t>TL000187</t>
  </si>
  <si>
    <t>TL000188</t>
  </si>
  <si>
    <t>TL000189</t>
  </si>
  <si>
    <t>TL000190</t>
  </si>
  <si>
    <t>TL000191</t>
  </si>
  <si>
    <t>TL000192</t>
  </si>
  <si>
    <t>TL000193</t>
  </si>
  <si>
    <t>TL000194</t>
  </si>
  <si>
    <t>TL000195</t>
  </si>
  <si>
    <t>TL000196</t>
  </si>
  <si>
    <t>TL000197</t>
  </si>
  <si>
    <t>TL000198</t>
  </si>
  <si>
    <t>TL000199</t>
  </si>
  <si>
    <t>TL000200</t>
  </si>
  <si>
    <t>TL000201</t>
  </si>
  <si>
    <t>TL000202</t>
  </si>
  <si>
    <t>TL000203</t>
  </si>
  <si>
    <t>TL000204</t>
  </si>
  <si>
    <t>TL000205</t>
  </si>
  <si>
    <t>TL000206</t>
  </si>
  <si>
    <t>TL000207</t>
  </si>
  <si>
    <t>TL000208</t>
  </si>
  <si>
    <t>TL000209</t>
  </si>
  <si>
    <t>TL000210</t>
  </si>
  <si>
    <t>TL000211</t>
  </si>
  <si>
    <t>TL000212</t>
  </si>
  <si>
    <t>TL000213</t>
  </si>
  <si>
    <t>TL000214</t>
  </si>
  <si>
    <t>TL000215</t>
  </si>
  <si>
    <t>TL000216</t>
  </si>
  <si>
    <t>TL000217</t>
  </si>
  <si>
    <t>TL000218</t>
  </si>
  <si>
    <t>TL000219</t>
  </si>
  <si>
    <t>TL000220</t>
  </si>
  <si>
    <t>TL000221</t>
  </si>
  <si>
    <t>TL000222</t>
  </si>
  <si>
    <t>TL000223</t>
  </si>
  <si>
    <t>TL000224</t>
  </si>
  <si>
    <t>TL000225</t>
  </si>
  <si>
    <t>TL000226</t>
  </si>
  <si>
    <t>TL000227</t>
  </si>
  <si>
    <t>TL000228</t>
  </si>
  <si>
    <t>TL000229</t>
  </si>
  <si>
    <t>TL000230</t>
  </si>
  <si>
    <t>TL000231</t>
  </si>
  <si>
    <t>TL000232</t>
  </si>
  <si>
    <t>TL000233</t>
  </si>
  <si>
    <t>TL000234</t>
  </si>
  <si>
    <t>TL000235</t>
  </si>
  <si>
    <t>TL000236</t>
  </si>
  <si>
    <t>TL000237</t>
  </si>
  <si>
    <t>TL000238</t>
  </si>
  <si>
    <t>TL000239</t>
  </si>
  <si>
    <t>TL000240</t>
  </si>
  <si>
    <t>Supplier 051</t>
  </si>
  <si>
    <t>Supplier 083</t>
  </si>
  <si>
    <t>Supplier 106</t>
  </si>
  <si>
    <t>Supplier 107</t>
  </si>
  <si>
    <t>Jar</t>
  </si>
  <si>
    <t>Kg</t>
  </si>
  <si>
    <t>Bundle</t>
  </si>
  <si>
    <t>Tray</t>
  </si>
  <si>
    <t>Litre</t>
  </si>
  <si>
    <t>Box</t>
  </si>
  <si>
    <t>Punnet</t>
  </si>
  <si>
    <t>Pack</t>
  </si>
  <si>
    <t>YES</t>
  </si>
  <si>
    <t>Cancelled</t>
  </si>
  <si>
    <t>Normal</t>
  </si>
  <si>
    <t>Partial</t>
  </si>
  <si>
    <t>Received</t>
  </si>
  <si>
    <t>Urgent</t>
  </si>
  <si>
    <t>Receipt</t>
  </si>
  <si>
    <t>Supplier_Delivery</t>
  </si>
  <si>
    <t>Dispatch</t>
  </si>
  <si>
    <t>Customer_Order_Fulfillment</t>
  </si>
  <si>
    <t>Sale</t>
  </si>
  <si>
    <t>Return</t>
  </si>
  <si>
    <t>Quality_Recheck</t>
  </si>
  <si>
    <t>Customer_Return</t>
  </si>
  <si>
    <t>Mis-Pick_Return</t>
  </si>
  <si>
    <t>Write_Off</t>
  </si>
  <si>
    <t>Damaged_Packaging</t>
  </si>
  <si>
    <t>Temperature_Excursion</t>
  </si>
  <si>
    <t>Expired_Stock</t>
  </si>
  <si>
    <t>Adjustment</t>
  </si>
  <si>
    <t>Manual_Fix</t>
  </si>
  <si>
    <t>Count_Correction</t>
  </si>
  <si>
    <t>System_Reclass</t>
  </si>
  <si>
    <t>Transfer_Out</t>
  </si>
  <si>
    <t>Rebalancing</t>
  </si>
  <si>
    <t>Transfer_In</t>
  </si>
  <si>
    <t>Full</t>
  </si>
  <si>
    <t>Cold Room Audit</t>
  </si>
  <si>
    <t>Spot</t>
  </si>
  <si>
    <t>Near Expiry Review</t>
  </si>
  <si>
    <t>Cycle</t>
  </si>
  <si>
    <t>Fefo Check</t>
  </si>
  <si>
    <t>line_total_Check</t>
  </si>
  <si>
    <t>Column Name</t>
  </si>
  <si>
    <t>Data Type</t>
  </si>
  <si>
    <t>Source Sheet</t>
  </si>
  <si>
    <t>Transformation Applied</t>
  </si>
  <si>
    <t xml:space="preserve">Example </t>
  </si>
  <si>
    <t>line_total_actual</t>
  </si>
  <si>
    <t>purchase_order_lines_coldchain</t>
  </si>
  <si>
    <t>Rule based Classification</t>
  </si>
  <si>
    <t>Text</t>
  </si>
  <si>
    <t>Investigate</t>
  </si>
  <si>
    <t>system_qty_Check</t>
  </si>
  <si>
    <t>stock_movements_coldchain</t>
  </si>
  <si>
    <t>cycle_counts_coldchain</t>
  </si>
  <si>
    <t>Pass</t>
  </si>
  <si>
    <t>variance_check</t>
  </si>
  <si>
    <t>Check Name</t>
  </si>
  <si>
    <t>What is being Checked</t>
  </si>
  <si>
    <t>Formula Used</t>
  </si>
  <si>
    <t>Expected Result</t>
  </si>
  <si>
    <t>Actual Result</t>
  </si>
  <si>
    <t>Status</t>
  </si>
  <si>
    <t>The actual Total/Calculation of a Purchase Order Line</t>
  </si>
  <si>
    <t>Where Previous Claculation(line_total) was Wrong</t>
  </si>
  <si>
    <t>ROUND((H2*I2)-(J2/100)*(H2*I2),2)</t>
  </si>
  <si>
    <t>IF(K2=L2,"Pass",IF(K2=L2-0.01,"Pass","Investigate"))</t>
  </si>
  <si>
    <t>Passed</t>
  </si>
  <si>
    <t>Ensuring what is Recorded is what is in the actual system</t>
  </si>
  <si>
    <t>IF(E2=(SUMIFS(stock_movements_coldchain[signed_qty],stock_movements_coldchain[product_id],C2,stock_movements_coldchain[warehouse_id],B2,stock_movements_coldchain[movement_date],"&lt;" &amp;'cycle_counts_coldchain'!D2)),"Pass","Investigate")</t>
  </si>
  <si>
    <t>Ensuring what is Recorded is the actual variance</t>
  </si>
  <si>
    <t>IF((G2-E2)=H2,"Pass","Investigate")</t>
  </si>
  <si>
    <t>Metrics</t>
  </si>
  <si>
    <t>Befoe Cleaning</t>
  </si>
  <si>
    <t>After Cleaning</t>
  </si>
  <si>
    <t>What Changed</t>
  </si>
  <si>
    <t>expected_delivery_day</t>
  </si>
  <si>
    <t>received_qty</t>
  </si>
  <si>
    <t>delivery_status</t>
  </si>
  <si>
    <t>Dataset/Sheet</t>
  </si>
  <si>
    <t>Type</t>
  </si>
  <si>
    <t>Source</t>
  </si>
  <si>
    <t>Transformation/Process</t>
  </si>
  <si>
    <t>Output</t>
  </si>
  <si>
    <t>Cold-Chain Inventory &amp; Shrinkage</t>
  </si>
  <si>
    <t>Source Data</t>
  </si>
  <si>
    <r>
      <t xml:space="preserve">Raw </t>
    </r>
    <r>
      <rPr>
        <b/>
        <sz val="11"/>
        <color theme="1"/>
        <rFont val="Calibri"/>
        <family val="2"/>
        <scheme val="minor"/>
      </rPr>
      <t>Cold-Chain Inventory &amp; Shrinkage</t>
    </r>
    <r>
      <rPr>
        <sz val="11"/>
        <color theme="1"/>
        <rFont val="Calibri"/>
        <family val="2"/>
        <scheme val="minor"/>
      </rPr>
      <t xml:space="preserve"> Sheet</t>
    </r>
  </si>
  <si>
    <t>Removed Duplicate, Joined tables, Calculations</t>
  </si>
  <si>
    <t>Purchase_Order_tracking_sheet</t>
  </si>
  <si>
    <t>SQL table</t>
  </si>
  <si>
    <t>Ran Query to track Specific Products from Suppliers to Company X</t>
  </si>
  <si>
    <t>Warehouse_Transfer_Log</t>
  </si>
  <si>
    <t>Ran Query to track Specific Products Movemnts from One warehouse to another</t>
  </si>
  <si>
    <t>Intergers</t>
  </si>
  <si>
    <t>All goods arrived</t>
  </si>
  <si>
    <t>How Many Percent Of Goods Ordered actually Arrived</t>
  </si>
  <si>
    <t>99%  of goods arrived</t>
  </si>
  <si>
    <t>reference_id_actual</t>
  </si>
  <si>
    <t>missing_reference_id_check</t>
  </si>
  <si>
    <t>Missing Refrence ID</t>
  </si>
  <si>
    <t>Ensuring Missing Refrence ID and Existing Refrence Id are In the same column</t>
  </si>
  <si>
    <t>IF(AND(G2="",C2="Receipt"), XLOOKUP(1, (purchase_order_lines_coldchain!A2:A1000 = F2) * (purchase_order_lines_coldchain!G2:G1000 = E2) * (purchase_order_lines_coldchain!D2:D1000 = D2), purchase_order_lines_coldchain!B$2:B$1000, XLOOKUP(F2,purchase_order_lines_coldchain!A$2:A1000, purchase_order_lines_coldchain!B$2:B1000)), "")</t>
  </si>
  <si>
    <t>8 Missing ID</t>
  </si>
  <si>
    <t>4 Missing ID Recovered</t>
  </si>
  <si>
    <t xml:space="preserve">Created New column to Investigated and Recover Missing ID </t>
  </si>
  <si>
    <t>IF(E2-F2 &lt;&gt; 0, TEXT(F2/E2, "0%") &amp; " of goods arrived", IF(E2=F2, "All goods arrived", "All goods missing"))</t>
  </si>
  <si>
    <t>Ordered Quantity</t>
  </si>
  <si>
    <t>Received Quantity</t>
  </si>
  <si>
    <t>Supplier Fulfilment Rate</t>
  </si>
  <si>
    <t>Moved_quantity</t>
  </si>
  <si>
    <t>Received_quantity</t>
  </si>
  <si>
    <t>Shrinkage Check</t>
  </si>
  <si>
    <t>No Shrinkage Detected</t>
  </si>
  <si>
    <t>Did Shrinkage Occur when Moving Products between Warehouses</t>
  </si>
  <si>
    <t>IF(B2=C2, "No Shrinkage Detected", "Shrinkage Detected")</t>
  </si>
  <si>
    <t>damaged_write_off_qty</t>
  </si>
  <si>
    <t>temprature_write_off_qty</t>
  </si>
  <si>
    <t>total_qty</t>
  </si>
  <si>
    <t>Supplier ID</t>
  </si>
  <si>
    <t>Warning_count</t>
  </si>
  <si>
    <t>Offline_count</t>
  </si>
  <si>
    <t>Warehouse_Writeoff_Summary</t>
  </si>
  <si>
    <t>Ran Query to track Quantity of Products that were Written off as well as Reason for Writeoff</t>
  </si>
  <si>
    <t>Warehouse_Health_Status_Report</t>
  </si>
  <si>
    <t>Ran Query to track The frequency of  Reported Health Issue for each Warehouse</t>
  </si>
  <si>
    <t>Supplier_Performance_Report</t>
  </si>
  <si>
    <t>Pivot table</t>
  </si>
  <si>
    <t>Generated a Pivot table with Specific Columns to track Suppliers Fulfilment Better</t>
  </si>
  <si>
    <t>Number of Sheets</t>
  </si>
  <si>
    <t>12 Visible Sheets and 4 Hidden Sheets</t>
  </si>
  <si>
    <t>7 Visible Sheets</t>
  </si>
  <si>
    <t>Deeper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</si>
</sst>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7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pivotButton="1"/>
    <xf numFmtId="0" fontId="0" fillId="0" borderId="0" xfId="2" applyNumberFormat="1" applyFont="1"/>
    <xf numFmtId="10" fontId="0" fillId="0" borderId="0" xfId="0" applyNumberFormat="1"/>
    <xf numFmtId="0" fontId="0" fillId="0" borderId="0" xfId="1" applyNumberFormat="1" applyFont="1"/>
    <xf numFmtId="1" fontId="0" fillId="0" borderId="0" xfId="0" applyNumberFormat="1"/>
    <xf numFmtId="41" fontId="0" fillId="0" borderId="0" xfId="0" applyNumberFormat="1"/>
    <xf numFmtId="174" fontId="0" fillId="0" borderId="0" xfId="0" applyNumberFormat="1"/>
    <xf numFmtId="4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01">
    <dxf>
      <numFmt numFmtId="1" formatCode="0"/>
    </dxf>
    <dxf>
      <numFmt numFmtId="1" formatCode="0"/>
    </dxf>
    <dxf>
      <numFmt numFmtId="0" formatCode="General"/>
    </dxf>
    <dxf>
      <numFmt numFmtId="4" formatCode="#,##0.00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4" formatCode="#,##0.00"/>
    </dxf>
    <dxf>
      <numFmt numFmtId="4" formatCode="#,##0.0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35" formatCode="_(* #,##0.00_);_(* \(#,##0.00\);_(* &quot;-&quot;??_);_(@_)"/>
    </dxf>
    <dxf>
      <numFmt numFmtId="1" formatCode="0"/>
    </dxf>
    <dxf>
      <numFmt numFmtId="0" formatCode="General"/>
    </dxf>
    <dxf>
      <numFmt numFmtId="4" formatCode="#,##0.00"/>
    </dxf>
    <dxf>
      <numFmt numFmtId="4" formatCode="#,##0.0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27" formatCode="m/d/yyyy\ h:mm"/>
    </dxf>
    <dxf>
      <numFmt numFmtId="1" formatCode="0"/>
    </dxf>
    <dxf>
      <numFmt numFmtId="0" formatCode="General"/>
    </dxf>
    <dxf>
      <numFmt numFmtId="174" formatCode="0.0"/>
    </dxf>
    <dxf>
      <numFmt numFmtId="1" formatCode="0"/>
    </dxf>
    <dxf>
      <numFmt numFmtId="27" formatCode="m/d/yyyy\ h:mm"/>
    </dxf>
    <dxf>
      <numFmt numFmtId="1" formatCode="0"/>
    </dxf>
    <dxf>
      <numFmt numFmtId="0" formatCode="General"/>
    </dxf>
    <dxf>
      <numFmt numFmtId="1" formatCode="0"/>
    </dxf>
    <dxf>
      <numFmt numFmtId="19" formatCode="m/d/yyyy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ua Osaghae" refreshedDate="46189.604455324072" createdVersion="8" refreshedVersion="8" minRefreshableVersion="3" recordCount="420" xr:uid="{C671AFFB-FBBB-49E8-87A6-7FC1CD9CB416}">
  <cacheSource type="worksheet">
    <worksheetSource name="Order_tracking_sheet"/>
  </cacheSource>
  <cacheFields count="8">
    <cacheField name="po_line_id" numFmtId="0">
      <sharedItems/>
    </cacheField>
    <cacheField name="product_id" numFmtId="0">
      <sharedItems/>
    </cacheField>
    <cacheField name="supplier_id" numFmtId="0">
      <sharedItems count="87">
        <s v="SUP00061"/>
        <s v="SUP00101"/>
        <s v="SUP00089"/>
        <s v="SUP00004"/>
        <s v="SUP00059"/>
        <s v="SUP00077"/>
        <s v="SUP00079"/>
        <s v="SUP00083"/>
        <s v="SUP00051"/>
        <s v="SUP00048"/>
        <s v="SUP00043"/>
        <s v="SUP00027"/>
        <s v="SUP00090"/>
        <s v="SUP00002"/>
        <s v="SUP00098"/>
        <s v="SUP00064"/>
        <s v="SUP00114"/>
        <s v="SUP00063"/>
        <s v="SUP00030"/>
        <s v="SUP00104"/>
        <s v="SUP00108"/>
        <s v="SUP00106"/>
        <s v="SUP00102"/>
        <s v="SUP00110"/>
        <s v="SUP00012"/>
        <s v="SUP00107"/>
        <s v="SUP00053"/>
        <s v="SUP00081"/>
        <s v="SUP00070"/>
        <s v="SUP00009"/>
        <s v="SUP00095"/>
        <s v="SUP00096"/>
        <s v="SUP00093"/>
        <s v="SUP00011"/>
        <s v="SUP00092"/>
        <s v="SUP00073"/>
        <s v="SUP00035"/>
        <s v="SUP00088"/>
        <s v="SUP00069"/>
        <s v="SUP00032"/>
        <s v="SUP00013"/>
        <s v="SUP00045"/>
        <s v="SUP00022"/>
        <s v="SUP00087"/>
        <s v="SUP00082"/>
        <s v="SUP00062"/>
        <s v="SUP00046"/>
        <s v="SUP00100"/>
        <s v="SUP00033"/>
        <s v="SUP00014"/>
        <s v="SUP00109"/>
        <s v="SUP00015"/>
        <s v="SUP00094"/>
        <s v="SUP00120"/>
        <s v="SUP00037"/>
        <s v="SUP00020"/>
        <s v="SUP00058"/>
        <s v="SUP00118"/>
        <s v="SUP00005"/>
        <s v="SUP00023"/>
        <s v="SUP00025"/>
        <s v="SUP00067"/>
        <s v="SUP00099"/>
        <s v="SUP00084"/>
        <s v="SUP00085"/>
        <s v="SUP00076"/>
        <s v="SUP00028"/>
        <s v="SUP00001"/>
        <s v="SUP00040"/>
        <s v="SUP00060"/>
        <s v="SUP00066"/>
        <s v="SUP00049"/>
        <s v="SUP00019"/>
        <s v="SUP00074"/>
        <s v="SUP00071"/>
        <s v="SUP00021"/>
        <s v="SUP00055"/>
        <s v="SUP00097"/>
        <s v="SUP00091"/>
        <s v="SUP00047"/>
        <s v="SUP00117"/>
        <s v="SUP00086"/>
        <s v="SUP00008"/>
        <s v="SUP00103"/>
        <s v="SUP00026"/>
        <s v="SUP00115"/>
        <s v="SUP00050"/>
      </sharedItems>
    </cacheField>
    <cacheField name="expected_delivery_day" numFmtId="14">
      <sharedItems containsSemiMixedTypes="0" containsNonDate="0" containsDate="1" containsString="0" minDate="2025-01-06T00:00:00" maxDate="2025-04-01T00:00:00"/>
    </cacheField>
    <cacheField name="ordered_qty" numFmtId="0">
      <sharedItems containsSemiMixedTypes="0" containsString="0" containsNumber="1" containsInteger="1" minValue="10" maxValue="240"/>
    </cacheField>
    <cacheField name="received_qty" numFmtId="0">
      <sharedItems containsSemiMixedTypes="0" containsString="0" containsNumber="1" containsInteger="1" minValue="0" maxValue="234" count="166">
        <n v="84"/>
        <n v="92"/>
        <n v="144"/>
        <n v="0"/>
        <n v="195"/>
        <n v="49"/>
        <n v="121"/>
        <n v="93"/>
        <n v="85"/>
        <n v="113"/>
        <n v="73"/>
        <n v="194"/>
        <n v="9"/>
        <n v="192"/>
        <n v="218"/>
        <n v="54"/>
        <n v="119"/>
        <n v="38"/>
        <n v="184"/>
        <n v="189"/>
        <n v="155"/>
        <n v="198"/>
        <n v="80"/>
        <n v="123"/>
        <n v="82"/>
        <n v="168"/>
        <n v="120"/>
        <n v="129"/>
        <n v="77"/>
        <n v="156"/>
        <n v="32"/>
        <n v="193"/>
        <n v="13"/>
        <n v="176"/>
        <n v="166"/>
        <n v="174"/>
        <n v="137"/>
        <n v="124"/>
        <n v="131"/>
        <n v="152"/>
        <n v="104"/>
        <n v="18"/>
        <n v="214"/>
        <n v="71"/>
        <n v="40"/>
        <n v="86"/>
        <n v="204"/>
        <n v="181"/>
        <n v="148"/>
        <n v="99"/>
        <n v="161"/>
        <n v="94"/>
        <n v="117"/>
        <n v="97"/>
        <n v="69"/>
        <n v="133"/>
        <n v="87"/>
        <n v="101"/>
        <n v="22"/>
        <n v="23"/>
        <n v="98"/>
        <n v="153"/>
        <n v="135"/>
        <n v="138"/>
        <n v="128"/>
        <n v="50"/>
        <n v="52"/>
        <n v="211"/>
        <n v="136"/>
        <n v="102"/>
        <n v="15"/>
        <n v="108"/>
        <n v="178"/>
        <n v="177"/>
        <n v="187"/>
        <n v="67"/>
        <n v="163"/>
        <n v="46"/>
        <n v="42"/>
        <n v="169"/>
        <n v="209"/>
        <n v="44"/>
        <n v="58"/>
        <n v="154"/>
        <n v="66"/>
        <n v="24"/>
        <n v="115"/>
        <n v="89"/>
        <n v="64"/>
        <n v="147"/>
        <n v="55"/>
        <n v="139"/>
        <n v="59"/>
        <n v="81"/>
        <n v="109"/>
        <n v="142"/>
        <n v="158"/>
        <n v="222"/>
        <n v="61"/>
        <n v="31"/>
        <n v="35"/>
        <n v="68"/>
        <n v="126"/>
        <n v="48"/>
        <n v="182"/>
        <n v="106"/>
        <n v="47"/>
        <n v="208"/>
        <n v="167"/>
        <n v="170"/>
        <n v="111"/>
        <n v="79"/>
        <n v="45"/>
        <n v="39"/>
        <n v="25"/>
        <n v="116"/>
        <n v="220"/>
        <n v="143"/>
        <n v="30"/>
        <n v="29"/>
        <n v="51"/>
        <n v="180"/>
        <n v="78"/>
        <n v="145"/>
        <n v="14"/>
        <n v="56"/>
        <n v="157"/>
        <n v="122"/>
        <n v="160"/>
        <n v="201"/>
        <n v="83"/>
        <n v="57"/>
        <n v="11"/>
        <n v="224"/>
        <n v="65"/>
        <n v="199"/>
        <n v="179"/>
        <n v="234"/>
        <n v="70"/>
        <n v="141"/>
        <n v="185"/>
        <n v="21"/>
        <n v="100"/>
        <n v="191"/>
        <n v="105"/>
        <n v="114"/>
        <n v="34"/>
        <n v="88"/>
        <n v="210"/>
        <n v="53"/>
        <n v="107"/>
        <n v="17"/>
        <n v="150"/>
        <n v="10"/>
        <n v="213"/>
        <n v="127"/>
        <n v="140"/>
        <n v="26"/>
        <n v="72"/>
        <n v="215"/>
        <n v="95"/>
        <n v="27"/>
        <n v="175"/>
        <n v="60"/>
        <n v="173"/>
        <n v="132"/>
      </sharedItems>
    </cacheField>
    <cacheField name="delivery_status" numFmtId="0">
      <sharedItems count="27">
        <s v="99% of goods arrived"/>
        <s v="96% of goods arrived"/>
        <s v="85% of goods arrived"/>
        <s v="0% of goods arrived"/>
        <s v="82% of goods arrived"/>
        <s v="77% of goods arrived"/>
        <s v="78% of goods arrived"/>
        <s v="89% of goods arrived"/>
        <s v="97% of goods arrived"/>
        <s v="87% of goods arrived"/>
        <s v="75% of goods arrived"/>
        <s v="93% of goods arrived"/>
        <s v="81% of goods arrived"/>
        <s v="80% of goods arrived"/>
        <s v="92% of goods arrived"/>
        <s v="90% of goods arrived"/>
        <s v="86% of goods arrived"/>
        <s v="98% of goods arrived"/>
        <s v="91% of goods arrived"/>
        <s v="All goods arrived"/>
        <s v="95% of goods arrived"/>
        <s v="84% of goods arrived"/>
        <s v="76% of goods arrived"/>
        <s v="83% of goods arrived"/>
        <s v="94% of goods arrived"/>
        <s v="79% of goods arrived"/>
        <s v="88% of goods arrived"/>
      </sharedItems>
    </cacheField>
    <cacheField name="Delivery Fulfilment Rate" numFmtId="0" formula=" (received_qty/ordered_qty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s v="POL000001"/>
    <s v="PRD00161"/>
    <x v="0"/>
    <d v="2025-02-02T00:00:00"/>
    <n v="85"/>
    <x v="0"/>
    <x v="0"/>
  </r>
  <r>
    <s v="POL000002"/>
    <s v="PRD00161"/>
    <x v="0"/>
    <d v="2025-02-02T00:00:00"/>
    <n v="96"/>
    <x v="1"/>
    <x v="1"/>
  </r>
  <r>
    <s v="POL000003"/>
    <s v="PRD00161"/>
    <x v="0"/>
    <d v="2025-02-02T00:00:00"/>
    <n v="169"/>
    <x v="2"/>
    <x v="2"/>
  </r>
  <r>
    <s v="POL000004"/>
    <s v="PRD00067"/>
    <x v="1"/>
    <d v="2025-01-20T00:00:00"/>
    <n v="144"/>
    <x v="3"/>
    <x v="3"/>
  </r>
  <r>
    <s v="POL000005"/>
    <s v="PRD00033"/>
    <x v="1"/>
    <d v="2025-01-20T00:00:00"/>
    <n v="237"/>
    <x v="4"/>
    <x v="4"/>
  </r>
  <r>
    <s v="POL000006"/>
    <s v="PRD00178"/>
    <x v="2"/>
    <d v="2025-01-11T00:00:00"/>
    <n v="64"/>
    <x v="5"/>
    <x v="5"/>
  </r>
  <r>
    <s v="POL000007"/>
    <s v="PRD00011"/>
    <x v="2"/>
    <d v="2025-01-11T00:00:00"/>
    <n v="156"/>
    <x v="6"/>
    <x v="6"/>
  </r>
  <r>
    <s v="POL000008"/>
    <s v="PRD00007"/>
    <x v="3"/>
    <d v="2025-01-29T00:00:00"/>
    <n v="105"/>
    <x v="7"/>
    <x v="7"/>
  </r>
  <r>
    <s v="POL000009"/>
    <s v="PRD00058"/>
    <x v="3"/>
    <d v="2025-01-29T00:00:00"/>
    <n v="104"/>
    <x v="8"/>
    <x v="4"/>
  </r>
  <r>
    <s v="POL000010"/>
    <s v="PRD00141"/>
    <x v="3"/>
    <d v="2025-01-29T00:00:00"/>
    <n v="96"/>
    <x v="7"/>
    <x v="8"/>
  </r>
  <r>
    <s v="POL000011"/>
    <s v="PRD00170"/>
    <x v="4"/>
    <d v="2025-02-03T00:00:00"/>
    <n v="29"/>
    <x v="3"/>
    <x v="3"/>
  </r>
  <r>
    <s v="POL000012"/>
    <s v="PRD00147"/>
    <x v="4"/>
    <d v="2025-02-03T00:00:00"/>
    <n v="130"/>
    <x v="9"/>
    <x v="9"/>
  </r>
  <r>
    <s v="POL000013"/>
    <s v="PRD00170"/>
    <x v="4"/>
    <d v="2025-02-03T00:00:00"/>
    <n v="74"/>
    <x v="10"/>
    <x v="0"/>
  </r>
  <r>
    <s v="POL000014"/>
    <s v="PRD00129"/>
    <x v="5"/>
    <d v="2025-03-06T00:00:00"/>
    <n v="218"/>
    <x v="11"/>
    <x v="7"/>
  </r>
  <r>
    <s v="POL000015"/>
    <s v="PRD00129"/>
    <x v="5"/>
    <d v="2025-03-06T00:00:00"/>
    <n v="12"/>
    <x v="12"/>
    <x v="10"/>
  </r>
  <r>
    <s v="POL000016"/>
    <s v="PRD00129"/>
    <x v="5"/>
    <d v="2025-03-06T00:00:00"/>
    <n v="201"/>
    <x v="13"/>
    <x v="1"/>
  </r>
  <r>
    <s v="POL000017"/>
    <s v="PRD00053"/>
    <x v="6"/>
    <d v="2025-03-15T00:00:00"/>
    <n v="208"/>
    <x v="11"/>
    <x v="11"/>
  </r>
  <r>
    <s v="POL000018"/>
    <s v="PRD00143"/>
    <x v="6"/>
    <d v="2025-03-15T00:00:00"/>
    <n v="227"/>
    <x v="14"/>
    <x v="1"/>
  </r>
  <r>
    <s v="POL000019"/>
    <s v="PRD00169"/>
    <x v="6"/>
    <d v="2025-03-15T00:00:00"/>
    <n v="67"/>
    <x v="15"/>
    <x v="12"/>
  </r>
  <r>
    <s v="POL000020"/>
    <s v="PRD00103"/>
    <x v="7"/>
    <d v="2025-01-27T00:00:00"/>
    <n v="149"/>
    <x v="16"/>
    <x v="13"/>
  </r>
  <r>
    <s v="POL000021"/>
    <s v="PRD00103"/>
    <x v="7"/>
    <d v="2025-01-27T00:00:00"/>
    <n v="49"/>
    <x v="17"/>
    <x v="6"/>
  </r>
  <r>
    <s v="POL000022"/>
    <s v="PRD00092"/>
    <x v="8"/>
    <d v="2025-01-22T00:00:00"/>
    <n v="237"/>
    <x v="18"/>
    <x v="6"/>
  </r>
  <r>
    <s v="POL000023"/>
    <s v="PRD00092"/>
    <x v="8"/>
    <d v="2025-01-22T00:00:00"/>
    <n v="206"/>
    <x v="19"/>
    <x v="14"/>
  </r>
  <r>
    <s v="POL000024"/>
    <s v="PRD00092"/>
    <x v="8"/>
    <d v="2025-01-22T00:00:00"/>
    <n v="156"/>
    <x v="20"/>
    <x v="0"/>
  </r>
  <r>
    <s v="POL000025"/>
    <s v="PRD00127"/>
    <x v="9"/>
    <d v="2025-01-18T00:00:00"/>
    <n v="173"/>
    <x v="3"/>
    <x v="3"/>
  </r>
  <r>
    <s v="POL000026"/>
    <s v="PRD00051"/>
    <x v="9"/>
    <d v="2025-01-18T00:00:00"/>
    <n v="220"/>
    <x v="21"/>
    <x v="15"/>
  </r>
  <r>
    <s v="POL000027"/>
    <s v="PRD00167"/>
    <x v="9"/>
    <d v="2025-01-18T00:00:00"/>
    <n v="100"/>
    <x v="22"/>
    <x v="13"/>
  </r>
  <r>
    <s v="POL000028"/>
    <s v="PRD00118"/>
    <x v="10"/>
    <d v="2025-02-17T00:00:00"/>
    <n v="127"/>
    <x v="23"/>
    <x v="8"/>
  </r>
  <r>
    <s v="POL000029"/>
    <s v="PRD00062"/>
    <x v="10"/>
    <d v="2025-02-17T00:00:00"/>
    <n v="92"/>
    <x v="24"/>
    <x v="7"/>
  </r>
  <r>
    <s v="POL000030"/>
    <s v="PRD00087"/>
    <x v="10"/>
    <d v="2025-02-17T00:00:00"/>
    <n v="99"/>
    <x v="8"/>
    <x v="16"/>
  </r>
  <r>
    <s v="POL000031"/>
    <s v="PRD00041"/>
    <x v="11"/>
    <d v="2025-02-19T00:00:00"/>
    <n v="171"/>
    <x v="25"/>
    <x v="17"/>
  </r>
  <r>
    <s v="POL000032"/>
    <s v="PRD00041"/>
    <x v="11"/>
    <d v="2025-02-19T00:00:00"/>
    <n v="122"/>
    <x v="26"/>
    <x v="17"/>
  </r>
  <r>
    <s v="POL000033"/>
    <s v="PRD00041"/>
    <x v="11"/>
    <d v="2025-02-19T00:00:00"/>
    <n v="144"/>
    <x v="27"/>
    <x v="15"/>
  </r>
  <r>
    <s v="POL000034"/>
    <s v="PRD00006"/>
    <x v="12"/>
    <d v="2025-02-04T00:00:00"/>
    <n v="23"/>
    <x v="3"/>
    <x v="3"/>
  </r>
  <r>
    <s v="POL000035"/>
    <s v="PRD00144"/>
    <x v="12"/>
    <d v="2025-02-04T00:00:00"/>
    <n v="100"/>
    <x v="28"/>
    <x v="5"/>
  </r>
  <r>
    <s v="POL000036"/>
    <s v="PRD00006"/>
    <x v="12"/>
    <d v="2025-02-04T00:00:00"/>
    <n v="161"/>
    <x v="29"/>
    <x v="8"/>
  </r>
  <r>
    <s v="POL000037"/>
    <s v="PRD00105"/>
    <x v="13"/>
    <d v="2025-02-28T00:00:00"/>
    <n v="132"/>
    <x v="3"/>
    <x v="3"/>
  </r>
  <r>
    <s v="POL000038"/>
    <s v="PRD00157"/>
    <x v="13"/>
    <d v="2025-02-28T00:00:00"/>
    <n v="203"/>
    <x v="3"/>
    <x v="3"/>
  </r>
  <r>
    <s v="POL000039"/>
    <s v="PRD00157"/>
    <x v="13"/>
    <d v="2025-02-28T00:00:00"/>
    <n v="35"/>
    <x v="30"/>
    <x v="18"/>
  </r>
  <r>
    <s v="POL000040"/>
    <s v="PRD00090"/>
    <x v="14"/>
    <d v="2025-01-10T00:00:00"/>
    <n v="193"/>
    <x v="31"/>
    <x v="19"/>
  </r>
  <r>
    <s v="POL000041"/>
    <s v="PRD00090"/>
    <x v="14"/>
    <d v="2025-01-10T00:00:00"/>
    <n v="13"/>
    <x v="32"/>
    <x v="19"/>
  </r>
  <r>
    <s v="POL000042"/>
    <s v="PRD00090"/>
    <x v="14"/>
    <d v="2025-01-10T00:00:00"/>
    <n v="35"/>
    <x v="3"/>
    <x v="3"/>
  </r>
  <r>
    <s v="POL000043"/>
    <s v="PRD00159"/>
    <x v="15"/>
    <d v="2025-02-25T00:00:00"/>
    <n v="207"/>
    <x v="33"/>
    <x v="2"/>
  </r>
  <r>
    <s v="POL000044"/>
    <s v="PRD00116"/>
    <x v="15"/>
    <d v="2025-02-25T00:00:00"/>
    <n v="51"/>
    <x v="3"/>
    <x v="3"/>
  </r>
  <r>
    <s v="POL000045"/>
    <s v="PRD00153"/>
    <x v="15"/>
    <d v="2025-02-25T00:00:00"/>
    <n v="11"/>
    <x v="3"/>
    <x v="3"/>
  </r>
  <r>
    <s v="POL000046"/>
    <s v="PRD00135"/>
    <x v="16"/>
    <d v="2025-01-23T00:00:00"/>
    <n v="206"/>
    <x v="34"/>
    <x v="12"/>
  </r>
  <r>
    <s v="POL000047"/>
    <s v="PRD00045"/>
    <x v="16"/>
    <d v="2025-01-23T00:00:00"/>
    <n v="215"/>
    <x v="35"/>
    <x v="12"/>
  </r>
  <r>
    <s v="POL000048"/>
    <s v="PRD00073"/>
    <x v="16"/>
    <d v="2025-01-23T00:00:00"/>
    <n v="170"/>
    <x v="36"/>
    <x v="12"/>
  </r>
  <r>
    <s v="POL000049"/>
    <s v="PRD00101"/>
    <x v="17"/>
    <d v="2025-03-22T00:00:00"/>
    <n v="92"/>
    <x v="1"/>
    <x v="19"/>
  </r>
  <r>
    <s v="POL000050"/>
    <s v="PRD00098"/>
    <x v="17"/>
    <d v="2025-03-22T00:00:00"/>
    <n v="165"/>
    <x v="37"/>
    <x v="10"/>
  </r>
  <r>
    <s v="POL000051"/>
    <s v="PRD00101"/>
    <x v="17"/>
    <d v="2025-03-22T00:00:00"/>
    <n v="146"/>
    <x v="38"/>
    <x v="15"/>
  </r>
  <r>
    <s v="POL000052"/>
    <s v="PRD00078"/>
    <x v="18"/>
    <d v="2025-02-07T00:00:00"/>
    <n v="165"/>
    <x v="39"/>
    <x v="14"/>
  </r>
  <r>
    <s v="POL000053"/>
    <s v="PRD00078"/>
    <x v="18"/>
    <d v="2025-02-07T00:00:00"/>
    <n v="200"/>
    <x v="3"/>
    <x v="3"/>
  </r>
  <r>
    <s v="POL000054"/>
    <s v="PRD00078"/>
    <x v="18"/>
    <d v="2025-02-07T00:00:00"/>
    <n v="35"/>
    <x v="30"/>
    <x v="18"/>
  </r>
  <r>
    <s v="POL000055"/>
    <s v="PRD00098"/>
    <x v="3"/>
    <d v="2025-03-01T00:00:00"/>
    <n v="127"/>
    <x v="40"/>
    <x v="4"/>
  </r>
  <r>
    <s v="POL000056"/>
    <s v="PRD00067"/>
    <x v="3"/>
    <d v="2025-03-01T00:00:00"/>
    <n v="24"/>
    <x v="41"/>
    <x v="10"/>
  </r>
  <r>
    <s v="POL000057"/>
    <s v="PRD00029"/>
    <x v="3"/>
    <d v="2025-03-01T00:00:00"/>
    <n v="220"/>
    <x v="42"/>
    <x v="8"/>
  </r>
  <r>
    <s v="POL000058"/>
    <s v="PRD00163"/>
    <x v="19"/>
    <d v="2025-03-04T00:00:00"/>
    <n v="19"/>
    <x v="41"/>
    <x v="20"/>
  </r>
  <r>
    <s v="POL000059"/>
    <s v="PRD00176"/>
    <x v="19"/>
    <d v="2025-03-04T00:00:00"/>
    <n v="74"/>
    <x v="43"/>
    <x v="1"/>
  </r>
  <r>
    <s v="POL000060"/>
    <s v="PRD00157"/>
    <x v="19"/>
    <d v="2025-03-04T00:00:00"/>
    <n v="50"/>
    <x v="44"/>
    <x v="13"/>
  </r>
  <r>
    <s v="POL000061"/>
    <s v="PRD00061"/>
    <x v="20"/>
    <d v="2025-02-26T00:00:00"/>
    <n v="215"/>
    <x v="13"/>
    <x v="7"/>
  </r>
  <r>
    <s v="POL000062"/>
    <s v="PRD00090"/>
    <x v="20"/>
    <d v="2025-02-26T00:00:00"/>
    <n v="167"/>
    <x v="3"/>
    <x v="3"/>
  </r>
  <r>
    <s v="POL000063"/>
    <s v="PRD00124"/>
    <x v="20"/>
    <d v="2025-02-26T00:00:00"/>
    <n v="70"/>
    <x v="3"/>
    <x v="3"/>
  </r>
  <r>
    <s v="POL000064"/>
    <s v="PRD00042"/>
    <x v="21"/>
    <d v="2025-02-24T00:00:00"/>
    <n v="102"/>
    <x v="45"/>
    <x v="21"/>
  </r>
  <r>
    <s v="POL000065"/>
    <s v="PRD00042"/>
    <x v="21"/>
    <d v="2025-02-24T00:00:00"/>
    <n v="211"/>
    <x v="3"/>
    <x v="3"/>
  </r>
  <r>
    <s v="POL000066"/>
    <s v="PRD00108"/>
    <x v="21"/>
    <d v="2025-02-24T00:00:00"/>
    <n v="30"/>
    <x v="3"/>
    <x v="3"/>
  </r>
  <r>
    <s v="POL000067"/>
    <s v="PRD00058"/>
    <x v="22"/>
    <d v="2025-03-13T00:00:00"/>
    <n v="210"/>
    <x v="46"/>
    <x v="8"/>
  </r>
  <r>
    <s v="POL000068"/>
    <s v="PRD00084"/>
    <x v="22"/>
    <d v="2025-03-13T00:00:00"/>
    <n v="221"/>
    <x v="47"/>
    <x v="4"/>
  </r>
  <r>
    <s v="POL000069"/>
    <s v="PRD00084"/>
    <x v="22"/>
    <d v="2025-03-13T00:00:00"/>
    <n v="65"/>
    <x v="3"/>
    <x v="3"/>
  </r>
  <r>
    <s v="POL000070"/>
    <s v="PRD00029"/>
    <x v="23"/>
    <d v="2025-03-12T00:00:00"/>
    <n v="232"/>
    <x v="33"/>
    <x v="22"/>
  </r>
  <r>
    <s v="POL000071"/>
    <s v="PRD00095"/>
    <x v="23"/>
    <d v="2025-03-12T00:00:00"/>
    <n v="68"/>
    <x v="3"/>
    <x v="3"/>
  </r>
  <r>
    <s v="POL000072"/>
    <s v="PRD00170"/>
    <x v="4"/>
    <d v="2025-03-07T00:00:00"/>
    <n v="173"/>
    <x v="3"/>
    <x v="3"/>
  </r>
  <r>
    <s v="POL000073"/>
    <s v="PRD00043"/>
    <x v="4"/>
    <d v="2025-03-07T00:00:00"/>
    <n v="166"/>
    <x v="48"/>
    <x v="7"/>
  </r>
  <r>
    <s v="POL000074"/>
    <s v="PRD00170"/>
    <x v="4"/>
    <d v="2025-03-07T00:00:00"/>
    <n v="119"/>
    <x v="49"/>
    <x v="23"/>
  </r>
  <r>
    <s v="POL000075"/>
    <s v="PRD00002"/>
    <x v="24"/>
    <d v="2025-03-14T00:00:00"/>
    <n v="220"/>
    <x v="47"/>
    <x v="4"/>
  </r>
  <r>
    <s v="POL000076"/>
    <s v="PRD00002"/>
    <x v="24"/>
    <d v="2025-03-14T00:00:00"/>
    <n v="193"/>
    <x v="50"/>
    <x v="23"/>
  </r>
  <r>
    <s v="POL000077"/>
    <s v="PRD00037"/>
    <x v="25"/>
    <d v="2025-01-16T00:00:00"/>
    <n v="105"/>
    <x v="51"/>
    <x v="15"/>
  </r>
  <r>
    <s v="POL000078"/>
    <s v="PRD00086"/>
    <x v="25"/>
    <d v="2025-01-16T00:00:00"/>
    <n v="153"/>
    <x v="52"/>
    <x v="22"/>
  </r>
  <r>
    <s v="POL000079"/>
    <s v="PRD00037"/>
    <x v="25"/>
    <d v="2025-01-16T00:00:00"/>
    <n v="129"/>
    <x v="53"/>
    <x v="10"/>
  </r>
  <r>
    <s v="POL000080"/>
    <s v="PRD00134"/>
    <x v="26"/>
    <d v="2025-02-19T00:00:00"/>
    <n v="79"/>
    <x v="54"/>
    <x v="9"/>
  </r>
  <r>
    <s v="POL000081"/>
    <s v="PRD00134"/>
    <x v="26"/>
    <d v="2025-02-19T00:00:00"/>
    <n v="142"/>
    <x v="55"/>
    <x v="24"/>
  </r>
  <r>
    <s v="POL000082"/>
    <s v="PRD00045"/>
    <x v="26"/>
    <d v="2025-02-19T00:00:00"/>
    <n v="97"/>
    <x v="56"/>
    <x v="15"/>
  </r>
  <r>
    <s v="POL000083"/>
    <s v="PRD00054"/>
    <x v="27"/>
    <d v="2025-02-12T00:00:00"/>
    <n v="45"/>
    <x v="3"/>
    <x v="3"/>
  </r>
  <r>
    <s v="POL000084"/>
    <s v="PRD00054"/>
    <x v="27"/>
    <d v="2025-02-12T00:00:00"/>
    <n v="195"/>
    <x v="11"/>
    <x v="0"/>
  </r>
  <r>
    <s v="POL000085"/>
    <s v="PRD00024"/>
    <x v="28"/>
    <d v="2025-03-07T00:00:00"/>
    <n v="20"/>
    <x v="3"/>
    <x v="3"/>
  </r>
  <r>
    <s v="POL000086"/>
    <s v="PRD00165"/>
    <x v="28"/>
    <d v="2025-03-07T00:00:00"/>
    <n v="107"/>
    <x v="45"/>
    <x v="13"/>
  </r>
  <r>
    <s v="POL000087"/>
    <s v="PRD00017"/>
    <x v="28"/>
    <d v="2025-03-07T00:00:00"/>
    <n v="130"/>
    <x v="57"/>
    <x v="6"/>
  </r>
  <r>
    <s v="POL000088"/>
    <s v="PRD00013"/>
    <x v="29"/>
    <d v="2025-03-07T00:00:00"/>
    <n v="28"/>
    <x v="58"/>
    <x v="25"/>
  </r>
  <r>
    <s v="POL000089"/>
    <s v="PRD00017"/>
    <x v="29"/>
    <d v="2025-03-07T00:00:00"/>
    <n v="25"/>
    <x v="59"/>
    <x v="14"/>
  </r>
  <r>
    <s v="POL000090"/>
    <s v="PRD00096"/>
    <x v="30"/>
    <d v="2025-02-25T00:00:00"/>
    <n v="116"/>
    <x v="60"/>
    <x v="21"/>
  </r>
  <r>
    <s v="POL000091"/>
    <s v="PRD00096"/>
    <x v="30"/>
    <d v="2025-02-25T00:00:00"/>
    <n v="162"/>
    <x v="61"/>
    <x v="24"/>
  </r>
  <r>
    <s v="POL000092"/>
    <s v="PRD00079"/>
    <x v="30"/>
    <d v="2025-02-25T00:00:00"/>
    <n v="143"/>
    <x v="62"/>
    <x v="24"/>
  </r>
  <r>
    <s v="POL000093"/>
    <s v="PRD00147"/>
    <x v="10"/>
    <d v="2025-03-10T00:00:00"/>
    <n v="154"/>
    <x v="63"/>
    <x v="15"/>
  </r>
  <r>
    <s v="POL000094"/>
    <s v="PRD00132"/>
    <x v="10"/>
    <d v="2025-03-10T00:00:00"/>
    <n v="158"/>
    <x v="3"/>
    <x v="3"/>
  </r>
  <r>
    <s v="POL000095"/>
    <s v="PRD00139"/>
    <x v="10"/>
    <d v="2025-03-10T00:00:00"/>
    <n v="173"/>
    <x v="39"/>
    <x v="26"/>
  </r>
  <r>
    <s v="POL000096"/>
    <s v="PRD00010"/>
    <x v="31"/>
    <d v="2025-03-10T00:00:00"/>
    <n v="161"/>
    <x v="64"/>
    <x v="13"/>
  </r>
  <r>
    <s v="POL000097"/>
    <s v="PRD00010"/>
    <x v="31"/>
    <d v="2025-03-10T00:00:00"/>
    <n v="58"/>
    <x v="65"/>
    <x v="16"/>
  </r>
  <r>
    <s v="POL000098"/>
    <s v="PRD00154"/>
    <x v="32"/>
    <d v="2025-03-24T00:00:00"/>
    <n v="65"/>
    <x v="66"/>
    <x v="13"/>
  </r>
  <r>
    <s v="POL000099"/>
    <s v="PRD00154"/>
    <x v="32"/>
    <d v="2025-03-24T00:00:00"/>
    <n v="105"/>
    <x v="3"/>
    <x v="3"/>
  </r>
  <r>
    <s v="POL000100"/>
    <s v="PRD00154"/>
    <x v="32"/>
    <d v="2025-03-24T00:00:00"/>
    <n v="224"/>
    <x v="67"/>
    <x v="24"/>
  </r>
  <r>
    <s v="POL000101"/>
    <s v="PRD00070"/>
    <x v="33"/>
    <d v="2025-02-25T00:00:00"/>
    <n v="170"/>
    <x v="68"/>
    <x v="13"/>
  </r>
  <r>
    <s v="POL000102"/>
    <s v="PRD00070"/>
    <x v="33"/>
    <d v="2025-02-25T00:00:00"/>
    <n v="104"/>
    <x v="69"/>
    <x v="17"/>
  </r>
  <r>
    <s v="POL000103"/>
    <s v="PRD00125"/>
    <x v="34"/>
    <d v="2025-02-23T00:00:00"/>
    <n v="55"/>
    <x v="15"/>
    <x v="17"/>
  </r>
  <r>
    <s v="POL000104"/>
    <s v="PRD00159"/>
    <x v="34"/>
    <d v="2025-02-23T00:00:00"/>
    <n v="17"/>
    <x v="70"/>
    <x v="26"/>
  </r>
  <r>
    <s v="POL000105"/>
    <s v="PRD00031"/>
    <x v="34"/>
    <d v="2025-02-23T00:00:00"/>
    <n v="129"/>
    <x v="71"/>
    <x v="21"/>
  </r>
  <r>
    <s v="POL000106"/>
    <s v="PRD00039"/>
    <x v="35"/>
    <d v="2025-01-07T00:00:00"/>
    <n v="192"/>
    <x v="72"/>
    <x v="11"/>
  </r>
  <r>
    <s v="POL000107"/>
    <s v="PRD00072"/>
    <x v="35"/>
    <d v="2025-01-07T00:00:00"/>
    <n v="56"/>
    <x v="3"/>
    <x v="3"/>
  </r>
  <r>
    <s v="POL000108"/>
    <s v="PRD00039"/>
    <x v="35"/>
    <d v="2025-01-07T00:00:00"/>
    <n v="204"/>
    <x v="73"/>
    <x v="9"/>
  </r>
  <r>
    <s v="POL000109"/>
    <s v="PRD00013"/>
    <x v="36"/>
    <d v="2025-02-12T00:00:00"/>
    <n v="221"/>
    <x v="74"/>
    <x v="2"/>
  </r>
  <r>
    <s v="POL000110"/>
    <s v="PRD00050"/>
    <x v="36"/>
    <d v="2025-02-12T00:00:00"/>
    <n v="93"/>
    <x v="56"/>
    <x v="24"/>
  </r>
  <r>
    <s v="POL000111"/>
    <s v="PRD00050"/>
    <x v="36"/>
    <d v="2025-02-12T00:00:00"/>
    <n v="10"/>
    <x v="12"/>
    <x v="15"/>
  </r>
  <r>
    <s v="POL000112"/>
    <s v="PRD00005"/>
    <x v="37"/>
    <d v="2025-03-15T00:00:00"/>
    <n v="74"/>
    <x v="75"/>
    <x v="18"/>
  </r>
  <r>
    <s v="POL000113"/>
    <s v="PRD00075"/>
    <x v="37"/>
    <d v="2025-03-15T00:00:00"/>
    <n v="207"/>
    <x v="3"/>
    <x v="3"/>
  </r>
  <r>
    <s v="POL000114"/>
    <s v="PRD00075"/>
    <x v="37"/>
    <d v="2025-03-15T00:00:00"/>
    <n v="173"/>
    <x v="68"/>
    <x v="25"/>
  </r>
  <r>
    <s v="POL000115"/>
    <s v="PRD00136"/>
    <x v="38"/>
    <d v="2025-03-10T00:00:00"/>
    <n v="195"/>
    <x v="76"/>
    <x v="21"/>
  </r>
  <r>
    <s v="POL000116"/>
    <s v="PRD00136"/>
    <x v="38"/>
    <d v="2025-03-10T00:00:00"/>
    <n v="59"/>
    <x v="77"/>
    <x v="6"/>
  </r>
  <r>
    <s v="POL000117"/>
    <s v="PRD00042"/>
    <x v="21"/>
    <d v="2025-03-16T00:00:00"/>
    <n v="50"/>
    <x v="78"/>
    <x v="21"/>
  </r>
  <r>
    <s v="POL000118"/>
    <s v="PRD00108"/>
    <x v="21"/>
    <d v="2025-03-16T00:00:00"/>
    <n v="175"/>
    <x v="79"/>
    <x v="8"/>
  </r>
  <r>
    <s v="POL000119"/>
    <s v="PRD00108"/>
    <x v="21"/>
    <d v="2025-03-16T00:00:00"/>
    <n v="183"/>
    <x v="2"/>
    <x v="25"/>
  </r>
  <r>
    <s v="POL000120"/>
    <s v="PRD00100"/>
    <x v="39"/>
    <d v="2025-01-20T00:00:00"/>
    <n v="115"/>
    <x v="1"/>
    <x v="13"/>
  </r>
  <r>
    <s v="POL000121"/>
    <s v="PRD00100"/>
    <x v="39"/>
    <d v="2025-01-20T00:00:00"/>
    <n v="222"/>
    <x v="80"/>
    <x v="24"/>
  </r>
  <r>
    <s v="POL000122"/>
    <s v="PRD00104"/>
    <x v="39"/>
    <d v="2025-01-20T00:00:00"/>
    <n v="50"/>
    <x v="81"/>
    <x v="26"/>
  </r>
  <r>
    <s v="POL000123"/>
    <s v="PRD00033"/>
    <x v="38"/>
    <d v="2025-02-17T00:00:00"/>
    <n v="193"/>
    <x v="3"/>
    <x v="3"/>
  </r>
  <r>
    <s v="POL000124"/>
    <s v="PRD00136"/>
    <x v="38"/>
    <d v="2025-02-17T00:00:00"/>
    <n v="59"/>
    <x v="82"/>
    <x v="17"/>
  </r>
  <r>
    <s v="POL000125"/>
    <s v="PRD00136"/>
    <x v="38"/>
    <d v="2025-02-17T00:00:00"/>
    <n v="72"/>
    <x v="82"/>
    <x v="12"/>
  </r>
  <r>
    <s v="POL000126"/>
    <s v="PRD00005"/>
    <x v="37"/>
    <d v="2025-02-17T00:00:00"/>
    <n v="180"/>
    <x v="3"/>
    <x v="3"/>
  </r>
  <r>
    <s v="POL000127"/>
    <s v="PRD00005"/>
    <x v="37"/>
    <d v="2025-02-17T00:00:00"/>
    <n v="205"/>
    <x v="83"/>
    <x v="10"/>
  </r>
  <r>
    <s v="POL000128"/>
    <s v="PRD00075"/>
    <x v="37"/>
    <d v="2025-02-17T00:00:00"/>
    <n v="49"/>
    <x v="81"/>
    <x v="15"/>
  </r>
  <r>
    <s v="POL000129"/>
    <s v="PRD00161"/>
    <x v="0"/>
    <d v="2025-03-02T00:00:00"/>
    <n v="83"/>
    <x v="84"/>
    <x v="13"/>
  </r>
  <r>
    <s v="POL000130"/>
    <s v="PRD00161"/>
    <x v="0"/>
    <d v="2025-03-02T00:00:00"/>
    <n v="24"/>
    <x v="85"/>
    <x v="19"/>
  </r>
  <r>
    <s v="POL000131"/>
    <s v="PRD00161"/>
    <x v="0"/>
    <d v="2025-03-02T00:00:00"/>
    <n v="115"/>
    <x v="86"/>
    <x v="19"/>
  </r>
  <r>
    <s v="POL000132"/>
    <s v="PRD00007"/>
    <x v="10"/>
    <d v="2025-01-21T00:00:00"/>
    <n v="18"/>
    <x v="3"/>
    <x v="3"/>
  </r>
  <r>
    <s v="POL000133"/>
    <s v="PRD00064"/>
    <x v="10"/>
    <d v="2025-01-21T00:00:00"/>
    <n v="228"/>
    <x v="3"/>
    <x v="3"/>
  </r>
  <r>
    <s v="POL000134"/>
    <s v="PRD00051"/>
    <x v="40"/>
    <d v="2025-02-11T00:00:00"/>
    <n v="109"/>
    <x v="87"/>
    <x v="4"/>
  </r>
  <r>
    <s v="POL000135"/>
    <s v="PRD00051"/>
    <x v="40"/>
    <d v="2025-02-11T00:00:00"/>
    <n v="138"/>
    <x v="52"/>
    <x v="2"/>
  </r>
  <r>
    <s v="POL000136"/>
    <s v="PRD00051"/>
    <x v="40"/>
    <d v="2025-02-11T00:00:00"/>
    <n v="34"/>
    <x v="3"/>
    <x v="3"/>
  </r>
  <r>
    <s v="POL000137"/>
    <s v="PRD00066"/>
    <x v="41"/>
    <d v="2025-03-14T00:00:00"/>
    <n v="58"/>
    <x v="77"/>
    <x v="25"/>
  </r>
  <r>
    <s v="POL000138"/>
    <s v="PRD00066"/>
    <x v="41"/>
    <d v="2025-03-14T00:00:00"/>
    <n v="201"/>
    <x v="47"/>
    <x v="15"/>
  </r>
  <r>
    <s v="POL000139"/>
    <s v="PRD00066"/>
    <x v="41"/>
    <d v="2025-03-14T00:00:00"/>
    <n v="69"/>
    <x v="88"/>
    <x v="11"/>
  </r>
  <r>
    <s v="POL000140"/>
    <s v="PRD00098"/>
    <x v="42"/>
    <d v="2025-01-19T00:00:00"/>
    <n v="109"/>
    <x v="3"/>
    <x v="3"/>
  </r>
  <r>
    <s v="POL000141"/>
    <s v="PRD00098"/>
    <x v="42"/>
    <d v="2025-01-19T00:00:00"/>
    <n v="134"/>
    <x v="40"/>
    <x v="6"/>
  </r>
  <r>
    <s v="POL000142"/>
    <s v="PRD00098"/>
    <x v="42"/>
    <d v="2025-01-19T00:00:00"/>
    <n v="164"/>
    <x v="27"/>
    <x v="25"/>
  </r>
  <r>
    <s v="POL000143"/>
    <s v="PRD00147"/>
    <x v="43"/>
    <d v="2025-03-15T00:00:00"/>
    <n v="188"/>
    <x v="76"/>
    <x v="9"/>
  </r>
  <r>
    <s v="POL000144"/>
    <s v="PRD00149"/>
    <x v="43"/>
    <d v="2025-03-15T00:00:00"/>
    <n v="164"/>
    <x v="83"/>
    <x v="24"/>
  </r>
  <r>
    <s v="POL000145"/>
    <s v="PRD00147"/>
    <x v="43"/>
    <d v="2025-03-15T00:00:00"/>
    <n v="230"/>
    <x v="4"/>
    <x v="2"/>
  </r>
  <r>
    <s v="POL000146"/>
    <s v="PRD00051"/>
    <x v="40"/>
    <d v="2025-02-02T00:00:00"/>
    <n v="191"/>
    <x v="89"/>
    <x v="5"/>
  </r>
  <r>
    <s v="POL000147"/>
    <s v="PRD00051"/>
    <x v="40"/>
    <d v="2025-02-02T00:00:00"/>
    <n v="77"/>
    <x v="3"/>
    <x v="3"/>
  </r>
  <r>
    <s v="POL000148"/>
    <s v="PRD00051"/>
    <x v="40"/>
    <d v="2025-02-02T00:00:00"/>
    <n v="185"/>
    <x v="20"/>
    <x v="21"/>
  </r>
  <r>
    <s v="POL000149"/>
    <s v="PRD00035"/>
    <x v="44"/>
    <d v="2025-01-11T00:00:00"/>
    <n v="59"/>
    <x v="90"/>
    <x v="11"/>
  </r>
  <r>
    <s v="POL000150"/>
    <s v="PRD00115"/>
    <x v="44"/>
    <d v="2025-01-11T00:00:00"/>
    <n v="182"/>
    <x v="3"/>
    <x v="3"/>
  </r>
  <r>
    <s v="POL000151"/>
    <s v="PRD00011"/>
    <x v="44"/>
    <d v="2025-01-11T00:00:00"/>
    <n v="49"/>
    <x v="78"/>
    <x v="16"/>
  </r>
  <r>
    <s v="POL000152"/>
    <s v="PRD00034"/>
    <x v="45"/>
    <d v="2025-01-08T00:00:00"/>
    <n v="17"/>
    <x v="70"/>
    <x v="26"/>
  </r>
  <r>
    <s v="POL000153"/>
    <s v="PRD00034"/>
    <x v="45"/>
    <d v="2025-01-08T00:00:00"/>
    <n v="142"/>
    <x v="91"/>
    <x v="17"/>
  </r>
  <r>
    <s v="POL000154"/>
    <s v="PRD00034"/>
    <x v="45"/>
    <d v="2025-01-08T00:00:00"/>
    <n v="171"/>
    <x v="38"/>
    <x v="5"/>
  </r>
  <r>
    <s v="POL000155"/>
    <s v="PRD00066"/>
    <x v="41"/>
    <d v="2025-02-22T00:00:00"/>
    <n v="63"/>
    <x v="92"/>
    <x v="24"/>
  </r>
  <r>
    <s v="POL000156"/>
    <s v="PRD00066"/>
    <x v="41"/>
    <d v="2025-02-22T00:00:00"/>
    <n v="149"/>
    <x v="52"/>
    <x v="25"/>
  </r>
  <r>
    <s v="POL000157"/>
    <s v="PRD00094"/>
    <x v="46"/>
    <d v="2025-02-27T00:00:00"/>
    <n v="103"/>
    <x v="93"/>
    <x v="25"/>
  </r>
  <r>
    <s v="POL000158"/>
    <s v="PRD00094"/>
    <x v="46"/>
    <d v="2025-02-27T00:00:00"/>
    <n v="121"/>
    <x v="94"/>
    <x v="15"/>
  </r>
  <r>
    <s v="POL000159"/>
    <s v="PRD00085"/>
    <x v="46"/>
    <d v="2025-02-27T00:00:00"/>
    <n v="173"/>
    <x v="95"/>
    <x v="4"/>
  </r>
  <r>
    <s v="POL000160"/>
    <s v="PRD00139"/>
    <x v="47"/>
    <d v="2025-01-20T00:00:00"/>
    <n v="13"/>
    <x v="3"/>
    <x v="3"/>
  </r>
  <r>
    <s v="POL000161"/>
    <s v="PRD00015"/>
    <x v="47"/>
    <d v="2025-01-20T00:00:00"/>
    <n v="120"/>
    <x v="1"/>
    <x v="5"/>
  </r>
  <r>
    <s v="POL000162"/>
    <s v="PRD00080"/>
    <x v="47"/>
    <d v="2025-01-20T00:00:00"/>
    <n v="240"/>
    <x v="80"/>
    <x v="9"/>
  </r>
  <r>
    <s v="POL000163"/>
    <s v="PRD00131"/>
    <x v="25"/>
    <d v="2025-01-06T00:00:00"/>
    <n v="84"/>
    <x v="84"/>
    <x v="25"/>
  </r>
  <r>
    <s v="POL000164"/>
    <s v="PRD00110"/>
    <x v="25"/>
    <d v="2025-01-06T00:00:00"/>
    <n v="202"/>
    <x v="96"/>
    <x v="6"/>
  </r>
  <r>
    <s v="POL000165"/>
    <s v="PRD00037"/>
    <x v="25"/>
    <d v="2025-01-06T00:00:00"/>
    <n v="229"/>
    <x v="3"/>
    <x v="3"/>
  </r>
  <r>
    <s v="POL000166"/>
    <s v="PRD00006"/>
    <x v="12"/>
    <d v="2025-01-25T00:00:00"/>
    <n v="14"/>
    <x v="3"/>
    <x v="3"/>
  </r>
  <r>
    <s v="POL000167"/>
    <s v="PRD00097"/>
    <x v="12"/>
    <d v="2025-01-25T00:00:00"/>
    <n v="83"/>
    <x v="93"/>
    <x v="17"/>
  </r>
  <r>
    <s v="POL000168"/>
    <s v="PRD00144"/>
    <x v="12"/>
    <d v="2025-01-25T00:00:00"/>
    <n v="171"/>
    <x v="3"/>
    <x v="3"/>
  </r>
  <r>
    <s v="POL000169"/>
    <s v="PRD00031"/>
    <x v="48"/>
    <d v="2025-03-16T00:00:00"/>
    <n v="165"/>
    <x v="27"/>
    <x v="6"/>
  </r>
  <r>
    <s v="POL000170"/>
    <s v="PRD00031"/>
    <x v="48"/>
    <d v="2025-03-16T00:00:00"/>
    <n v="226"/>
    <x v="97"/>
    <x v="17"/>
  </r>
  <r>
    <s v="POL000171"/>
    <s v="PRD00031"/>
    <x v="48"/>
    <d v="2025-03-16T00:00:00"/>
    <n v="145"/>
    <x v="3"/>
    <x v="3"/>
  </r>
  <r>
    <s v="POL000172"/>
    <s v="PRD00012"/>
    <x v="49"/>
    <d v="2025-01-26T00:00:00"/>
    <n v="95"/>
    <x v="3"/>
    <x v="3"/>
  </r>
  <r>
    <s v="POL000173"/>
    <s v="PRD00012"/>
    <x v="49"/>
    <d v="2025-01-26T00:00:00"/>
    <n v="71"/>
    <x v="92"/>
    <x v="23"/>
  </r>
  <r>
    <s v="POL000174"/>
    <s v="PRD00053"/>
    <x v="49"/>
    <d v="2025-01-26T00:00:00"/>
    <n v="65"/>
    <x v="98"/>
    <x v="24"/>
  </r>
  <r>
    <s v="POL000175"/>
    <s v="PRD00157"/>
    <x v="13"/>
    <d v="2025-01-21T00:00:00"/>
    <n v="37"/>
    <x v="99"/>
    <x v="21"/>
  </r>
  <r>
    <s v="POL000176"/>
    <s v="PRD00172"/>
    <x v="13"/>
    <d v="2025-01-21T00:00:00"/>
    <n v="20"/>
    <x v="70"/>
    <x v="10"/>
  </r>
  <r>
    <s v="POL000177"/>
    <s v="PRD00081"/>
    <x v="13"/>
    <d v="2025-01-21T00:00:00"/>
    <n v="45"/>
    <x v="100"/>
    <x v="6"/>
  </r>
  <r>
    <s v="POL000178"/>
    <s v="PRD00070"/>
    <x v="33"/>
    <d v="2025-01-20T00:00:00"/>
    <n v="19"/>
    <x v="41"/>
    <x v="20"/>
  </r>
  <r>
    <s v="POL000179"/>
    <s v="PRD00070"/>
    <x v="33"/>
    <d v="2025-01-20T00:00:00"/>
    <n v="115"/>
    <x v="3"/>
    <x v="3"/>
  </r>
  <r>
    <s v="POL000180"/>
    <s v="PRD00070"/>
    <x v="33"/>
    <d v="2025-01-20T00:00:00"/>
    <n v="80"/>
    <x v="101"/>
    <x v="2"/>
  </r>
  <r>
    <s v="POL000181"/>
    <s v="PRD00067"/>
    <x v="50"/>
    <d v="2025-03-22T00:00:00"/>
    <n v="126"/>
    <x v="102"/>
    <x v="19"/>
  </r>
  <r>
    <s v="POL000182"/>
    <s v="PRD00146"/>
    <x v="50"/>
    <d v="2025-03-22T00:00:00"/>
    <n v="54"/>
    <x v="103"/>
    <x v="7"/>
  </r>
  <r>
    <s v="POL000183"/>
    <s v="PRD00067"/>
    <x v="50"/>
    <d v="2025-03-22T00:00:00"/>
    <n v="157"/>
    <x v="6"/>
    <x v="5"/>
  </r>
  <r>
    <s v="POL000184"/>
    <s v="PRD00146"/>
    <x v="50"/>
    <d v="2025-03-04T00:00:00"/>
    <n v="144"/>
    <x v="37"/>
    <x v="16"/>
  </r>
  <r>
    <s v="POL000185"/>
    <s v="PRD00067"/>
    <x v="50"/>
    <d v="2025-03-04T00:00:00"/>
    <n v="196"/>
    <x v="104"/>
    <x v="11"/>
  </r>
  <r>
    <s v="POL000186"/>
    <s v="PRD00146"/>
    <x v="50"/>
    <d v="2025-03-04T00:00:00"/>
    <n v="140"/>
    <x v="105"/>
    <x v="22"/>
  </r>
  <r>
    <s v="POL000187"/>
    <s v="PRD00156"/>
    <x v="51"/>
    <d v="2025-03-22T00:00:00"/>
    <n v="137"/>
    <x v="3"/>
    <x v="3"/>
  </r>
  <r>
    <s v="POL000188"/>
    <s v="PRD00003"/>
    <x v="51"/>
    <d v="2025-03-22T00:00:00"/>
    <n v="48"/>
    <x v="106"/>
    <x v="17"/>
  </r>
  <r>
    <s v="POL000189"/>
    <s v="PRD00030"/>
    <x v="51"/>
    <d v="2025-03-22T00:00:00"/>
    <n v="179"/>
    <x v="63"/>
    <x v="5"/>
  </r>
  <r>
    <s v="POL000190"/>
    <s v="PRD00176"/>
    <x v="52"/>
    <d v="2025-01-27T00:00:00"/>
    <n v="30"/>
    <x v="3"/>
    <x v="3"/>
  </r>
  <r>
    <s v="POL000191"/>
    <s v="PRD00176"/>
    <x v="52"/>
    <d v="2025-01-27T00:00:00"/>
    <n v="240"/>
    <x v="107"/>
    <x v="9"/>
  </r>
  <r>
    <s v="POL000192"/>
    <s v="PRD00176"/>
    <x v="52"/>
    <d v="2025-01-27T00:00:00"/>
    <n v="203"/>
    <x v="61"/>
    <x v="10"/>
  </r>
  <r>
    <s v="POL000193"/>
    <s v="PRD00013"/>
    <x v="3"/>
    <d v="2025-02-11T00:00:00"/>
    <n v="185"/>
    <x v="2"/>
    <x v="6"/>
  </r>
  <r>
    <s v="POL000194"/>
    <s v="PRD00092"/>
    <x v="3"/>
    <d v="2025-02-11T00:00:00"/>
    <n v="69"/>
    <x v="3"/>
    <x v="3"/>
  </r>
  <r>
    <s v="POL000195"/>
    <s v="PRD00006"/>
    <x v="3"/>
    <d v="2025-02-11T00:00:00"/>
    <n v="63"/>
    <x v="3"/>
    <x v="3"/>
  </r>
  <r>
    <s v="POL000196"/>
    <s v="PRD00019"/>
    <x v="7"/>
    <d v="2025-03-13T00:00:00"/>
    <n v="21"/>
    <x v="3"/>
    <x v="3"/>
  </r>
  <r>
    <s v="POL000197"/>
    <s v="PRD00103"/>
    <x v="7"/>
    <d v="2025-03-13T00:00:00"/>
    <n v="128"/>
    <x v="3"/>
    <x v="3"/>
  </r>
  <r>
    <s v="POL000198"/>
    <s v="PRD00103"/>
    <x v="7"/>
    <d v="2025-03-13T00:00:00"/>
    <n v="225"/>
    <x v="3"/>
    <x v="3"/>
  </r>
  <r>
    <s v="POL000199"/>
    <s v="PRD00124"/>
    <x v="20"/>
    <d v="2025-03-21T00:00:00"/>
    <n v="223"/>
    <x v="108"/>
    <x v="10"/>
  </r>
  <r>
    <s v="POL000200"/>
    <s v="PRD00124"/>
    <x v="20"/>
    <d v="2025-03-21T00:00:00"/>
    <n v="199"/>
    <x v="109"/>
    <x v="2"/>
  </r>
  <r>
    <s v="POL000201"/>
    <s v="PRD00124"/>
    <x v="20"/>
    <d v="2025-03-21T00:00:00"/>
    <n v="101"/>
    <x v="60"/>
    <x v="8"/>
  </r>
  <r>
    <s v="POL000202"/>
    <s v="PRD00075"/>
    <x v="19"/>
    <d v="2025-02-23T00:00:00"/>
    <n v="135"/>
    <x v="55"/>
    <x v="0"/>
  </r>
  <r>
    <s v="POL000203"/>
    <s v="PRD00152"/>
    <x v="19"/>
    <d v="2025-02-23T00:00:00"/>
    <n v="94"/>
    <x v="3"/>
    <x v="3"/>
  </r>
  <r>
    <s v="POL000204"/>
    <s v="PRD00168"/>
    <x v="19"/>
    <d v="2025-02-23T00:00:00"/>
    <n v="207"/>
    <x v="35"/>
    <x v="21"/>
  </r>
  <r>
    <s v="POL000205"/>
    <s v="PRD00087"/>
    <x v="53"/>
    <d v="2025-02-21T00:00:00"/>
    <n v="130"/>
    <x v="3"/>
    <x v="3"/>
  </r>
  <r>
    <s v="POL000206"/>
    <s v="PRD00177"/>
    <x v="53"/>
    <d v="2025-02-21T00:00:00"/>
    <n v="48"/>
    <x v="3"/>
    <x v="3"/>
  </r>
  <r>
    <s v="POL000207"/>
    <s v="PRD00016"/>
    <x v="54"/>
    <d v="2025-03-30T00:00:00"/>
    <n v="144"/>
    <x v="110"/>
    <x v="5"/>
  </r>
  <r>
    <s v="POL000208"/>
    <s v="PRD00016"/>
    <x v="54"/>
    <d v="2025-03-30T00:00:00"/>
    <n v="110"/>
    <x v="94"/>
    <x v="0"/>
  </r>
  <r>
    <s v="POL000209"/>
    <s v="PRD00016"/>
    <x v="54"/>
    <d v="2025-03-30T00:00:00"/>
    <n v="235"/>
    <x v="3"/>
    <x v="3"/>
  </r>
  <r>
    <s v="POL000210"/>
    <s v="PRD00158"/>
    <x v="55"/>
    <d v="2025-03-08T00:00:00"/>
    <n v="111"/>
    <x v="3"/>
    <x v="3"/>
  </r>
  <r>
    <s v="POL000211"/>
    <s v="PRD00048"/>
    <x v="55"/>
    <d v="2025-03-08T00:00:00"/>
    <n v="181"/>
    <x v="3"/>
    <x v="3"/>
  </r>
  <r>
    <s v="POL000212"/>
    <s v="PRD00160"/>
    <x v="55"/>
    <d v="2025-03-08T00:00:00"/>
    <n v="89"/>
    <x v="111"/>
    <x v="7"/>
  </r>
  <r>
    <s v="POL000213"/>
    <s v="PRD00008"/>
    <x v="56"/>
    <d v="2025-01-07T00:00:00"/>
    <n v="51"/>
    <x v="3"/>
    <x v="3"/>
  </r>
  <r>
    <s v="POL000214"/>
    <s v="PRD00041"/>
    <x v="56"/>
    <d v="2025-01-07T00:00:00"/>
    <n v="44"/>
    <x v="44"/>
    <x v="18"/>
  </r>
  <r>
    <s v="POL000215"/>
    <s v="PRD00008"/>
    <x v="56"/>
    <d v="2025-01-07T00:00:00"/>
    <n v="37"/>
    <x v="100"/>
    <x v="20"/>
  </r>
  <r>
    <s v="POL000216"/>
    <s v="PRD00033"/>
    <x v="57"/>
    <d v="2025-01-23T00:00:00"/>
    <n v="51"/>
    <x v="112"/>
    <x v="26"/>
  </r>
  <r>
    <s v="POL000217"/>
    <s v="PRD00083"/>
    <x v="57"/>
    <d v="2025-01-23T00:00:00"/>
    <n v="92"/>
    <x v="3"/>
    <x v="3"/>
  </r>
  <r>
    <s v="POL000218"/>
    <s v="PRD00033"/>
    <x v="57"/>
    <d v="2025-01-23T00:00:00"/>
    <n v="51"/>
    <x v="113"/>
    <x v="22"/>
  </r>
  <r>
    <s v="POL000219"/>
    <s v="PRD00055"/>
    <x v="58"/>
    <d v="2025-01-27T00:00:00"/>
    <n v="169"/>
    <x v="62"/>
    <x v="13"/>
  </r>
  <r>
    <s v="POL000220"/>
    <s v="PRD00055"/>
    <x v="58"/>
    <d v="2025-01-27T00:00:00"/>
    <n v="30"/>
    <x v="114"/>
    <x v="23"/>
  </r>
  <r>
    <s v="POL000221"/>
    <s v="PRD00055"/>
    <x v="58"/>
    <d v="2025-01-27T00:00:00"/>
    <n v="120"/>
    <x v="115"/>
    <x v="8"/>
  </r>
  <r>
    <s v="POL000222"/>
    <s v="PRD00009"/>
    <x v="59"/>
    <d v="2025-03-13T00:00:00"/>
    <n v="231"/>
    <x v="116"/>
    <x v="20"/>
  </r>
  <r>
    <s v="POL000223"/>
    <s v="PRD00009"/>
    <x v="59"/>
    <d v="2025-03-13T00:00:00"/>
    <n v="92"/>
    <x v="3"/>
    <x v="3"/>
  </r>
  <r>
    <s v="POL000224"/>
    <s v="PRD00150"/>
    <x v="59"/>
    <d v="2025-03-13T00:00:00"/>
    <n v="157"/>
    <x v="117"/>
    <x v="18"/>
  </r>
  <r>
    <s v="POL000225"/>
    <s v="PRD00101"/>
    <x v="60"/>
    <d v="2025-01-30T00:00:00"/>
    <n v="47"/>
    <x v="3"/>
    <x v="3"/>
  </r>
  <r>
    <s v="POL000226"/>
    <s v="PRD00091"/>
    <x v="60"/>
    <d v="2025-01-30T00:00:00"/>
    <n v="214"/>
    <x v="42"/>
    <x v="19"/>
  </r>
  <r>
    <s v="POL000227"/>
    <s v="PRD00152"/>
    <x v="60"/>
    <d v="2025-01-30T00:00:00"/>
    <n v="33"/>
    <x v="118"/>
    <x v="18"/>
  </r>
  <r>
    <s v="POL000228"/>
    <s v="PRD00013"/>
    <x v="36"/>
    <d v="2025-01-07T00:00:00"/>
    <n v="121"/>
    <x v="60"/>
    <x v="12"/>
  </r>
  <r>
    <s v="POL000229"/>
    <s v="PRD00013"/>
    <x v="36"/>
    <d v="2025-01-07T00:00:00"/>
    <n v="36"/>
    <x v="119"/>
    <x v="12"/>
  </r>
  <r>
    <s v="POL000230"/>
    <s v="PRD00050"/>
    <x v="36"/>
    <d v="2025-01-07T00:00:00"/>
    <n v="166"/>
    <x v="27"/>
    <x v="6"/>
  </r>
  <r>
    <s v="POL000231"/>
    <s v="PRD00065"/>
    <x v="1"/>
    <d v="2025-01-11T00:00:00"/>
    <n v="90"/>
    <x v="87"/>
    <x v="0"/>
  </r>
  <r>
    <s v="POL000232"/>
    <s v="PRD00069"/>
    <x v="1"/>
    <d v="2025-01-11T00:00:00"/>
    <n v="69"/>
    <x v="3"/>
    <x v="3"/>
  </r>
  <r>
    <s v="POL000233"/>
    <s v="PRD00034"/>
    <x v="1"/>
    <d v="2025-01-11T00:00:00"/>
    <n v="201"/>
    <x v="19"/>
    <x v="24"/>
  </r>
  <r>
    <s v="POL000234"/>
    <s v="PRD00021"/>
    <x v="61"/>
    <d v="2025-02-04T00:00:00"/>
    <n v="53"/>
    <x v="120"/>
    <x v="1"/>
  </r>
  <r>
    <s v="POL000235"/>
    <s v="PRD00021"/>
    <x v="61"/>
    <d v="2025-02-04T00:00:00"/>
    <n v="209"/>
    <x v="121"/>
    <x v="16"/>
  </r>
  <r>
    <s v="POL000236"/>
    <s v="PRD00021"/>
    <x v="61"/>
    <d v="2025-02-04T00:00:00"/>
    <n v="95"/>
    <x v="122"/>
    <x v="4"/>
  </r>
  <r>
    <s v="POL000237"/>
    <s v="PRD00170"/>
    <x v="4"/>
    <d v="2025-02-14T00:00:00"/>
    <n v="86"/>
    <x v="24"/>
    <x v="20"/>
  </r>
  <r>
    <s v="POL000238"/>
    <s v="PRD00170"/>
    <x v="4"/>
    <d v="2025-02-14T00:00:00"/>
    <n v="191"/>
    <x v="18"/>
    <x v="1"/>
  </r>
  <r>
    <s v="POL000239"/>
    <s v="PRD00170"/>
    <x v="4"/>
    <d v="2025-02-14T00:00:00"/>
    <n v="122"/>
    <x v="60"/>
    <x v="13"/>
  </r>
  <r>
    <s v="POL000240"/>
    <s v="PRD00016"/>
    <x v="54"/>
    <d v="2025-03-29T00:00:00"/>
    <n v="192"/>
    <x v="123"/>
    <x v="22"/>
  </r>
  <r>
    <s v="POL000241"/>
    <s v="PRD00016"/>
    <x v="54"/>
    <d v="2025-03-29T00:00:00"/>
    <n v="57"/>
    <x v="15"/>
    <x v="20"/>
  </r>
  <r>
    <s v="POL000242"/>
    <s v="PRD00150"/>
    <x v="59"/>
    <d v="2025-02-16T00:00:00"/>
    <n v="185"/>
    <x v="3"/>
    <x v="3"/>
  </r>
  <r>
    <s v="POL000243"/>
    <s v="PRD00009"/>
    <x v="59"/>
    <d v="2025-02-16T00:00:00"/>
    <n v="237"/>
    <x v="47"/>
    <x v="22"/>
  </r>
  <r>
    <s v="POL000244"/>
    <s v="PRD00150"/>
    <x v="59"/>
    <d v="2025-02-16T00:00:00"/>
    <n v="169"/>
    <x v="50"/>
    <x v="20"/>
  </r>
  <r>
    <s v="POL000245"/>
    <s v="PRD00155"/>
    <x v="62"/>
    <d v="2025-03-19T00:00:00"/>
    <n v="234"/>
    <x v="3"/>
    <x v="3"/>
  </r>
  <r>
    <s v="POL000246"/>
    <s v="PRD00049"/>
    <x v="62"/>
    <d v="2025-03-19T00:00:00"/>
    <n v="188"/>
    <x v="89"/>
    <x v="6"/>
  </r>
  <r>
    <s v="POL000247"/>
    <s v="PRD00007"/>
    <x v="63"/>
    <d v="2025-02-16T00:00:00"/>
    <n v="17"/>
    <x v="124"/>
    <x v="4"/>
  </r>
  <r>
    <s v="POL000248"/>
    <s v="PRD00074"/>
    <x v="63"/>
    <d v="2025-02-16T00:00:00"/>
    <n v="71"/>
    <x v="125"/>
    <x v="25"/>
  </r>
  <r>
    <s v="POL000249"/>
    <s v="PRD00105"/>
    <x v="63"/>
    <d v="2025-02-16T00:00:00"/>
    <n v="180"/>
    <x v="126"/>
    <x v="9"/>
  </r>
  <r>
    <s v="POL000250"/>
    <s v="PRD00179"/>
    <x v="64"/>
    <d v="2025-02-26T00:00:00"/>
    <n v="144"/>
    <x v="127"/>
    <x v="2"/>
  </r>
  <r>
    <s v="POL000251"/>
    <s v="PRD00069"/>
    <x v="64"/>
    <d v="2025-02-26T00:00:00"/>
    <n v="163"/>
    <x v="128"/>
    <x v="17"/>
  </r>
  <r>
    <s v="POL000252"/>
    <s v="PRD00089"/>
    <x v="64"/>
    <d v="2025-02-26T00:00:00"/>
    <n v="231"/>
    <x v="3"/>
    <x v="3"/>
  </r>
  <r>
    <s v="POL000253"/>
    <s v="PRD00121"/>
    <x v="65"/>
    <d v="2025-02-11T00:00:00"/>
    <n v="236"/>
    <x v="67"/>
    <x v="7"/>
  </r>
  <r>
    <s v="POL000254"/>
    <s v="PRD00036"/>
    <x v="65"/>
    <d v="2025-02-11T00:00:00"/>
    <n v="208"/>
    <x v="21"/>
    <x v="20"/>
  </r>
  <r>
    <s v="POL000255"/>
    <s v="PRD00121"/>
    <x v="65"/>
    <d v="2025-02-11T00:00:00"/>
    <n v="49"/>
    <x v="17"/>
    <x v="6"/>
  </r>
  <r>
    <s v="POL000256"/>
    <s v="PRD00033"/>
    <x v="57"/>
    <d v="2025-03-31T00:00:00"/>
    <n v="174"/>
    <x v="79"/>
    <x v="8"/>
  </r>
  <r>
    <s v="POL000257"/>
    <s v="PRD00023"/>
    <x v="57"/>
    <d v="2025-03-31T00:00:00"/>
    <n v="229"/>
    <x v="129"/>
    <x v="26"/>
  </r>
  <r>
    <s v="POL000258"/>
    <s v="PRD00064"/>
    <x v="66"/>
    <d v="2025-02-10T00:00:00"/>
    <n v="68"/>
    <x v="15"/>
    <x v="25"/>
  </r>
  <r>
    <s v="POL000259"/>
    <s v="PRD00068"/>
    <x v="66"/>
    <d v="2025-02-10T00:00:00"/>
    <n v="221"/>
    <x v="80"/>
    <x v="20"/>
  </r>
  <r>
    <s v="POL000260"/>
    <s v="PRD00014"/>
    <x v="66"/>
    <d v="2025-02-10T00:00:00"/>
    <n v="223"/>
    <x v="72"/>
    <x v="13"/>
  </r>
  <r>
    <s v="POL000261"/>
    <s v="PRD00027"/>
    <x v="67"/>
    <d v="2025-03-26T00:00:00"/>
    <n v="221"/>
    <x v="3"/>
    <x v="3"/>
  </r>
  <r>
    <s v="POL000262"/>
    <s v="PRD00027"/>
    <x v="67"/>
    <d v="2025-03-26T00:00:00"/>
    <n v="72"/>
    <x v="90"/>
    <x v="22"/>
  </r>
  <r>
    <s v="POL000263"/>
    <s v="PRD00027"/>
    <x v="67"/>
    <d v="2025-03-26T00:00:00"/>
    <n v="180"/>
    <x v="123"/>
    <x v="12"/>
  </r>
  <r>
    <s v="POL000264"/>
    <s v="PRD00019"/>
    <x v="7"/>
    <d v="2025-01-27T00:00:00"/>
    <n v="220"/>
    <x v="3"/>
    <x v="3"/>
  </r>
  <r>
    <s v="POL000265"/>
    <s v="PRD00019"/>
    <x v="7"/>
    <d v="2025-01-27T00:00:00"/>
    <n v="67"/>
    <x v="120"/>
    <x v="22"/>
  </r>
  <r>
    <s v="POL000266"/>
    <s v="PRD00019"/>
    <x v="7"/>
    <d v="2025-01-27T00:00:00"/>
    <n v="44"/>
    <x v="3"/>
    <x v="3"/>
  </r>
  <r>
    <s v="POL000267"/>
    <s v="PRD00038"/>
    <x v="68"/>
    <d v="2025-03-18T00:00:00"/>
    <n v="58"/>
    <x v="106"/>
    <x v="12"/>
  </r>
  <r>
    <s v="POL000268"/>
    <s v="PRD00038"/>
    <x v="68"/>
    <d v="2025-03-18T00:00:00"/>
    <n v="206"/>
    <x v="11"/>
    <x v="24"/>
  </r>
  <r>
    <s v="POL000269"/>
    <s v="PRD00097"/>
    <x v="68"/>
    <d v="2025-03-18T00:00:00"/>
    <n v="100"/>
    <x v="130"/>
    <x v="23"/>
  </r>
  <r>
    <s v="POL000270"/>
    <s v="PRD00122"/>
    <x v="69"/>
    <d v="2025-02-03T00:00:00"/>
    <n v="108"/>
    <x v="7"/>
    <x v="16"/>
  </r>
  <r>
    <s v="POL000271"/>
    <s v="PRD00132"/>
    <x v="69"/>
    <d v="2025-02-03T00:00:00"/>
    <n v="173"/>
    <x v="20"/>
    <x v="15"/>
  </r>
  <r>
    <s v="POL000272"/>
    <s v="PRD00057"/>
    <x v="69"/>
    <d v="2025-02-03T00:00:00"/>
    <n v="199"/>
    <x v="3"/>
    <x v="3"/>
  </r>
  <r>
    <s v="POL000273"/>
    <s v="PRD00021"/>
    <x v="70"/>
    <d v="2025-03-05T00:00:00"/>
    <n v="95"/>
    <x v="8"/>
    <x v="7"/>
  </r>
  <r>
    <s v="POL000274"/>
    <s v="PRD00093"/>
    <x v="70"/>
    <d v="2025-03-05T00:00:00"/>
    <n v="139"/>
    <x v="23"/>
    <x v="26"/>
  </r>
  <r>
    <s v="POL000275"/>
    <s v="PRD00093"/>
    <x v="70"/>
    <d v="2025-03-05T00:00:00"/>
    <n v="146"/>
    <x v="9"/>
    <x v="5"/>
  </r>
  <r>
    <s v="POL000276"/>
    <s v="PRD00176"/>
    <x v="52"/>
    <d v="2025-01-16T00:00:00"/>
    <n v="214"/>
    <x v="50"/>
    <x v="10"/>
  </r>
  <r>
    <s v="POL000277"/>
    <s v="PRD00176"/>
    <x v="52"/>
    <d v="2025-01-16T00:00:00"/>
    <n v="64"/>
    <x v="131"/>
    <x v="7"/>
  </r>
  <r>
    <s v="POL000278"/>
    <s v="PRD00176"/>
    <x v="52"/>
    <d v="2025-01-16T00:00:00"/>
    <n v="184"/>
    <x v="3"/>
    <x v="3"/>
  </r>
  <r>
    <s v="POL000279"/>
    <s v="PRD00098"/>
    <x v="42"/>
    <d v="2025-02-22T00:00:00"/>
    <n v="14"/>
    <x v="132"/>
    <x v="25"/>
  </r>
  <r>
    <s v="POL000280"/>
    <s v="PRD00098"/>
    <x v="42"/>
    <d v="2025-02-22T00:00:00"/>
    <n v="88"/>
    <x v="3"/>
    <x v="3"/>
  </r>
  <r>
    <s v="POL000281"/>
    <s v="PRD00098"/>
    <x v="42"/>
    <d v="2025-02-22T00:00:00"/>
    <n v="73"/>
    <x v="125"/>
    <x v="5"/>
  </r>
  <r>
    <s v="POL000282"/>
    <s v="PRD00113"/>
    <x v="71"/>
    <d v="2025-02-28T00:00:00"/>
    <n v="89"/>
    <x v="3"/>
    <x v="3"/>
  </r>
  <r>
    <s v="POL000283"/>
    <s v="PRD00113"/>
    <x v="71"/>
    <d v="2025-02-28T00:00:00"/>
    <n v="233"/>
    <x v="133"/>
    <x v="1"/>
  </r>
  <r>
    <s v="POL000284"/>
    <s v="PRD00105"/>
    <x v="72"/>
    <d v="2025-02-09T00:00:00"/>
    <n v="225"/>
    <x v="21"/>
    <x v="26"/>
  </r>
  <r>
    <s v="POL000285"/>
    <s v="PRD00137"/>
    <x v="72"/>
    <d v="2025-02-09T00:00:00"/>
    <n v="43"/>
    <x v="3"/>
    <x v="3"/>
  </r>
  <r>
    <s v="POL000286"/>
    <s v="PRD00137"/>
    <x v="72"/>
    <d v="2025-02-09T00:00:00"/>
    <n v="86"/>
    <x v="134"/>
    <x v="22"/>
  </r>
  <r>
    <s v="POL000287"/>
    <s v="PRD00087"/>
    <x v="57"/>
    <d v="2025-02-07T00:00:00"/>
    <n v="221"/>
    <x v="135"/>
    <x v="15"/>
  </r>
  <r>
    <s v="POL000288"/>
    <s v="PRD00033"/>
    <x v="57"/>
    <d v="2025-02-07T00:00:00"/>
    <n v="141"/>
    <x v="68"/>
    <x v="1"/>
  </r>
  <r>
    <s v="POL000289"/>
    <s v="PRD00107"/>
    <x v="73"/>
    <d v="2025-02-19T00:00:00"/>
    <n v="51"/>
    <x v="106"/>
    <x v="14"/>
  </r>
  <r>
    <s v="POL000290"/>
    <s v="PRD00159"/>
    <x v="73"/>
    <d v="2025-02-19T00:00:00"/>
    <n v="208"/>
    <x v="136"/>
    <x v="16"/>
  </r>
  <r>
    <s v="POL000291"/>
    <s v="PRD00022"/>
    <x v="73"/>
    <d v="2025-02-19T00:00:00"/>
    <n v="237"/>
    <x v="137"/>
    <x v="0"/>
  </r>
  <r>
    <s v="POL000292"/>
    <s v="PRD00044"/>
    <x v="74"/>
    <d v="2025-01-28T00:00:00"/>
    <n v="113"/>
    <x v="94"/>
    <x v="1"/>
  </r>
  <r>
    <s v="POL000293"/>
    <s v="PRD00119"/>
    <x v="74"/>
    <d v="2025-01-28T00:00:00"/>
    <n v="28"/>
    <x v="59"/>
    <x v="4"/>
  </r>
  <r>
    <s v="POL000294"/>
    <s v="PRD00044"/>
    <x v="74"/>
    <d v="2025-01-28T00:00:00"/>
    <n v="166"/>
    <x v="128"/>
    <x v="1"/>
  </r>
  <r>
    <s v="POL000295"/>
    <s v="PRD00046"/>
    <x v="75"/>
    <d v="2025-01-21T00:00:00"/>
    <n v="24"/>
    <x v="3"/>
    <x v="3"/>
  </r>
  <r>
    <s v="POL000296"/>
    <s v="PRD00046"/>
    <x v="75"/>
    <d v="2025-01-21T00:00:00"/>
    <n v="225"/>
    <x v="3"/>
    <x v="3"/>
  </r>
  <r>
    <s v="POL000297"/>
    <s v="PRD00128"/>
    <x v="75"/>
    <d v="2025-01-21T00:00:00"/>
    <n v="153"/>
    <x v="6"/>
    <x v="25"/>
  </r>
  <r>
    <s v="POL000298"/>
    <s v="PRD00161"/>
    <x v="0"/>
    <d v="2025-02-20T00:00:00"/>
    <n v="80"/>
    <x v="138"/>
    <x v="26"/>
  </r>
  <r>
    <s v="POL000299"/>
    <s v="PRD00161"/>
    <x v="0"/>
    <d v="2025-02-20T00:00:00"/>
    <n v="155"/>
    <x v="139"/>
    <x v="18"/>
  </r>
  <r>
    <s v="POL000300"/>
    <s v="PRD00151"/>
    <x v="56"/>
    <d v="2025-03-03T00:00:00"/>
    <n v="235"/>
    <x v="140"/>
    <x v="25"/>
  </r>
  <r>
    <s v="POL000301"/>
    <s v="PRD00124"/>
    <x v="56"/>
    <d v="2025-03-03T00:00:00"/>
    <n v="134"/>
    <x v="55"/>
    <x v="0"/>
  </r>
  <r>
    <s v="POL000302"/>
    <s v="PRD00138"/>
    <x v="56"/>
    <d v="2025-03-03T00:00:00"/>
    <n v="76"/>
    <x v="43"/>
    <x v="11"/>
  </r>
  <r>
    <s v="POL000303"/>
    <s v="PRD00047"/>
    <x v="76"/>
    <d v="2025-03-06T00:00:00"/>
    <n v="205"/>
    <x v="3"/>
    <x v="3"/>
  </r>
  <r>
    <s v="POL000304"/>
    <s v="PRD00162"/>
    <x v="76"/>
    <d v="2025-03-06T00:00:00"/>
    <n v="22"/>
    <x v="141"/>
    <x v="20"/>
  </r>
  <r>
    <s v="POL000305"/>
    <s v="PRD00152"/>
    <x v="76"/>
    <d v="2025-03-06T00:00:00"/>
    <n v="141"/>
    <x v="3"/>
    <x v="3"/>
  </r>
  <r>
    <s v="POL000306"/>
    <s v="PRD00032"/>
    <x v="9"/>
    <d v="2025-02-18T00:00:00"/>
    <n v="114"/>
    <x v="142"/>
    <x v="26"/>
  </r>
  <r>
    <s v="POL000307"/>
    <s v="PRD00108"/>
    <x v="9"/>
    <d v="2025-02-18T00:00:00"/>
    <n v="216"/>
    <x v="143"/>
    <x v="26"/>
  </r>
  <r>
    <s v="POL000308"/>
    <s v="PRD00062"/>
    <x v="9"/>
    <d v="2025-02-18T00:00:00"/>
    <n v="87"/>
    <x v="3"/>
    <x v="3"/>
  </r>
  <r>
    <s v="POL000309"/>
    <s v="PRD00121"/>
    <x v="65"/>
    <d v="2025-03-05T00:00:00"/>
    <n v="213"/>
    <x v="136"/>
    <x v="21"/>
  </r>
  <r>
    <s v="POL000310"/>
    <s v="PRD00142"/>
    <x v="65"/>
    <d v="2025-03-05T00:00:00"/>
    <n v="215"/>
    <x v="21"/>
    <x v="14"/>
  </r>
  <r>
    <s v="POL000311"/>
    <s v="PRD00124"/>
    <x v="20"/>
    <d v="2025-03-01T00:00:00"/>
    <n v="27"/>
    <x v="3"/>
    <x v="3"/>
  </r>
  <r>
    <s v="POL000312"/>
    <s v="PRD00124"/>
    <x v="20"/>
    <d v="2025-03-01T00:00:00"/>
    <n v="116"/>
    <x v="87"/>
    <x v="5"/>
  </r>
  <r>
    <s v="POL000313"/>
    <s v="PRD00124"/>
    <x v="20"/>
    <d v="2025-03-01T00:00:00"/>
    <n v="152"/>
    <x v="3"/>
    <x v="3"/>
  </r>
  <r>
    <s v="POL000314"/>
    <s v="PRD00020"/>
    <x v="77"/>
    <d v="2025-02-15T00:00:00"/>
    <n v="191"/>
    <x v="2"/>
    <x v="10"/>
  </r>
  <r>
    <s v="POL000315"/>
    <s v="PRD00020"/>
    <x v="77"/>
    <d v="2025-02-15T00:00:00"/>
    <n v="76"/>
    <x v="138"/>
    <x v="14"/>
  </r>
  <r>
    <s v="POL000316"/>
    <s v="PRD00020"/>
    <x v="77"/>
    <d v="2025-02-15T00:00:00"/>
    <n v="151"/>
    <x v="117"/>
    <x v="20"/>
  </r>
  <r>
    <s v="POL000317"/>
    <s v="PRD00051"/>
    <x v="40"/>
    <d v="2025-02-27T00:00:00"/>
    <n v="170"/>
    <x v="39"/>
    <x v="7"/>
  </r>
  <r>
    <s v="POL000318"/>
    <s v="PRD00163"/>
    <x v="40"/>
    <d v="2025-02-27T00:00:00"/>
    <n v="91"/>
    <x v="93"/>
    <x v="7"/>
  </r>
  <r>
    <s v="POL000319"/>
    <s v="PRD00051"/>
    <x v="40"/>
    <d v="2025-02-27T00:00:00"/>
    <n v="107"/>
    <x v="144"/>
    <x v="17"/>
  </r>
  <r>
    <s v="POL000320"/>
    <s v="PRD00139"/>
    <x v="78"/>
    <d v="2025-01-27T00:00:00"/>
    <n v="43"/>
    <x v="17"/>
    <x v="26"/>
  </r>
  <r>
    <s v="POL000321"/>
    <s v="PRD00163"/>
    <x v="78"/>
    <d v="2025-01-27T00:00:00"/>
    <n v="153"/>
    <x v="68"/>
    <x v="7"/>
  </r>
  <r>
    <s v="POL000322"/>
    <s v="PRD00139"/>
    <x v="78"/>
    <d v="2025-01-27T00:00:00"/>
    <n v="129"/>
    <x v="145"/>
    <x v="26"/>
  </r>
  <r>
    <s v="POL000323"/>
    <s v="PRD00049"/>
    <x v="62"/>
    <d v="2025-03-15T00:00:00"/>
    <n v="238"/>
    <x v="19"/>
    <x v="25"/>
  </r>
  <r>
    <s v="POL000324"/>
    <s v="PRD00049"/>
    <x v="62"/>
    <d v="2025-03-15T00:00:00"/>
    <n v="95"/>
    <x v="10"/>
    <x v="5"/>
  </r>
  <r>
    <s v="POL000325"/>
    <s v="PRD00049"/>
    <x v="62"/>
    <d v="2025-03-15T00:00:00"/>
    <n v="35"/>
    <x v="146"/>
    <x v="8"/>
  </r>
  <r>
    <s v="POL000326"/>
    <s v="PRD00006"/>
    <x v="12"/>
    <d v="2025-02-11T00:00:00"/>
    <n v="144"/>
    <x v="110"/>
    <x v="5"/>
  </r>
  <r>
    <s v="POL000327"/>
    <s v="PRD00144"/>
    <x v="12"/>
    <d v="2025-02-11T00:00:00"/>
    <n v="106"/>
    <x v="147"/>
    <x v="23"/>
  </r>
  <r>
    <s v="POL000328"/>
    <s v="PRD00006"/>
    <x v="12"/>
    <d v="2025-02-11T00:00:00"/>
    <n v="127"/>
    <x v="3"/>
    <x v="3"/>
  </r>
  <r>
    <s v="POL000329"/>
    <s v="PRD00070"/>
    <x v="33"/>
    <d v="2025-02-07T00:00:00"/>
    <n v="76"/>
    <x v="3"/>
    <x v="3"/>
  </r>
  <r>
    <s v="POL000330"/>
    <s v="PRD00070"/>
    <x v="33"/>
    <d v="2025-02-07T00:00:00"/>
    <n v="129"/>
    <x v="3"/>
    <x v="3"/>
  </r>
  <r>
    <s v="POL000331"/>
    <s v="PRD00067"/>
    <x v="33"/>
    <d v="2025-02-07T00:00:00"/>
    <n v="232"/>
    <x v="3"/>
    <x v="3"/>
  </r>
  <r>
    <s v="POL000332"/>
    <s v="PRD00018"/>
    <x v="79"/>
    <d v="2025-03-20T00:00:00"/>
    <n v="60"/>
    <x v="15"/>
    <x v="15"/>
  </r>
  <r>
    <s v="POL000333"/>
    <s v="PRD00018"/>
    <x v="79"/>
    <d v="2025-03-20T00:00:00"/>
    <n v="46"/>
    <x v="44"/>
    <x v="9"/>
  </r>
  <r>
    <s v="POL000334"/>
    <s v="PRD00064"/>
    <x v="80"/>
    <d v="2025-01-11T00:00:00"/>
    <n v="112"/>
    <x v="3"/>
    <x v="3"/>
  </r>
  <r>
    <s v="POL000335"/>
    <s v="PRD00064"/>
    <x v="80"/>
    <d v="2025-01-11T00:00:00"/>
    <n v="187"/>
    <x v="139"/>
    <x v="10"/>
  </r>
  <r>
    <s v="POL000336"/>
    <s v="PRD00064"/>
    <x v="80"/>
    <d v="2025-01-11T00:00:00"/>
    <n v="126"/>
    <x v="16"/>
    <x v="24"/>
  </r>
  <r>
    <s v="POL000337"/>
    <s v="PRD00004"/>
    <x v="27"/>
    <d v="2025-02-22T00:00:00"/>
    <n v="60"/>
    <x v="131"/>
    <x v="20"/>
  </r>
  <r>
    <s v="POL000338"/>
    <s v="PRD00054"/>
    <x v="27"/>
    <d v="2025-02-22T00:00:00"/>
    <n v="235"/>
    <x v="148"/>
    <x v="7"/>
  </r>
  <r>
    <s v="POL000339"/>
    <s v="PRD00054"/>
    <x v="27"/>
    <d v="2025-02-22T00:00:00"/>
    <n v="55"/>
    <x v="149"/>
    <x v="1"/>
  </r>
  <r>
    <s v="POL000340"/>
    <s v="PRD00113"/>
    <x v="71"/>
    <d v="2025-02-27T00:00:00"/>
    <n v="132"/>
    <x v="150"/>
    <x v="12"/>
  </r>
  <r>
    <s v="POL000341"/>
    <s v="PRD00113"/>
    <x v="71"/>
    <d v="2025-02-27T00:00:00"/>
    <n v="104"/>
    <x v="111"/>
    <x v="22"/>
  </r>
  <r>
    <s v="POL000342"/>
    <s v="PRD00146"/>
    <x v="50"/>
    <d v="2025-02-13T00:00:00"/>
    <n v="154"/>
    <x v="83"/>
    <x v="19"/>
  </r>
  <r>
    <s v="POL000343"/>
    <s v="PRD00146"/>
    <x v="50"/>
    <d v="2025-02-13T00:00:00"/>
    <n v="19"/>
    <x v="151"/>
    <x v="7"/>
  </r>
  <r>
    <s v="POL000344"/>
    <s v="PRD00051"/>
    <x v="40"/>
    <d v="2025-02-10T00:00:00"/>
    <n v="145"/>
    <x v="16"/>
    <x v="4"/>
  </r>
  <r>
    <s v="POL000345"/>
    <s v="PRD00051"/>
    <x v="40"/>
    <d v="2025-02-10T00:00:00"/>
    <n v="103"/>
    <x v="24"/>
    <x v="13"/>
  </r>
  <r>
    <s v="POL000346"/>
    <s v="PRD00051"/>
    <x v="40"/>
    <d v="2025-02-10T00:00:00"/>
    <n v="153"/>
    <x v="86"/>
    <x v="10"/>
  </r>
  <r>
    <s v="POL000347"/>
    <s v="PRD00016"/>
    <x v="81"/>
    <d v="2025-02-14T00:00:00"/>
    <n v="232"/>
    <x v="14"/>
    <x v="24"/>
  </r>
  <r>
    <s v="POL000348"/>
    <s v="PRD00170"/>
    <x v="81"/>
    <d v="2025-02-14T00:00:00"/>
    <n v="230"/>
    <x v="3"/>
    <x v="3"/>
  </r>
  <r>
    <s v="POL000349"/>
    <s v="PRD00006"/>
    <x v="12"/>
    <d v="2025-01-12T00:00:00"/>
    <n v="172"/>
    <x v="126"/>
    <x v="18"/>
  </r>
  <r>
    <s v="POL000350"/>
    <s v="PRD00006"/>
    <x v="12"/>
    <d v="2025-01-12T00:00:00"/>
    <n v="76"/>
    <x v="3"/>
    <x v="3"/>
  </r>
  <r>
    <s v="POL000351"/>
    <s v="PRD00144"/>
    <x v="12"/>
    <d v="2025-01-12T00:00:00"/>
    <n v="168"/>
    <x v="152"/>
    <x v="7"/>
  </r>
  <r>
    <s v="POL000352"/>
    <s v="PRD00134"/>
    <x v="26"/>
    <d v="2025-02-17T00:00:00"/>
    <n v="13"/>
    <x v="153"/>
    <x v="5"/>
  </r>
  <r>
    <s v="POL000353"/>
    <s v="PRD00045"/>
    <x v="26"/>
    <d v="2025-02-17T00:00:00"/>
    <n v="60"/>
    <x v="131"/>
    <x v="20"/>
  </r>
  <r>
    <s v="POL000354"/>
    <s v="PRD00045"/>
    <x v="26"/>
    <d v="2025-02-17T00:00:00"/>
    <n v="223"/>
    <x v="154"/>
    <x v="1"/>
  </r>
  <r>
    <s v="POL000355"/>
    <s v="PRD00092"/>
    <x v="82"/>
    <d v="2025-03-04T00:00:00"/>
    <n v="105"/>
    <x v="3"/>
    <x v="3"/>
  </r>
  <r>
    <s v="POL000356"/>
    <s v="PRD00032"/>
    <x v="82"/>
    <d v="2025-03-04T00:00:00"/>
    <n v="114"/>
    <x v="94"/>
    <x v="1"/>
  </r>
  <r>
    <s v="POL000357"/>
    <s v="PRD00051"/>
    <x v="40"/>
    <d v="2025-02-02T00:00:00"/>
    <n v="156"/>
    <x v="39"/>
    <x v="8"/>
  </r>
  <r>
    <s v="POL000358"/>
    <s v="PRD00051"/>
    <x v="40"/>
    <d v="2025-02-02T00:00:00"/>
    <n v="99"/>
    <x v="87"/>
    <x v="15"/>
  </r>
  <r>
    <s v="POL000359"/>
    <s v="PRD00051"/>
    <x v="40"/>
    <d v="2025-02-02T00:00:00"/>
    <n v="37"/>
    <x v="146"/>
    <x v="14"/>
  </r>
  <r>
    <s v="POL000360"/>
    <s v="PRD00136"/>
    <x v="38"/>
    <d v="2025-01-21T00:00:00"/>
    <n v="131"/>
    <x v="3"/>
    <x v="3"/>
  </r>
  <r>
    <s v="POL000361"/>
    <s v="PRD00136"/>
    <x v="38"/>
    <d v="2025-01-21T00:00:00"/>
    <n v="213"/>
    <x v="13"/>
    <x v="15"/>
  </r>
  <r>
    <s v="POL000362"/>
    <s v="PRD00136"/>
    <x v="38"/>
    <d v="2025-01-21T00:00:00"/>
    <n v="156"/>
    <x v="61"/>
    <x v="17"/>
  </r>
  <r>
    <s v="POL000363"/>
    <s v="PRD00151"/>
    <x v="83"/>
    <d v="2025-02-20T00:00:00"/>
    <n v="13"/>
    <x v="132"/>
    <x v="2"/>
  </r>
  <r>
    <s v="POL000364"/>
    <s v="PRD00151"/>
    <x v="83"/>
    <d v="2025-02-20T00:00:00"/>
    <n v="233"/>
    <x v="33"/>
    <x v="22"/>
  </r>
  <r>
    <s v="POL000365"/>
    <s v="PRD00121"/>
    <x v="65"/>
    <d v="2025-02-19T00:00:00"/>
    <n v="182"/>
    <x v="3"/>
    <x v="3"/>
  </r>
  <r>
    <s v="POL000366"/>
    <s v="PRD00121"/>
    <x v="65"/>
    <d v="2025-02-19T00:00:00"/>
    <n v="178"/>
    <x v="152"/>
    <x v="21"/>
  </r>
  <r>
    <s v="POL000367"/>
    <s v="PRD00142"/>
    <x v="65"/>
    <d v="2025-02-19T00:00:00"/>
    <n v="126"/>
    <x v="3"/>
    <x v="3"/>
  </r>
  <r>
    <s v="POL000368"/>
    <s v="PRD00071"/>
    <x v="79"/>
    <d v="2025-02-14T00:00:00"/>
    <n v="151"/>
    <x v="155"/>
    <x v="21"/>
  </r>
  <r>
    <s v="POL000369"/>
    <s v="PRD00071"/>
    <x v="79"/>
    <d v="2025-02-14T00:00:00"/>
    <n v="233"/>
    <x v="3"/>
    <x v="3"/>
  </r>
  <r>
    <s v="POL000370"/>
    <s v="PRD00010"/>
    <x v="31"/>
    <d v="2025-02-14T00:00:00"/>
    <n v="152"/>
    <x v="27"/>
    <x v="2"/>
  </r>
  <r>
    <s v="POL000371"/>
    <s v="PRD00010"/>
    <x v="31"/>
    <d v="2025-02-14T00:00:00"/>
    <n v="201"/>
    <x v="72"/>
    <x v="7"/>
  </r>
  <r>
    <s v="POL000372"/>
    <s v="PRD00010"/>
    <x v="31"/>
    <d v="2025-02-14T00:00:00"/>
    <n v="89"/>
    <x v="147"/>
    <x v="0"/>
  </r>
  <r>
    <s v="POL000373"/>
    <s v="PRD00094"/>
    <x v="46"/>
    <d v="2025-01-26T00:00:00"/>
    <n v="207"/>
    <x v="3"/>
    <x v="3"/>
  </r>
  <r>
    <s v="POL000374"/>
    <s v="PRD00094"/>
    <x v="46"/>
    <d v="2025-01-26T00:00:00"/>
    <n v="24"/>
    <x v="58"/>
    <x v="14"/>
  </r>
  <r>
    <s v="POL000375"/>
    <s v="PRD00085"/>
    <x v="46"/>
    <d v="2025-01-26T00:00:00"/>
    <n v="143"/>
    <x v="156"/>
    <x v="17"/>
  </r>
  <r>
    <s v="POL000376"/>
    <s v="PRD00051"/>
    <x v="40"/>
    <d v="2025-01-23T00:00:00"/>
    <n v="30"/>
    <x v="157"/>
    <x v="9"/>
  </r>
  <r>
    <s v="POL000377"/>
    <s v="PRD00051"/>
    <x v="40"/>
    <d v="2025-01-23T00:00:00"/>
    <n v="214"/>
    <x v="3"/>
    <x v="3"/>
  </r>
  <r>
    <s v="POL000378"/>
    <s v="PRD00051"/>
    <x v="40"/>
    <d v="2025-01-23T00:00:00"/>
    <n v="198"/>
    <x v="29"/>
    <x v="25"/>
  </r>
  <r>
    <s v="POL000379"/>
    <s v="PRD00171"/>
    <x v="84"/>
    <d v="2025-03-13T00:00:00"/>
    <n v="86"/>
    <x v="158"/>
    <x v="21"/>
  </r>
  <r>
    <s v="POL000380"/>
    <s v="PRD00159"/>
    <x v="84"/>
    <d v="2025-03-13T00:00:00"/>
    <n v="61"/>
    <x v="103"/>
    <x v="25"/>
  </r>
  <r>
    <s v="POL000381"/>
    <s v="PRD00089"/>
    <x v="84"/>
    <d v="2025-03-13T00:00:00"/>
    <n v="37"/>
    <x v="3"/>
    <x v="3"/>
  </r>
  <r>
    <s v="POL000382"/>
    <s v="PRD00020"/>
    <x v="36"/>
    <d v="2025-01-31T00:00:00"/>
    <n v="11"/>
    <x v="12"/>
    <x v="4"/>
  </r>
  <r>
    <s v="POL000383"/>
    <s v="PRD00013"/>
    <x v="36"/>
    <d v="2025-01-31T00:00:00"/>
    <n v="180"/>
    <x v="25"/>
    <x v="11"/>
  </r>
  <r>
    <s v="POL000384"/>
    <s v="PRD00101"/>
    <x v="34"/>
    <d v="2025-02-19T00:00:00"/>
    <n v="228"/>
    <x v="159"/>
    <x v="24"/>
  </r>
  <r>
    <s v="POL000385"/>
    <s v="PRD00136"/>
    <x v="34"/>
    <d v="2025-02-19T00:00:00"/>
    <n v="105"/>
    <x v="160"/>
    <x v="15"/>
  </r>
  <r>
    <s v="POL000386"/>
    <s v="PRD00081"/>
    <x v="34"/>
    <d v="2025-02-19T00:00:00"/>
    <n v="27"/>
    <x v="157"/>
    <x v="1"/>
  </r>
  <r>
    <s v="POL000387"/>
    <s v="PRD00058"/>
    <x v="22"/>
    <d v="2025-03-02T00:00:00"/>
    <n v="31"/>
    <x v="161"/>
    <x v="9"/>
  </r>
  <r>
    <s v="POL000388"/>
    <s v="PRD00084"/>
    <x v="22"/>
    <d v="2025-03-02T00:00:00"/>
    <n v="42"/>
    <x v="3"/>
    <x v="3"/>
  </r>
  <r>
    <s v="POL000389"/>
    <s v="PRD00058"/>
    <x v="22"/>
    <d v="2025-03-02T00:00:00"/>
    <n v="178"/>
    <x v="3"/>
    <x v="3"/>
  </r>
  <r>
    <s v="POL000390"/>
    <s v="PRD00090"/>
    <x v="14"/>
    <d v="2025-01-20T00:00:00"/>
    <n v="139"/>
    <x v="102"/>
    <x v="18"/>
  </r>
  <r>
    <s v="POL000391"/>
    <s v="PRD00090"/>
    <x v="14"/>
    <d v="2025-01-20T00:00:00"/>
    <n v="236"/>
    <x v="3"/>
    <x v="3"/>
  </r>
  <r>
    <s v="POL000392"/>
    <s v="PRD00066"/>
    <x v="41"/>
    <d v="2025-01-10T00:00:00"/>
    <n v="91"/>
    <x v="147"/>
    <x v="8"/>
  </r>
  <r>
    <s v="POL000393"/>
    <s v="PRD00066"/>
    <x v="41"/>
    <d v="2025-01-10T00:00:00"/>
    <n v="126"/>
    <x v="26"/>
    <x v="20"/>
  </r>
  <r>
    <s v="POL000394"/>
    <s v="PRD00030"/>
    <x v="41"/>
    <d v="2025-01-10T00:00:00"/>
    <n v="137"/>
    <x v="3"/>
    <x v="3"/>
  </r>
  <r>
    <s v="POL000395"/>
    <s v="PRD00161"/>
    <x v="0"/>
    <d v="2025-03-10T00:00:00"/>
    <n v="150"/>
    <x v="3"/>
    <x v="3"/>
  </r>
  <r>
    <s v="POL000396"/>
    <s v="PRD00161"/>
    <x v="0"/>
    <d v="2025-03-10T00:00:00"/>
    <n v="190"/>
    <x v="162"/>
    <x v="14"/>
  </r>
  <r>
    <s v="POL000397"/>
    <s v="PRD00161"/>
    <x v="0"/>
    <d v="2025-03-10T00:00:00"/>
    <n v="169"/>
    <x v="3"/>
    <x v="3"/>
  </r>
  <r>
    <s v="POL000398"/>
    <s v="PRD00009"/>
    <x v="59"/>
    <d v="2025-03-14T00:00:00"/>
    <n v="113"/>
    <x v="8"/>
    <x v="10"/>
  </r>
  <r>
    <s v="POL000399"/>
    <s v="PRD00070"/>
    <x v="59"/>
    <d v="2025-03-14T00:00:00"/>
    <n v="169"/>
    <x v="48"/>
    <x v="26"/>
  </r>
  <r>
    <s v="POL000400"/>
    <s v="PRD00136"/>
    <x v="59"/>
    <d v="2025-03-14T00:00:00"/>
    <n v="149"/>
    <x v="115"/>
    <x v="6"/>
  </r>
  <r>
    <s v="POL000401"/>
    <s v="PRD00078"/>
    <x v="34"/>
    <d v="2025-03-03T00:00:00"/>
    <n v="201"/>
    <x v="143"/>
    <x v="20"/>
  </r>
  <r>
    <s v="POL000402"/>
    <s v="PRD00115"/>
    <x v="34"/>
    <d v="2025-03-03T00:00:00"/>
    <n v="60"/>
    <x v="125"/>
    <x v="11"/>
  </r>
  <r>
    <s v="POL000403"/>
    <s v="PRD00102"/>
    <x v="34"/>
    <d v="2025-03-03T00:00:00"/>
    <n v="67"/>
    <x v="163"/>
    <x v="15"/>
  </r>
  <r>
    <s v="POL000404"/>
    <s v="PRD00134"/>
    <x v="26"/>
    <d v="2025-03-12T00:00:00"/>
    <n v="19"/>
    <x v="70"/>
    <x v="25"/>
  </r>
  <r>
    <s v="POL000405"/>
    <s v="PRD00045"/>
    <x v="26"/>
    <d v="2025-03-12T00:00:00"/>
    <n v="130"/>
    <x v="3"/>
    <x v="3"/>
  </r>
  <r>
    <s v="POL000406"/>
    <s v="PRD00045"/>
    <x v="26"/>
    <d v="2025-03-12T00:00:00"/>
    <n v="193"/>
    <x v="83"/>
    <x v="13"/>
  </r>
  <r>
    <s v="POL000407"/>
    <s v="PRD00092"/>
    <x v="8"/>
    <d v="2025-03-20T00:00:00"/>
    <n v="170"/>
    <x v="3"/>
    <x v="3"/>
  </r>
  <r>
    <s v="POL000408"/>
    <s v="PRD00092"/>
    <x v="8"/>
    <d v="2025-03-20T00:00:00"/>
    <n v="88"/>
    <x v="24"/>
    <x v="11"/>
  </r>
  <r>
    <s v="POL000409"/>
    <s v="PRD00092"/>
    <x v="8"/>
    <d v="2025-03-20T00:00:00"/>
    <n v="149"/>
    <x v="55"/>
    <x v="7"/>
  </r>
  <r>
    <s v="POL000410"/>
    <s v="PRD00073"/>
    <x v="85"/>
    <d v="2025-02-20T00:00:00"/>
    <n v="195"/>
    <x v="50"/>
    <x v="23"/>
  </r>
  <r>
    <s v="POL000411"/>
    <s v="PRD00073"/>
    <x v="85"/>
    <d v="2025-02-20T00:00:00"/>
    <n v="135"/>
    <x v="94"/>
    <x v="12"/>
  </r>
  <r>
    <s v="POL000412"/>
    <s v="PRD00073"/>
    <x v="85"/>
    <d v="2025-02-20T00:00:00"/>
    <n v="86"/>
    <x v="3"/>
    <x v="3"/>
  </r>
  <r>
    <s v="POL000413"/>
    <s v="PRD00136"/>
    <x v="38"/>
    <d v="2025-02-25T00:00:00"/>
    <n v="70"/>
    <x v="75"/>
    <x v="1"/>
  </r>
  <r>
    <s v="POL000414"/>
    <s v="PRD00136"/>
    <x v="38"/>
    <d v="2025-02-25T00:00:00"/>
    <n v="34"/>
    <x v="3"/>
    <x v="3"/>
  </r>
  <r>
    <s v="POL000415"/>
    <s v="PRD00122"/>
    <x v="86"/>
    <d v="2025-02-12T00:00:00"/>
    <n v="220"/>
    <x v="164"/>
    <x v="25"/>
  </r>
  <r>
    <s v="POL000416"/>
    <s v="PRD00173"/>
    <x v="86"/>
    <d v="2025-02-12T00:00:00"/>
    <n v="149"/>
    <x v="26"/>
    <x v="12"/>
  </r>
  <r>
    <s v="POL000417"/>
    <s v="PRD00167"/>
    <x v="86"/>
    <d v="2025-02-12T00:00:00"/>
    <n v="160"/>
    <x v="165"/>
    <x v="23"/>
  </r>
  <r>
    <s v="POL000418"/>
    <s v="PRD00064"/>
    <x v="80"/>
    <d v="2025-02-02T00:00:00"/>
    <n v="214"/>
    <x v="3"/>
    <x v="3"/>
  </r>
  <r>
    <s v="POL000419"/>
    <s v="PRD00064"/>
    <x v="80"/>
    <d v="2025-02-02T00:00:00"/>
    <n v="240"/>
    <x v="18"/>
    <x v="5"/>
  </r>
  <r>
    <s v="POL000420"/>
    <s v="PRD00064"/>
    <x v="80"/>
    <d v="2025-02-02T00:00:00"/>
    <n v="123"/>
    <x v="145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2AF35-A768-4AA4-A19C-32F94ED0CDD2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upplier ID">
  <location ref="A3:D90" firstHeaderRow="0" firstDataRow="1" firstDataCol="1"/>
  <pivotFields count="8">
    <pivotField showAll="0"/>
    <pivotField showAll="0"/>
    <pivotField axis="axisRow" showAll="0" sortType="ascending">
      <items count="88">
        <item x="67"/>
        <item x="13"/>
        <item x="3"/>
        <item x="58"/>
        <item x="82"/>
        <item x="29"/>
        <item x="33"/>
        <item x="24"/>
        <item x="40"/>
        <item x="49"/>
        <item x="51"/>
        <item x="72"/>
        <item x="55"/>
        <item x="75"/>
        <item x="42"/>
        <item x="59"/>
        <item x="60"/>
        <item x="84"/>
        <item x="11"/>
        <item x="66"/>
        <item x="18"/>
        <item x="39"/>
        <item x="48"/>
        <item x="36"/>
        <item x="54"/>
        <item x="68"/>
        <item x="10"/>
        <item x="41"/>
        <item x="46"/>
        <item x="79"/>
        <item x="9"/>
        <item x="71"/>
        <item x="86"/>
        <item x="8"/>
        <item x="26"/>
        <item x="76"/>
        <item x="56"/>
        <item x="4"/>
        <item x="69"/>
        <item x="0"/>
        <item x="45"/>
        <item x="17"/>
        <item x="15"/>
        <item x="70"/>
        <item x="61"/>
        <item x="38"/>
        <item x="28"/>
        <item x="74"/>
        <item x="35"/>
        <item x="73"/>
        <item x="65"/>
        <item x="5"/>
        <item x="6"/>
        <item x="27"/>
        <item x="44"/>
        <item x="7"/>
        <item x="63"/>
        <item x="64"/>
        <item x="81"/>
        <item x="43"/>
        <item x="37"/>
        <item x="2"/>
        <item x="12"/>
        <item x="78"/>
        <item x="34"/>
        <item x="32"/>
        <item x="52"/>
        <item x="30"/>
        <item x="31"/>
        <item x="77"/>
        <item x="14"/>
        <item x="62"/>
        <item x="47"/>
        <item x="1"/>
        <item x="22"/>
        <item x="83"/>
        <item x="19"/>
        <item x="21"/>
        <item x="25"/>
        <item x="20"/>
        <item x="50"/>
        <item x="23"/>
        <item x="16"/>
        <item x="85"/>
        <item x="80"/>
        <item x="57"/>
        <item x="53"/>
        <item t="default"/>
      </items>
    </pivotField>
    <pivotField numFmtId="14" showAll="0"/>
    <pivotField dataField="1" showAll="0"/>
    <pivotField dataField="1" showAll="0">
      <items count="167">
        <item x="3"/>
        <item x="12"/>
        <item x="153"/>
        <item x="132"/>
        <item x="32"/>
        <item x="124"/>
        <item x="70"/>
        <item x="151"/>
        <item x="41"/>
        <item x="141"/>
        <item x="58"/>
        <item x="59"/>
        <item x="85"/>
        <item x="114"/>
        <item x="157"/>
        <item x="161"/>
        <item x="119"/>
        <item x="118"/>
        <item x="99"/>
        <item x="30"/>
        <item x="146"/>
        <item x="100"/>
        <item x="17"/>
        <item x="113"/>
        <item x="44"/>
        <item x="78"/>
        <item x="81"/>
        <item x="112"/>
        <item x="77"/>
        <item x="106"/>
        <item x="103"/>
        <item x="5"/>
        <item x="65"/>
        <item x="120"/>
        <item x="66"/>
        <item x="149"/>
        <item x="15"/>
        <item x="90"/>
        <item x="125"/>
        <item x="131"/>
        <item x="82"/>
        <item x="92"/>
        <item x="163"/>
        <item x="98"/>
        <item x="88"/>
        <item x="134"/>
        <item x="84"/>
        <item x="75"/>
        <item x="101"/>
        <item x="54"/>
        <item x="138"/>
        <item x="43"/>
        <item x="158"/>
        <item x="10"/>
        <item x="28"/>
        <item x="122"/>
        <item x="111"/>
        <item x="22"/>
        <item x="93"/>
        <item x="24"/>
        <item x="130"/>
        <item x="0"/>
        <item x="8"/>
        <item x="45"/>
        <item x="56"/>
        <item x="147"/>
        <item x="87"/>
        <item x="1"/>
        <item x="7"/>
        <item x="51"/>
        <item x="160"/>
        <item x="53"/>
        <item x="60"/>
        <item x="49"/>
        <item x="142"/>
        <item x="57"/>
        <item x="69"/>
        <item x="40"/>
        <item x="144"/>
        <item x="105"/>
        <item x="150"/>
        <item x="71"/>
        <item x="94"/>
        <item x="110"/>
        <item x="9"/>
        <item x="145"/>
        <item x="86"/>
        <item x="115"/>
        <item x="52"/>
        <item x="16"/>
        <item x="26"/>
        <item x="6"/>
        <item x="127"/>
        <item x="23"/>
        <item x="37"/>
        <item x="102"/>
        <item x="155"/>
        <item x="64"/>
        <item x="27"/>
        <item x="38"/>
        <item x="165"/>
        <item x="55"/>
        <item x="62"/>
        <item x="68"/>
        <item x="36"/>
        <item x="63"/>
        <item x="91"/>
        <item x="156"/>
        <item x="139"/>
        <item x="95"/>
        <item x="117"/>
        <item x="2"/>
        <item x="123"/>
        <item x="89"/>
        <item x="48"/>
        <item x="152"/>
        <item x="39"/>
        <item x="61"/>
        <item x="83"/>
        <item x="20"/>
        <item x="29"/>
        <item x="126"/>
        <item x="96"/>
        <item x="128"/>
        <item x="50"/>
        <item x="76"/>
        <item x="34"/>
        <item x="108"/>
        <item x="25"/>
        <item x="79"/>
        <item x="109"/>
        <item x="164"/>
        <item x="35"/>
        <item x="162"/>
        <item x="33"/>
        <item x="73"/>
        <item x="72"/>
        <item x="136"/>
        <item x="121"/>
        <item x="47"/>
        <item x="104"/>
        <item x="18"/>
        <item x="140"/>
        <item x="74"/>
        <item x="19"/>
        <item x="143"/>
        <item x="13"/>
        <item x="31"/>
        <item x="11"/>
        <item x="4"/>
        <item x="21"/>
        <item x="135"/>
        <item x="129"/>
        <item x="46"/>
        <item x="107"/>
        <item x="80"/>
        <item x="148"/>
        <item x="67"/>
        <item x="154"/>
        <item x="42"/>
        <item x="159"/>
        <item x="14"/>
        <item x="116"/>
        <item x="97"/>
        <item x="133"/>
        <item x="137"/>
        <item t="default"/>
      </items>
    </pivotField>
    <pivotField showAll="0">
      <items count="28">
        <item x="3"/>
        <item x="10"/>
        <item x="22"/>
        <item x="5"/>
        <item x="6"/>
        <item x="25"/>
        <item x="13"/>
        <item x="12"/>
        <item x="4"/>
        <item x="23"/>
        <item x="21"/>
        <item x="2"/>
        <item x="16"/>
        <item x="9"/>
        <item x="26"/>
        <item x="7"/>
        <item x="15"/>
        <item x="18"/>
        <item x="14"/>
        <item x="11"/>
        <item x="24"/>
        <item x="20"/>
        <item x="1"/>
        <item x="8"/>
        <item x="17"/>
        <item x="0"/>
        <item x="19"/>
        <item t="default"/>
      </items>
    </pivotField>
    <pivotField dataField="1" dragToRow="0" dragToCol="0" dragToPage="0" showAll="0" defaultSubtotal="0"/>
  </pivotFields>
  <rowFields count="1">
    <field x="2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ed Quantity" fld="4" baseField="2" baseItem="0" numFmtId="41"/>
    <dataField name="Received Quantity" fld="5" baseField="2" baseItem="0" numFmtId="41"/>
    <dataField name="Supplier Fulfilment Rate" fld="7" baseField="2" baseItem="0" numFmtId="1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8527880-BD92-4CB5-8943-5AE3372DA446}" autoFormatId="16" applyNumberFormats="0" applyBorderFormats="0" applyFontFormats="0" applyPatternFormats="0" applyAlignmentFormats="0" applyWidthHeightFormats="0">
  <queryTableRefresh nextId="11">
    <queryTableFields count="10">
      <queryTableField id="1" name="supplier_id" tableColumnId="1"/>
      <queryTableField id="2" name="supplier_name" tableColumnId="2"/>
      <queryTableField id="3" name="supplier_type" tableColumnId="3"/>
      <queryTableField id="4" name="country" tableColumnId="4"/>
      <queryTableField id="5" name="lead_time_days" tableColumnId="5"/>
      <queryTableField id="6" name="payment_terms_days" tableColumnId="6"/>
      <queryTableField id="7" name="service_level" tableColumnId="7"/>
      <queryTableField id="8" name="active_flag" tableColumnId="8"/>
      <queryTableField id="9" name="risk_score" tableColumnId="9"/>
      <queryTableField id="10" name="primary_contac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9E582CB-2A6A-48B8-BCA0-4D8D71A8C867}" autoFormatId="16" applyNumberFormats="0" applyBorderFormats="0" applyFontFormats="0" applyPatternFormats="0" applyAlignmentFormats="0" applyWidthHeightFormats="0">
  <queryTableRefresh nextId="14">
    <queryTableFields count="13">
      <queryTableField id="1" name="product_id" tableColumnId="1"/>
      <queryTableField id="2" name="sku" tableColumnId="2"/>
      <queryTableField id="3" name="product_name" tableColumnId="3"/>
      <queryTableField id="4" name="category" tableColumnId="4"/>
      <queryTableField id="5" name="uom" tableColumnId="5"/>
      <queryTableField id="6" name="primary_supplier_id" tableColumnId="6"/>
      <queryTableField id="7" name="storage_temp_min_c" tableColumnId="7"/>
      <queryTableField id="8" name="storage_temp_max_c" tableColumnId="8"/>
      <queryTableField id="9" name="shelf_life_days" tableColumnId="9"/>
      <queryTableField id="10" name="standard_cost" tableColumnId="10"/>
      <queryTableField id="11" name="standard_price" tableColumnId="11"/>
      <queryTableField id="12" name="fefo_required" tableColumnId="12"/>
      <queryTableField id="13" name="active_flag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1BF9C78-DBB1-4545-B995-0C967A55A986}" autoFormatId="16" applyNumberFormats="0" applyBorderFormats="0" applyFontFormats="0" applyPatternFormats="0" applyAlignmentFormats="0" applyWidthHeightFormats="0">
  <queryTableRefresh nextId="12">
    <queryTableFields count="11">
      <queryTableField id="1" name="po_id" tableColumnId="1"/>
      <queryTableField id="2" name="supplier_id" tableColumnId="2"/>
      <queryTableField id="3" name="warehouse_id" tableColumnId="3"/>
      <queryTableField id="4" name="warehouse_name" tableColumnId="4"/>
      <queryTableField id="5" name="order_date" tableColumnId="5"/>
      <queryTableField id="6" name="expected_delivery_date" tableColumnId="6"/>
      <queryTableField id="7" name="status" tableColumnId="7"/>
      <queryTableField id="8" name="ordered_by" tableColumnId="8"/>
      <queryTableField id="9" name="currency" tableColumnId="9"/>
      <queryTableField id="10" name="shipping_cost" tableColumnId="10"/>
      <queryTableField id="11" name="priority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3489B97-69A2-4AA6-BF9D-03DC6B9C5CCE}" autoFormatId="16" applyNumberFormats="0" applyBorderFormats="0" applyFontFormats="0" applyPatternFormats="0" applyAlignmentFormats="0" applyWidthHeightFormats="0">
  <queryTableRefresh nextId="15">
    <queryTableFields count="14">
      <queryTableField id="1" name="po_line_id" tableColumnId="1"/>
      <queryTableField id="2" name="po_id" tableColumnId="2"/>
      <queryTableField id="3" name="supplier_id" tableColumnId="3"/>
      <queryTableField id="4" name="warehouse_id" tableColumnId="4"/>
      <queryTableField id="5" name="order_date" tableColumnId="5"/>
      <queryTableField id="6" name="expected_delivery_date" tableColumnId="6"/>
      <queryTableField id="7" name="product_id" tableColumnId="7"/>
      <queryTableField id="8" name="ordered_qty" tableColumnId="8"/>
      <queryTableField id="9" name="unit_cost" tableColumnId="9"/>
      <queryTableField id="10" name="discount_pct" tableColumnId="10"/>
      <queryTableField id="11" name="line_total" tableColumnId="11"/>
      <queryTableField id="13" dataBound="0" tableColumnId="13"/>
      <queryTableField id="14" dataBound="0" tableColumnId="14"/>
      <queryTableField id="12" name="line_statu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8C51D65-7105-4BAA-A68A-998735690274}" autoFormatId="16" applyNumberFormats="0" applyBorderFormats="0" applyFontFormats="0" applyPatternFormats="0" applyAlignmentFormats="0" applyWidthHeightFormats="0">
  <queryTableRefresh nextId="34">
    <queryTableFields count="16">
      <queryTableField id="1" name="movement_id" tableColumnId="1"/>
      <queryTableField id="2" name="movement_date" tableColumnId="2"/>
      <queryTableField id="3" name="movement_type" tableColumnId="3"/>
      <queryTableField id="4" name="warehouse_id" tableColumnId="4"/>
      <queryTableField id="5" name="product_id" tableColumnId="5"/>
      <queryTableField id="25" dataBound="0" tableColumnId="22"/>
      <queryTableField id="7" name="reference_id" tableColumnId="7"/>
      <queryTableField id="29" dataBound="0" tableColumnId="15"/>
      <queryTableField id="32" dataBound="0" tableColumnId="18"/>
      <queryTableField id="26" dataBound="0" tableColumnId="23"/>
      <queryTableField id="9" name="quantity" tableColumnId="9"/>
      <queryTableField id="10" name="signed_qty" tableColumnId="10"/>
      <queryTableField id="11" name="unit_cost" tableColumnId="11"/>
      <queryTableField id="12" name="movement_value" tableColumnId="12"/>
      <queryTableField id="13" name="temperature_c" tableColumnId="13"/>
      <queryTableField id="14" name="reason" tableColumnId="14"/>
    </queryTableFields>
    <queryTableDeletedFields count="3">
      <deletedField name="po_line_id"/>
      <deletedField name="po_line_id"/>
      <deletedField name="lot_number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BBA5B3-790E-423D-8B55-3B914A6FFF53}" autoFormatId="16" applyNumberFormats="0" applyBorderFormats="0" applyFontFormats="0" applyPatternFormats="0" applyAlignmentFormats="0" applyWidthHeightFormats="0">
  <queryTableRefresh nextId="17">
    <queryTableFields count="12">
      <queryTableField id="1" name="count_id" tableColumnId="1"/>
      <queryTableField id="2" name="warehouse_id" tableColumnId="2"/>
      <queryTableField id="3" name="product_id" tableColumnId="3"/>
      <queryTableField id="4" name="count_date" tableColumnId="4"/>
      <queryTableField id="5" name="system_qty" tableColumnId="5"/>
      <queryTableField id="14" dataBound="0" tableColumnId="11"/>
      <queryTableField id="6" name="counted_qty" tableColumnId="6"/>
      <queryTableField id="7" name="variance" tableColumnId="7"/>
      <queryTableField id="15" dataBound="0" tableColumnId="12"/>
      <queryTableField id="8" name="count_type" tableColumnId="8"/>
      <queryTableField id="9" name="counted_by" tableColumnId="9"/>
      <queryTableField id="10" name="notes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1727018-664B-4650-8628-4C5702F91684}" autoFormatId="16" applyNumberFormats="0" applyBorderFormats="0" applyFontFormats="0" applyPatternFormats="0" applyAlignmentFormats="0" applyWidthHeightFormats="0">
  <queryTableRefresh nextId="13">
    <queryTableFields count="9">
      <queryTableField id="1" name="log_id" tableColumnId="1"/>
      <queryTableField id="2" name="warehouse_id" tableColumnId="2"/>
      <queryTableField id="3" name="warehouse_name" tableColumnId="3"/>
      <queryTableField id="4" name="log_time" tableColumnId="4"/>
      <queryTableField id="5" name="setpoint_c" tableColumnId="5"/>
      <queryTableField id="6" name="temperature_c" tableColumnId="6"/>
      <queryTableField id="7" name="humidity_pct" tableColumnId="7"/>
      <queryTableField id="8" name="sensor_status" tableColumnId="8"/>
      <queryTableField id="9" name="excursion_flag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6BEABE-C67F-4A77-908F-98ABB0653A8B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o_line_id" tableColumnId="1"/>
      <queryTableField id="2" name="product_id" tableColumnId="2"/>
      <queryTableField id="3" name="supplier_id" tableColumnId="3"/>
      <queryTableField id="4" name="expected_delivery_day" tableColumnId="4"/>
      <queryTableField id="5" name="ordered_qty" tableColumnId="5"/>
      <queryTableField id="6" name="received_qty" tableColumnId="6"/>
      <queryTableField id="7" dataBound="0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99E7612A-E8DE-4FC2-B354-7A282CAB700B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reference_id" tableColumnId="1"/>
      <queryTableField id="2" name="Moved_quantity" tableColumnId="2"/>
      <queryTableField id="3" name="Received_quantity" tableColumnId="3"/>
      <queryTableField id="4" dataBound="0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B60B83D6-5D1F-42EE-A2DB-194B7B18131E}" autoFormatId="16" applyNumberFormats="0" applyBorderFormats="0" applyFontFormats="0" applyPatternFormats="0" applyAlignmentFormats="0" applyWidthHeightFormats="0">
  <queryTableRefresh nextId="5">
    <queryTableFields count="4">
      <queryTableField id="1" name="warehouse_id" tableColumnId="1"/>
      <queryTableField id="2" name="total_qty" tableColumnId="2"/>
      <queryTableField id="3" name="damaged_write_off_qty" tableColumnId="3"/>
      <queryTableField id="4" name="temprature_write_off_q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EA20DB3-C654-4F29-BC34-78FD3AA8A190}" autoFormatId="16" applyNumberFormats="0" applyBorderFormats="0" applyFontFormats="0" applyPatternFormats="0" applyAlignmentFormats="0" applyWidthHeightFormats="0">
  <queryTableRefresh nextId="4">
    <queryTableFields count="3">
      <queryTableField id="1" name="warehouse_id" tableColumnId="1"/>
      <queryTableField id="2" name="Warning_count" tableColumnId="2"/>
      <queryTableField id="3" name="Offline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1B43F-4945-4E53-ACC5-D44237E510FF}" name="suppliers_coldchain" displayName="suppliers_coldchain" ref="A1:J121" tableType="queryTable" totalsRowShown="0">
  <autoFilter ref="A1:J121" xr:uid="{99D1B43F-4945-4E53-ACC5-D44237E510FF}"/>
  <tableColumns count="10">
    <tableColumn id="1" xr3:uid="{D85AE44D-0244-4AEC-A33E-906176560B3B}" uniqueName="1" name="supplier_id" queryTableFieldId="1" dataDxfId="100"/>
    <tableColumn id="2" xr3:uid="{63F104C5-105D-46F9-9B91-93F677DB71FA}" uniqueName="2" name="supplier_name" queryTableFieldId="2" dataDxfId="99"/>
    <tableColumn id="3" xr3:uid="{C4F90D5D-2F16-48C2-89F4-C3C41B8FFD6B}" uniqueName="3" name="supplier_type" queryTableFieldId="3" dataDxfId="98"/>
    <tableColumn id="4" xr3:uid="{3398F84B-4347-4CB8-8EDE-66F4CD513105}" uniqueName="4" name="country" queryTableFieldId="4" dataDxfId="7"/>
    <tableColumn id="5" xr3:uid="{5C41BFEE-ECC2-47FB-B754-499F4FFF4A79}" uniqueName="5" name="lead_time_days" queryTableFieldId="5" dataDxfId="6"/>
    <tableColumn id="6" xr3:uid="{F8F49969-20C4-4B46-B06C-DD97E108379B}" uniqueName="6" name="payment_terms_days" queryTableFieldId="6" dataDxfId="4"/>
    <tableColumn id="7" xr3:uid="{C7169A68-A028-4197-9688-0EA94D7921C4}" uniqueName="7" name="service_level" queryTableFieldId="7" dataDxfId="5"/>
    <tableColumn id="8" xr3:uid="{26749547-BA7D-40AB-B7FF-653D6A318EB4}" uniqueName="8" name="active_flag" queryTableFieldId="8" dataDxfId="97"/>
    <tableColumn id="9" xr3:uid="{9AD07823-DB81-4FF1-9819-DDC5DD48F075}" uniqueName="9" name="risk_score" queryTableFieldId="9"/>
    <tableColumn id="10" xr3:uid="{02E043CC-A333-48CB-A3A2-BDF6E85F6B75}" uniqueName="10" name="primary_contact" queryTableFieldId="10" dataDxfId="9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26F891-408E-4712-8383-F47D4B728E17}" name="products_coldchain" displayName="products_coldchain" ref="A1:M181" tableType="queryTable" totalsRowShown="0">
  <autoFilter ref="A1:M181" xr:uid="{BA26F891-408E-4712-8383-F47D4B728E17}"/>
  <tableColumns count="13">
    <tableColumn id="1" xr3:uid="{F9A0CD7D-2CC6-493B-AD35-529482E62D55}" uniqueName="1" name="product_id" queryTableFieldId="1" dataDxfId="95"/>
    <tableColumn id="2" xr3:uid="{EC0AB437-D091-4B16-8205-236659171296}" uniqueName="2" name="sku" queryTableFieldId="2" dataDxfId="94"/>
    <tableColumn id="3" xr3:uid="{F7F43398-2B7E-4AA8-A7D8-0693473A72F4}" uniqueName="3" name="product_name" queryTableFieldId="3" dataDxfId="93"/>
    <tableColumn id="4" xr3:uid="{DE28CCC3-6243-426C-B565-0156F6A79C89}" uniqueName="4" name="category" queryTableFieldId="4" dataDxfId="92"/>
    <tableColumn id="5" xr3:uid="{A23B9BE7-89BE-4EB3-8D44-EC5C0F04F4D0}" uniqueName="5" name="uom" queryTableFieldId="5" dataDxfId="91"/>
    <tableColumn id="6" xr3:uid="{BFD6E90B-DEF2-41B6-BD00-A11C75330C4F}" uniqueName="6" name="primary_supplier_id" queryTableFieldId="6" dataDxfId="13"/>
    <tableColumn id="7" xr3:uid="{6D17BFFA-7C71-4182-BDD8-328206DF2648}" uniqueName="7" name="storage_temp_min_c" queryTableFieldId="7" dataDxfId="12"/>
    <tableColumn id="8" xr3:uid="{9633EF07-E614-4C7D-B7A0-1375EEAD6DFC}" uniqueName="8" name="storage_temp_max_c" queryTableFieldId="8" dataDxfId="11"/>
    <tableColumn id="9" xr3:uid="{AB8DD382-B75F-4719-A3D1-6A7791D2D330}" uniqueName="9" name="shelf_life_days" queryTableFieldId="9" dataDxfId="10"/>
    <tableColumn id="10" xr3:uid="{E75ABD10-60E2-4617-8762-D56703068ECC}" uniqueName="10" name="standard_cost" queryTableFieldId="10" dataDxfId="9"/>
    <tableColumn id="11" xr3:uid="{FDD08F4C-6478-45AA-ACC2-4A65E15AFCD2}" uniqueName="11" name="standard_price" queryTableFieldId="11" dataDxfId="8"/>
    <tableColumn id="12" xr3:uid="{4B1045A0-98CA-45C1-95C2-14551C02DFD2}" uniqueName="12" name="fefo_required" queryTableFieldId="12" dataDxfId="90"/>
    <tableColumn id="13" xr3:uid="{A3783984-75A3-4914-B629-0C2BC864E5A4}" uniqueName="13" name="active_flag" queryTableFieldId="13" dataDxfId="8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331EC-B561-4DF3-A8BB-3424D86458BC}" name="purchase_orders_coldchain" displayName="purchase_orders_coldchain" ref="A1:K151" tableType="queryTable" totalsRowShown="0">
  <autoFilter ref="A1:K151" xr:uid="{732331EC-B561-4DF3-A8BB-3424D86458BC}"/>
  <tableColumns count="11">
    <tableColumn id="1" xr3:uid="{F5431A61-5308-4B69-94A9-C53822269EEB}" uniqueName="1" name="po_id" queryTableFieldId="1" dataDxfId="88"/>
    <tableColumn id="2" xr3:uid="{C1B02F85-0B27-4F41-987D-BE67B37DC836}" uniqueName="2" name="supplier_id" queryTableFieldId="2" dataDxfId="87"/>
    <tableColumn id="3" xr3:uid="{A927CE09-376E-407C-A6E6-9F9176270E6C}" uniqueName="3" name="warehouse_id" queryTableFieldId="3" dataDxfId="86"/>
    <tableColumn id="4" xr3:uid="{C73EDADA-8FDD-465E-9E86-2EB9836A3CB4}" uniqueName="4" name="warehouse_name" queryTableFieldId="4" dataDxfId="85"/>
    <tableColumn id="5" xr3:uid="{7A532579-94C4-41CD-AA50-2E8EF6061A96}" uniqueName="5" name="order_date" queryTableFieldId="5" dataDxfId="84"/>
    <tableColumn id="6" xr3:uid="{2CC6C1D2-9606-46D3-B6A2-56B2C51F2677}" uniqueName="6" name="expected_delivery_date" queryTableFieldId="6" dataDxfId="83"/>
    <tableColumn id="7" xr3:uid="{3BE33FF3-47E0-40E4-8195-09150230F348}" uniqueName="7" name="status" queryTableFieldId="7" dataDxfId="82"/>
    <tableColumn id="8" xr3:uid="{54E74EFE-E744-48F6-A07A-0C6A3B55DA51}" uniqueName="8" name="ordered_by" queryTableFieldId="8" dataDxfId="81"/>
    <tableColumn id="9" xr3:uid="{63E4B994-A75B-4839-82AF-2E82F25FCC71}" uniqueName="9" name="currency" queryTableFieldId="9" dataDxfId="80"/>
    <tableColumn id="10" xr3:uid="{4D1E8648-98FB-433C-A53E-138AE450796A}" uniqueName="10" name="shipping_cost" queryTableFieldId="10" dataDxfId="3"/>
    <tableColumn id="11" xr3:uid="{0E9200E2-F526-40CA-BED2-63C376EAF832}" uniqueName="11" name="priority" queryTableFieldId="11" dataDxfId="7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C1CC3E-71D6-4C88-8E1C-3D051EA198B3}" name="purchase_order_lines_coldchain" displayName="purchase_order_lines_coldchain" ref="A1:N421" tableType="queryTable" totalsRowShown="0">
  <autoFilter ref="A1:N421" xr:uid="{ADC1CC3E-71D6-4C88-8E1C-3D051EA198B3}"/>
  <tableColumns count="14">
    <tableColumn id="1" xr3:uid="{A66B67C4-56B4-4BE8-9879-2B3B5A6B20C4}" uniqueName="1" name="po_line_id" queryTableFieldId="1" dataDxfId="78"/>
    <tableColumn id="2" xr3:uid="{64D4A0E8-BEB9-4092-BA60-0C6FF1F37834}" uniqueName="2" name="po_id" queryTableFieldId="2" dataDxfId="77"/>
    <tableColumn id="3" xr3:uid="{DA07CB4C-E490-4440-8E65-2F52C97A51CE}" uniqueName="3" name="supplier_id" queryTableFieldId="3" dataDxfId="76"/>
    <tableColumn id="4" xr3:uid="{C8E9BB88-E1B2-4BF9-A9C4-D3E0D20E4A5E}" uniqueName="4" name="warehouse_id" queryTableFieldId="4" dataDxfId="75"/>
    <tableColumn id="5" xr3:uid="{CDB23B12-4045-4BDA-99F3-4A6501003536}" uniqueName="5" name="order_date" queryTableFieldId="5" dataDxfId="74"/>
    <tableColumn id="6" xr3:uid="{664AC014-02B5-4DF7-94E4-BB13436583BD}" uniqueName="6" name="expected_delivery_date" queryTableFieldId="6" dataDxfId="73"/>
    <tableColumn id="7" xr3:uid="{BAC72ABF-8472-415D-9848-8016F40029F1}" uniqueName="7" name="product_id" queryTableFieldId="7" dataDxfId="16"/>
    <tableColumn id="8" xr3:uid="{4BBCC7FA-FBE6-409A-8FF1-1A043A664752}" uniqueName="8" name="ordered_qty" queryTableFieldId="8" dataDxfId="15"/>
    <tableColumn id="9" xr3:uid="{543CCCE8-9CF6-4DB1-91F7-78EDDD8E46BF}" uniqueName="9" name="unit_cost" queryTableFieldId="9" dataDxfId="14"/>
    <tableColumn id="10" xr3:uid="{E85B1681-300F-4B7C-9597-7B1FDBA826EB}" uniqueName="10" name="discount_pct" queryTableFieldId="10"/>
    <tableColumn id="11" xr3:uid="{E1E92E12-9133-4ACD-A58D-E5CBE335AA82}" uniqueName="11" name="line_total" queryTableFieldId="11"/>
    <tableColumn id="13" xr3:uid="{BA7B1D9E-6B2D-46DF-9D8D-26C74FC0F3E4}" uniqueName="13" name="line_total_actual" queryTableFieldId="13" dataDxfId="72">
      <calculatedColumnFormula>ROUND((H2*I2)-(J2/100)*(H2*I2),2)</calculatedColumnFormula>
    </tableColumn>
    <tableColumn id="14" xr3:uid="{BB6BB957-FCAC-4F31-9FB7-BA93C6C8084A}" uniqueName="14" name="line_total_Check" queryTableFieldId="14" dataDxfId="71">
      <calculatedColumnFormula>IF(K2=L2,"Pass",IF(K2=L2-0.01,"Pass","Investigate"))</calculatedColumnFormula>
    </tableColumn>
    <tableColumn id="12" xr3:uid="{52750024-6A5C-40DD-9410-0CE47F9C917C}" uniqueName="12" name="line_status" queryTableFieldId="12" dataDxfId="7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11B1E5-E25C-4065-9B6F-10E122B34EC3}" name="stock_movements_coldchain" displayName="stock_movements_coldchain" ref="A1:P631" tableType="queryTable" totalsRowShown="0">
  <autoFilter ref="A1:P631" xr:uid="{B011B1E5-E25C-4065-9B6F-10E122B34EC3}"/>
  <tableColumns count="16">
    <tableColumn id="1" xr3:uid="{BB56C567-1667-46DB-ACCB-AFFF367AE7B1}" uniqueName="1" name="movement_id" queryTableFieldId="1" dataDxfId="69"/>
    <tableColumn id="2" xr3:uid="{19A0B576-F25E-49E9-B7A3-0E1B899C9FCB}" uniqueName="2" name="movement_date" queryTableFieldId="2" dataDxfId="68"/>
    <tableColumn id="3" xr3:uid="{763B90F8-B9E9-40F1-9742-CC35E3DCFBF7}" uniqueName="3" name="movement_type" queryTableFieldId="3" dataDxfId="67"/>
    <tableColumn id="4" xr3:uid="{E8D68422-9E15-4124-A93B-347D81CED979}" uniqueName="4" name="warehouse_id" queryTableFieldId="4" dataDxfId="66"/>
    <tableColumn id="5" xr3:uid="{45E30819-B2F2-4E7E-8D0C-7EC85169BD40}" uniqueName="5" name="product_id" queryTableFieldId="5" dataDxfId="65"/>
    <tableColumn id="22" xr3:uid="{36957AB3-B840-443D-8419-5F08093F1798}" uniqueName="22" name="po_line_id" queryTableFieldId="25" dataDxfId="64"/>
    <tableColumn id="7" xr3:uid="{2EB04C10-B6C8-47DF-B362-A50C122A34DC}" uniqueName="7" name="reference_id" queryTableFieldId="7" dataDxfId="63"/>
    <tableColumn id="15" xr3:uid="{F7471A45-2B05-40DB-BD88-1FACEE7C0A3D}" uniqueName="15" name="missing_reference_id_check" queryTableFieldId="29" dataDxfId="48">
      <calculatedColumnFormula array="1">IF(AND(G2="",
      C2="Receipt"),
      _xlfn.XLOOKUP(1,
      (purchase_order_lines_coldchain!A2:A1000 = F2) *
      (purchase_order_lines_coldchain!G2:G1000 = E2) *
      (purchase_order_lines_coldchain!D2:D1000 = D2),
      purchase_order_lines_coldchain!B$2:B$1000,
      _xlfn.XLOOKUP(F2,purchase_order_lines_coldchain!A$2:A1000,
      purchase_order_lines_coldchain!B$2:B1000)),
      "")</calculatedColumnFormula>
    </tableColumn>
    <tableColumn id="18" xr3:uid="{8F8C2E61-2B01-42CF-A250-A6D685372BF9}" uniqueName="18" name="reference_id_actual" queryTableFieldId="32" dataDxfId="47">
      <calculatedColumnFormula>G2 &amp; H2</calculatedColumnFormula>
    </tableColumn>
    <tableColumn id="23" xr3:uid="{A4021D0C-546C-4CF6-8C21-DC17ECF2B196}" uniqueName="23" name="lot_number" queryTableFieldId="26"/>
    <tableColumn id="9" xr3:uid="{204E0946-F149-44E0-A7C5-237F711DC20D}" uniqueName="9" name="quantity" queryTableFieldId="9" dataDxfId="20"/>
    <tableColumn id="10" xr3:uid="{52C70001-A55C-4B6A-B367-066A7BE1CC3B}" uniqueName="10" name="signed_qty" queryTableFieldId="10" dataDxfId="19"/>
    <tableColumn id="11" xr3:uid="{40454ADB-9E57-439C-8928-C743B852EA68}" uniqueName="11" name="unit_cost" queryTableFieldId="11" dataDxfId="18"/>
    <tableColumn id="12" xr3:uid="{4BC19D27-6BB1-4885-9190-3D58D86E7178}" uniqueName="12" name="movement_value" queryTableFieldId="12" dataDxfId="17"/>
    <tableColumn id="13" xr3:uid="{8356CF0B-BBC0-4C92-9171-4C23D19A5047}" uniqueName="13" name="temperature_c" queryTableFieldId="13"/>
    <tableColumn id="14" xr3:uid="{089770DE-0FE0-4D2A-92EF-628ACC625BBD}" uniqueName="14" name="reason" queryTableFieldId="14" dataDxfId="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7775C1-CC5A-4A4E-A54E-3EAECFAEADE3}" name="cycle_counts_coldchain" displayName="cycle_counts_coldchain" ref="A1:L181" tableType="queryTable" totalsRowShown="0">
  <autoFilter ref="A1:L181" xr:uid="{697775C1-CC5A-4A4E-A54E-3EAECFAEADE3}"/>
  <tableColumns count="12">
    <tableColumn id="1" xr3:uid="{1E18E20E-10E9-4C2A-8691-FEB6C8CD7947}" uniqueName="1" name="count_id" queryTableFieldId="1" dataDxfId="61"/>
    <tableColumn id="2" xr3:uid="{901A363A-9FB1-41AB-8BA5-9A215E1904A2}" uniqueName="2" name="warehouse_id" queryTableFieldId="2" dataDxfId="60"/>
    <tableColumn id="3" xr3:uid="{7817EC27-EA3C-4E90-952D-6F4ABE231888}" uniqueName="3" name="product_id" queryTableFieldId="3" dataDxfId="59"/>
    <tableColumn id="4" xr3:uid="{E34CC1E3-6B74-4889-9F0A-45425028A460}" uniqueName="4" name="count_date" queryTableFieldId="4" dataDxfId="26"/>
    <tableColumn id="5" xr3:uid="{7D94F291-E433-426C-AAB3-47DF8A4EB717}" uniqueName="5" name="system_qty" queryTableFieldId="5" dataDxfId="25"/>
    <tableColumn id="11" xr3:uid="{8B0E97B5-2473-4013-815D-6652F64FE84A}" uniqueName="11" name="system_qty_Check" queryTableFieldId="14" dataDxfId="24">
      <calculatedColumnFormula>IF(E2=(SUMIFS(stock_movements_coldchain[signed_qty],stock_movements_coldchain[product_id],C2,stock_movements_coldchain[warehouse_id],B2,stock_movements_coldchain[movement_date],"&lt;" &amp;'cycle_counts_coldchain'!D2)),"Pass","Investigate")</calculatedColumnFormula>
    </tableColumn>
    <tableColumn id="6" xr3:uid="{4D1E714F-881A-41E8-A285-3103769EF8B1}" uniqueName="6" name="counted_qty" queryTableFieldId="6" dataDxfId="23"/>
    <tableColumn id="7" xr3:uid="{E798C6A6-2B3B-47E9-966F-14BA601B1DDF}" uniqueName="7" name="variance" queryTableFieldId="7" dataDxfId="21"/>
    <tableColumn id="12" xr3:uid="{FB57784B-329F-45C7-93F2-D59BEF3678E8}" uniqueName="12" name="variance_check" queryTableFieldId="15" dataDxfId="22">
      <calculatedColumnFormula>IF((G2-E2)=H2,"Pass","Investigate")</calculatedColumnFormula>
    </tableColumn>
    <tableColumn id="8" xr3:uid="{2084AD98-7813-4F7E-9608-A41B7E7C6D2C}" uniqueName="8" name="count_type" queryTableFieldId="8" dataDxfId="58"/>
    <tableColumn id="9" xr3:uid="{8DE036F6-8CCE-4C35-9D91-3D8AFD5F2ACF}" uniqueName="9" name="counted_by" queryTableFieldId="9" dataDxfId="57"/>
    <tableColumn id="10" xr3:uid="{4FE65477-F307-4B41-A853-45799B9CBC4C}" uniqueName="10" name="notes" queryTableFieldId="10" dataDxfId="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A0A207-0F7C-4295-8CB6-60B827F187EC}" name="temperature_logs_coldchain" displayName="temperature_logs_coldchain" ref="A1:I241" tableType="queryTable" totalsRowShown="0">
  <autoFilter ref="A1:I241" xr:uid="{A3A0A207-0F7C-4295-8CB6-60B827F187EC}"/>
  <sortState xmlns:xlrd2="http://schemas.microsoft.com/office/spreadsheetml/2017/richdata2" ref="A2:I241">
    <sortCondition ref="A1:A241"/>
  </sortState>
  <tableColumns count="9">
    <tableColumn id="1" xr3:uid="{31691065-E1B9-4F70-8A61-EA40677F8FC0}" uniqueName="1" name="log_id" queryTableFieldId="1" dataDxfId="55"/>
    <tableColumn id="2" xr3:uid="{346FA759-F9FF-4828-8F10-CED085CDA93D}" uniqueName="2" name="warehouse_id" queryTableFieldId="2" dataDxfId="54"/>
    <tableColumn id="3" xr3:uid="{FFA3C6D5-3BDF-424B-9CA2-5E10958585F6}" uniqueName="3" name="warehouse_name" queryTableFieldId="3" dataDxfId="53"/>
    <tableColumn id="4" xr3:uid="{E7B6EAF6-2800-40AC-BAD4-A7A78CBDC622}" uniqueName="4" name="log_time" queryTableFieldId="4" dataDxfId="31"/>
    <tableColumn id="5" xr3:uid="{A5EF4764-37B3-4DA2-A843-B5B78A57C033}" uniqueName="5" name="setpoint_c" queryTableFieldId="5" dataDxfId="30"/>
    <tableColumn id="6" xr3:uid="{19F9444F-3FAA-43A8-9A6B-D60A510E28A9}" uniqueName="6" name="temperature_c" queryTableFieldId="6" dataDxfId="29"/>
    <tableColumn id="7" xr3:uid="{D204D3DD-4CEC-4082-96F7-006365078CA4}" uniqueName="7" name="humidity_pct" queryTableFieldId="7" dataDxfId="27"/>
    <tableColumn id="8" xr3:uid="{A6AC0DB1-87A5-4A6B-92FA-F66BECC077AC}" uniqueName="8" name="sensor_status" queryTableFieldId="8" dataDxfId="28"/>
    <tableColumn id="9" xr3:uid="{AEBAAEB4-DD16-410D-879A-A9CAB0927207}" uniqueName="9" name="excursion_flag" queryTableFieldId="9" dataDxfId="5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18176A-3092-41CE-8F5A-628FA1984F79}" name="Order_tracking_sheet" displayName="Order_tracking_sheet" ref="A1:G421" tableType="queryTable" totalsRowShown="0">
  <autoFilter ref="A1:G421" xr:uid="{EC18176A-3092-41CE-8F5A-628FA1984F79}"/>
  <tableColumns count="7">
    <tableColumn id="1" xr3:uid="{6DD0AFB3-E3E1-42BF-A3B4-18E85FCE115A}" uniqueName="1" name="po_line_id" queryTableFieldId="1" dataDxfId="46"/>
    <tableColumn id="2" xr3:uid="{5684997C-A425-4F90-A58A-1AE9BE3F21FA}" uniqueName="2" name="product_id" queryTableFieldId="2" dataDxfId="45"/>
    <tableColumn id="3" xr3:uid="{CA70ED89-7FA7-4B87-BB6E-0B8FB92B1A49}" uniqueName="3" name="supplier_id" queryTableFieldId="3" dataDxfId="44"/>
    <tableColumn id="4" xr3:uid="{FC36D93F-2948-4D47-B913-73D4F35A7C90}" uniqueName="4" name="expected_delivery_day" queryTableFieldId="4" dataDxfId="35"/>
    <tableColumn id="5" xr3:uid="{237FC5E9-22DE-4BDA-9C87-899166C6D17C}" uniqueName="5" name="ordered_qty" queryTableFieldId="5" dataDxfId="34"/>
    <tableColumn id="6" xr3:uid="{48165B92-C45C-466D-A401-A16FA88C0CFE}" uniqueName="6" name="received_qty" queryTableFieldId="6" dataDxfId="32"/>
    <tableColumn id="7" xr3:uid="{14C79933-F600-4419-BC4A-2BB35139E274}" uniqueName="7" name="delivery_status" queryTableFieldId="7" dataDxfId="33">
      <calculatedColumnFormula>IF(E2-F2 &lt;&gt; 0,
      TEXT(F2/E2,
       "0%") &amp; " of goods arrived",
      IF(E2=F2,
      "All goods arrived",
      "All goods missing"))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465FB9C-4246-48A9-948B-874436089F39}" name="Warehouse_Transfer_Log" displayName="Warehouse_Transfer_Log" ref="A1:D16" tableType="queryTable" totalsRowShown="0">
  <autoFilter ref="A1:D16" xr:uid="{C465FB9C-4246-48A9-948B-874436089F39}"/>
  <tableColumns count="4">
    <tableColumn id="1" xr3:uid="{13E5C2FD-1194-4459-816E-67231F982A93}" uniqueName="1" name="reference_id" queryTableFieldId="1" dataDxfId="39"/>
    <tableColumn id="2" xr3:uid="{D0EAE3CD-6623-46DA-96A3-C923B2FE3DDB}" uniqueName="2" name="Moved_quantity" queryTableFieldId="2" dataDxfId="38"/>
    <tableColumn id="3" xr3:uid="{7D75B5DB-744B-442A-B526-104C3DF5999D}" uniqueName="3" name="Received_quantity" queryTableFieldId="3" dataDxfId="36"/>
    <tableColumn id="4" xr3:uid="{A3F7FBF2-6C58-4BEA-AD30-020C5F9DAA7B}" uniqueName="4" name="Shrinkage Check" queryTableFieldId="4" dataDxfId="37">
      <calculatedColumnFormula>IF(B2=C2, "No Shrinkage Detected", "Shrinkage Detected")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8312E73-56E5-4FA4-A3BD-017CF8BF2C5B}" name="Warehouse_Writeoff_Summary" displayName="Warehouse_Writeoff_Summary" ref="A1:D11" tableType="queryTable" totalsRowShown="0">
  <autoFilter ref="A1:D11" xr:uid="{D8312E73-56E5-4FA4-A3BD-017CF8BF2C5B}"/>
  <tableColumns count="4">
    <tableColumn id="1" xr3:uid="{11BB5D15-9DB5-4EC6-B8D5-FC31722891AC}" uniqueName="1" name="warehouse_id" queryTableFieldId="1" dataDxfId="43"/>
    <tableColumn id="2" xr3:uid="{0B0ABD8D-BED6-455E-BE67-0C72A537024A}" uniqueName="2" name="total_qty" queryTableFieldId="2" dataDxfId="42"/>
    <tableColumn id="3" xr3:uid="{51D03EC1-F31B-4904-B9C4-9A7ED2721CB3}" uniqueName="3" name="damaged_write_off_qty" queryTableFieldId="3" dataDxfId="41"/>
    <tableColumn id="4" xr3:uid="{ABB3B5D7-98C4-4290-849D-6920AAECEC38}" uniqueName="4" name="temprature_write_off_qty" queryTableFieldId="4" dataDxfId="4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D279C47-6535-4602-9F32-450B2CAAE580}" name="Warehouse_Health_Status_Report" displayName="Warehouse_Health_Status_Report" ref="A1:C11" tableType="queryTable" totalsRowShown="0">
  <autoFilter ref="A1:C11" xr:uid="{FD279C47-6535-4602-9F32-450B2CAAE580}"/>
  <tableColumns count="3">
    <tableColumn id="1" xr3:uid="{0DBB4F44-1139-4AE4-9AEE-557809BC77EC}" uniqueName="1" name="warehouse_id" queryTableFieldId="1" dataDxfId="2"/>
    <tableColumn id="2" xr3:uid="{5B6AAE01-0CF7-4175-A49A-A20F3D7DC6B6}" uniqueName="2" name="Warning_count" queryTableFieldId="2" dataDxfId="1"/>
    <tableColumn id="3" xr3:uid="{06C36E90-D092-4F5F-B7EB-A783AA565362}" uniqueName="3" name="Offline_count" queryTableFieldId="3" dataDxfId="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395C29-2087-4C91-8EA3-64777E1AACDB}" name="Table8" displayName="Table8" ref="A1:E9" totalsRowShown="0" headerRowDxfId="51">
  <autoFilter ref="A1:E9" xr:uid="{D1395C29-2087-4C91-8EA3-64777E1AACDB}"/>
  <tableColumns count="5">
    <tableColumn id="1" xr3:uid="{55949A1C-7A96-4F31-A290-6841CDE5CF6F}" name="Column Name"/>
    <tableColumn id="2" xr3:uid="{C3F42438-AA7B-4577-B00D-93D15D210774}" name="Data Type"/>
    <tableColumn id="3" xr3:uid="{0419AA26-4FC2-4A3F-A11A-F993799F2813}" name="Source Sheet"/>
    <tableColumn id="4" xr3:uid="{42AB9359-5058-40E1-86E1-74E48A162181}" name="Transformation Applied"/>
    <tableColumn id="5" xr3:uid="{97FF39CD-DE0B-42F8-AB89-8183087FDCDA}" name="Example 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4061BD-5351-4ADA-B127-058F1413D387}" name="Table9" displayName="Table9" ref="A1:F9" totalsRowShown="0">
  <autoFilter ref="A1:F9" xr:uid="{FE4061BD-5351-4ADA-B127-058F1413D387}"/>
  <tableColumns count="6">
    <tableColumn id="1" xr3:uid="{F54E0C76-0612-4BE4-A7A1-9C898BD026E7}" name="Check Name"/>
    <tableColumn id="2" xr3:uid="{8D613BD6-E1D7-487F-B120-009C2D70152B}" name="What is being Checked"/>
    <tableColumn id="3" xr3:uid="{357DA6BB-0B5C-4623-9456-19C3B8EBC274}" name="Formula Used" dataDxfId="50"/>
    <tableColumn id="4" xr3:uid="{E735A56D-5AD1-459B-9022-84EFA6CDB72E}" name="Expected Result"/>
    <tableColumn id="5" xr3:uid="{F58B68CD-2E67-4FD0-B7E4-B6E9D6575FB1}" name="Actual Result"/>
    <tableColumn id="6" xr3:uid="{4F7FB910-4FDE-43B1-AE47-6A2D40E38131}" name="Status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D08323-A562-4460-910D-C72AF5DE628B}" name="Table14" displayName="Table14" ref="A1:E7" totalsRowShown="0">
  <autoFilter ref="A1:E7" xr:uid="{69D08323-A562-4460-910D-C72AF5DE628B}"/>
  <tableColumns count="5">
    <tableColumn id="1" xr3:uid="{3835F25B-C790-44C3-8622-6268AD231674}" name="Dataset/Sheet"/>
    <tableColumn id="2" xr3:uid="{313A88F4-1A62-42F2-94F4-DB7B4482BD27}" name="Type"/>
    <tableColumn id="3" xr3:uid="{8BE543FA-F96F-4FB3-B9B2-C8752DFFCFE3}" name="Source"/>
    <tableColumn id="4" xr3:uid="{29AB4E7A-A40E-4375-AD77-2EC99556B7AE}" name="Transformation/Process"/>
    <tableColumn id="5" xr3:uid="{44527E8D-DB9D-4740-B853-B46DC3400D17}" name="Output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246A0-B197-4914-A07A-C0C092877CFD}" name="Table10" displayName="Table10" ref="A1:D3" totalsRowShown="0">
  <autoFilter ref="A1:D3" xr:uid="{8E5246A0-B197-4914-A07A-C0C092877CFD}"/>
  <tableColumns count="4">
    <tableColumn id="1" xr3:uid="{D3DBF03D-745A-4789-8CA0-997449FAF373}" name="Metrics"/>
    <tableColumn id="2" xr3:uid="{D04DD05F-5522-4F16-818B-C8A740C31742}" name="Befoe Cleaning"/>
    <tableColumn id="3" xr3:uid="{AB02B2BC-A395-4626-A4DF-FC1FFA4EC39A}" name="After Cleaning"/>
    <tableColumn id="4" xr3:uid="{43190FE3-64A9-4B0A-B1EF-294CEF6F64D4}" name="What Changed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64B6-78AB-43E6-B061-D5302F2CDE56}">
  <sheetPr>
    <tabColor theme="9" tint="0.39997558519241921"/>
  </sheetPr>
  <dimension ref="A1:J121"/>
  <sheetViews>
    <sheetView workbookViewId="0">
      <selection activeCell="E2" sqref="E2:F121"/>
    </sheetView>
  </sheetViews>
  <sheetFormatPr defaultRowHeight="15" x14ac:dyDescent="0.25"/>
  <cols>
    <col min="1" max="1" width="13.28515625" bestFit="1" customWidth="1"/>
    <col min="2" max="2" width="16.7109375" bestFit="1" customWidth="1"/>
    <col min="3" max="3" width="20.5703125" bestFit="1" customWidth="1"/>
    <col min="4" max="4" width="12" bestFit="1" customWidth="1"/>
    <col min="5" max="5" width="17.42578125" bestFit="1" customWidth="1"/>
    <col min="6" max="6" width="22.5703125" bestFit="1" customWidth="1"/>
    <col min="7" max="7" width="15" bestFit="1" customWidth="1"/>
    <col min="8" max="8" width="12.85546875" bestFit="1" customWidth="1"/>
    <col min="9" max="9" width="12.140625" bestFit="1" customWidth="1"/>
    <col min="10" max="10" width="2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1">
        <v>14</v>
      </c>
      <c r="F2" s="11">
        <v>15</v>
      </c>
      <c r="G2" t="s">
        <v>14</v>
      </c>
      <c r="H2" t="s">
        <v>15</v>
      </c>
      <c r="I2">
        <v>80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 s="11">
        <v>7</v>
      </c>
      <c r="F3" s="11">
        <v>45</v>
      </c>
      <c r="G3" t="s">
        <v>20</v>
      </c>
      <c r="H3" t="s">
        <v>15</v>
      </c>
      <c r="I3">
        <v>40</v>
      </c>
      <c r="J3" t="s">
        <v>21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s="11">
        <v>9</v>
      </c>
      <c r="F4" s="11">
        <v>60</v>
      </c>
      <c r="G4" t="s">
        <v>26</v>
      </c>
      <c r="H4" t="s">
        <v>15</v>
      </c>
      <c r="I4">
        <v>61</v>
      </c>
      <c r="J4" t="s">
        <v>27</v>
      </c>
    </row>
    <row r="5" spans="1:10" x14ac:dyDescent="0.25">
      <c r="A5" t="s">
        <v>28</v>
      </c>
      <c r="B5" t="s">
        <v>29</v>
      </c>
      <c r="C5" t="s">
        <v>12</v>
      </c>
      <c r="D5" t="s">
        <v>30</v>
      </c>
      <c r="E5" s="11">
        <v>19</v>
      </c>
      <c r="F5" s="11">
        <v>60</v>
      </c>
      <c r="G5" t="s">
        <v>20</v>
      </c>
      <c r="H5" t="s">
        <v>31</v>
      </c>
      <c r="I5">
        <v>64</v>
      </c>
      <c r="J5" t="s">
        <v>32</v>
      </c>
    </row>
    <row r="6" spans="1:10" x14ac:dyDescent="0.25">
      <c r="A6" t="s">
        <v>33</v>
      </c>
      <c r="B6" t="s">
        <v>34</v>
      </c>
      <c r="C6" t="s">
        <v>19</v>
      </c>
      <c r="D6" t="s">
        <v>35</v>
      </c>
      <c r="E6" s="11">
        <v>6</v>
      </c>
      <c r="F6" s="11">
        <v>30</v>
      </c>
      <c r="G6" t="s">
        <v>14</v>
      </c>
      <c r="H6" t="s">
        <v>15</v>
      </c>
      <c r="I6">
        <v>63</v>
      </c>
      <c r="J6" t="s">
        <v>36</v>
      </c>
    </row>
    <row r="7" spans="1:10" x14ac:dyDescent="0.25">
      <c r="A7" t="s">
        <v>37</v>
      </c>
      <c r="B7" t="s">
        <v>38</v>
      </c>
      <c r="C7" t="s">
        <v>12</v>
      </c>
      <c r="D7" t="s">
        <v>39</v>
      </c>
      <c r="E7" s="11">
        <v>6</v>
      </c>
      <c r="F7" s="11">
        <v>45</v>
      </c>
      <c r="G7" t="s">
        <v>14</v>
      </c>
      <c r="H7" t="s">
        <v>31</v>
      </c>
      <c r="I7">
        <v>68</v>
      </c>
      <c r="J7" t="s">
        <v>40</v>
      </c>
    </row>
    <row r="8" spans="1:10" x14ac:dyDescent="0.25">
      <c r="A8" t="s">
        <v>41</v>
      </c>
      <c r="B8" t="s">
        <v>42</v>
      </c>
      <c r="C8" t="s">
        <v>43</v>
      </c>
      <c r="D8" t="s">
        <v>30</v>
      </c>
      <c r="E8" s="11">
        <v>13</v>
      </c>
      <c r="F8" s="11">
        <v>60</v>
      </c>
      <c r="G8" t="s">
        <v>26</v>
      </c>
      <c r="H8" t="s">
        <v>31</v>
      </c>
      <c r="I8">
        <v>46</v>
      </c>
      <c r="J8" t="s">
        <v>44</v>
      </c>
    </row>
    <row r="9" spans="1:10" x14ac:dyDescent="0.25">
      <c r="A9" t="s">
        <v>45</v>
      </c>
      <c r="B9" t="s">
        <v>46</v>
      </c>
      <c r="C9" t="s">
        <v>43</v>
      </c>
      <c r="D9" t="s">
        <v>47</v>
      </c>
      <c r="E9" s="11">
        <v>11</v>
      </c>
      <c r="F9" s="11">
        <v>45</v>
      </c>
      <c r="G9" t="s">
        <v>20</v>
      </c>
      <c r="H9" t="s">
        <v>31</v>
      </c>
      <c r="I9">
        <v>64</v>
      </c>
      <c r="J9" t="s">
        <v>48</v>
      </c>
    </row>
    <row r="10" spans="1:10" x14ac:dyDescent="0.25">
      <c r="A10" t="s">
        <v>49</v>
      </c>
      <c r="B10" t="s">
        <v>50</v>
      </c>
      <c r="C10" t="s">
        <v>43</v>
      </c>
      <c r="D10" t="s">
        <v>30</v>
      </c>
      <c r="E10" s="11">
        <v>10</v>
      </c>
      <c r="F10" s="11">
        <v>30</v>
      </c>
      <c r="G10" t="s">
        <v>20</v>
      </c>
      <c r="H10" t="s">
        <v>31</v>
      </c>
      <c r="I10">
        <v>34</v>
      </c>
      <c r="J10" t="s">
        <v>51</v>
      </c>
    </row>
    <row r="11" spans="1:10" x14ac:dyDescent="0.25">
      <c r="A11" t="s">
        <v>52</v>
      </c>
      <c r="B11" t="s">
        <v>53</v>
      </c>
      <c r="C11" t="s">
        <v>24</v>
      </c>
      <c r="D11" t="s">
        <v>54</v>
      </c>
      <c r="E11" s="11">
        <v>8</v>
      </c>
      <c r="F11" s="11">
        <v>15</v>
      </c>
      <c r="G11" t="s">
        <v>20</v>
      </c>
      <c r="H11" t="s">
        <v>31</v>
      </c>
      <c r="I11">
        <v>84</v>
      </c>
      <c r="J11" t="s">
        <v>55</v>
      </c>
    </row>
    <row r="12" spans="1:10" x14ac:dyDescent="0.25">
      <c r="A12" t="s">
        <v>56</v>
      </c>
      <c r="B12" t="s">
        <v>57</v>
      </c>
      <c r="C12" t="s">
        <v>24</v>
      </c>
      <c r="D12" t="s">
        <v>25</v>
      </c>
      <c r="E12" s="11">
        <v>17</v>
      </c>
      <c r="F12" s="11">
        <v>60</v>
      </c>
      <c r="G12" t="s">
        <v>26</v>
      </c>
      <c r="H12" t="s">
        <v>15</v>
      </c>
      <c r="I12">
        <v>69</v>
      </c>
      <c r="J12" t="s">
        <v>58</v>
      </c>
    </row>
    <row r="13" spans="1:10" x14ac:dyDescent="0.25">
      <c r="A13" t="s">
        <v>59</v>
      </c>
      <c r="B13" t="s">
        <v>60</v>
      </c>
      <c r="C13" t="s">
        <v>19</v>
      </c>
      <c r="D13" t="s">
        <v>54</v>
      </c>
      <c r="E13" s="11">
        <v>3</v>
      </c>
      <c r="F13" s="11">
        <v>60</v>
      </c>
      <c r="G13" t="s">
        <v>14</v>
      </c>
      <c r="H13" t="s">
        <v>31</v>
      </c>
      <c r="I13">
        <v>55</v>
      </c>
      <c r="J13" t="s">
        <v>61</v>
      </c>
    </row>
    <row r="14" spans="1:10" x14ac:dyDescent="0.25">
      <c r="A14" t="s">
        <v>62</v>
      </c>
      <c r="B14" t="s">
        <v>63</v>
      </c>
      <c r="C14" t="s">
        <v>43</v>
      </c>
      <c r="D14" t="s">
        <v>13</v>
      </c>
      <c r="E14" s="11">
        <v>16</v>
      </c>
      <c r="F14" s="11">
        <v>60</v>
      </c>
      <c r="G14" t="s">
        <v>20</v>
      </c>
      <c r="H14" t="s">
        <v>15</v>
      </c>
      <c r="I14">
        <v>63</v>
      </c>
      <c r="J14" t="s">
        <v>64</v>
      </c>
    </row>
    <row r="15" spans="1:10" x14ac:dyDescent="0.25">
      <c r="A15" t="s">
        <v>65</v>
      </c>
      <c r="B15" t="s">
        <v>66</v>
      </c>
      <c r="C15" t="s">
        <v>12</v>
      </c>
      <c r="D15" t="s">
        <v>30</v>
      </c>
      <c r="E15" s="11">
        <v>12</v>
      </c>
      <c r="F15" s="11">
        <v>45</v>
      </c>
      <c r="G15" t="s">
        <v>26</v>
      </c>
      <c r="H15" t="s">
        <v>15</v>
      </c>
      <c r="I15">
        <v>72</v>
      </c>
      <c r="J15" t="s">
        <v>67</v>
      </c>
    </row>
    <row r="16" spans="1:10" x14ac:dyDescent="0.25">
      <c r="A16" t="s">
        <v>68</v>
      </c>
      <c r="B16" t="s">
        <v>69</v>
      </c>
      <c r="C16" t="s">
        <v>12</v>
      </c>
      <c r="D16" t="s">
        <v>35</v>
      </c>
      <c r="E16" s="11">
        <v>19</v>
      </c>
      <c r="F16" s="11">
        <v>60</v>
      </c>
      <c r="G16" t="s">
        <v>20</v>
      </c>
      <c r="H16" t="s">
        <v>31</v>
      </c>
      <c r="I16">
        <v>77</v>
      </c>
      <c r="J16" t="s">
        <v>70</v>
      </c>
    </row>
    <row r="17" spans="1:10" x14ac:dyDescent="0.25">
      <c r="A17" t="s">
        <v>71</v>
      </c>
      <c r="B17" t="s">
        <v>72</v>
      </c>
      <c r="C17" t="s">
        <v>19</v>
      </c>
      <c r="D17" t="s">
        <v>39</v>
      </c>
      <c r="E17" s="11">
        <v>16</v>
      </c>
      <c r="F17" s="11">
        <v>60</v>
      </c>
      <c r="G17" t="s">
        <v>26</v>
      </c>
      <c r="H17" t="s">
        <v>31</v>
      </c>
      <c r="I17">
        <v>29</v>
      </c>
      <c r="J17" t="s">
        <v>73</v>
      </c>
    </row>
    <row r="18" spans="1:10" x14ac:dyDescent="0.25">
      <c r="A18" t="s">
        <v>74</v>
      </c>
      <c r="B18" t="s">
        <v>75</v>
      </c>
      <c r="C18" t="s">
        <v>12</v>
      </c>
      <c r="D18" t="s">
        <v>47</v>
      </c>
      <c r="E18" s="11">
        <v>21</v>
      </c>
      <c r="F18" s="11">
        <v>45</v>
      </c>
      <c r="G18" t="s">
        <v>14</v>
      </c>
      <c r="H18" t="s">
        <v>31</v>
      </c>
      <c r="I18">
        <v>40</v>
      </c>
      <c r="J18" t="s">
        <v>76</v>
      </c>
    </row>
    <row r="19" spans="1:10" x14ac:dyDescent="0.25">
      <c r="A19" t="s">
        <v>77</v>
      </c>
      <c r="B19" t="s">
        <v>78</v>
      </c>
      <c r="C19" t="s">
        <v>19</v>
      </c>
      <c r="D19" t="s">
        <v>13</v>
      </c>
      <c r="E19" s="11">
        <v>17</v>
      </c>
      <c r="F19" s="11">
        <v>45</v>
      </c>
      <c r="G19" t="s">
        <v>14</v>
      </c>
      <c r="H19" t="s">
        <v>31</v>
      </c>
      <c r="I19">
        <v>65</v>
      </c>
      <c r="J19" t="s">
        <v>79</v>
      </c>
    </row>
    <row r="20" spans="1:10" x14ac:dyDescent="0.25">
      <c r="A20" t="s">
        <v>80</v>
      </c>
      <c r="B20" t="s">
        <v>81</v>
      </c>
      <c r="C20" t="s">
        <v>24</v>
      </c>
      <c r="D20" t="s">
        <v>47</v>
      </c>
      <c r="E20" s="11">
        <v>3</v>
      </c>
      <c r="F20" s="11">
        <v>45</v>
      </c>
      <c r="G20" t="s">
        <v>20</v>
      </c>
      <c r="H20" t="s">
        <v>31</v>
      </c>
      <c r="I20">
        <v>56</v>
      </c>
      <c r="J20" t="s">
        <v>82</v>
      </c>
    </row>
    <row r="21" spans="1:10" x14ac:dyDescent="0.25">
      <c r="A21" t="s">
        <v>83</v>
      </c>
      <c r="B21" t="s">
        <v>84</v>
      </c>
      <c r="C21" t="s">
        <v>19</v>
      </c>
      <c r="D21" t="s">
        <v>85</v>
      </c>
      <c r="E21" s="11">
        <v>17</v>
      </c>
      <c r="F21" s="11">
        <v>30</v>
      </c>
      <c r="G21" t="s">
        <v>26</v>
      </c>
      <c r="H21" t="s">
        <v>31</v>
      </c>
      <c r="I21">
        <v>63</v>
      </c>
      <c r="J21" t="s">
        <v>86</v>
      </c>
    </row>
    <row r="22" spans="1:10" x14ac:dyDescent="0.25">
      <c r="A22" t="s">
        <v>87</v>
      </c>
      <c r="B22" t="s">
        <v>88</v>
      </c>
      <c r="C22" t="s">
        <v>43</v>
      </c>
      <c r="D22" t="s">
        <v>13</v>
      </c>
      <c r="E22" s="11">
        <v>18</v>
      </c>
      <c r="F22" s="11">
        <v>60</v>
      </c>
      <c r="G22" t="s">
        <v>14</v>
      </c>
      <c r="H22" t="s">
        <v>31</v>
      </c>
      <c r="I22">
        <v>66</v>
      </c>
      <c r="J22" t="s">
        <v>89</v>
      </c>
    </row>
    <row r="23" spans="1:10" x14ac:dyDescent="0.25">
      <c r="A23" t="s">
        <v>90</v>
      </c>
      <c r="B23" t="s">
        <v>91</v>
      </c>
      <c r="C23" t="s">
        <v>12</v>
      </c>
      <c r="D23" t="s">
        <v>54</v>
      </c>
      <c r="E23" s="11">
        <v>14</v>
      </c>
      <c r="F23" s="11">
        <v>15</v>
      </c>
      <c r="G23" t="s">
        <v>26</v>
      </c>
      <c r="H23" t="s">
        <v>15</v>
      </c>
      <c r="I23">
        <v>62</v>
      </c>
      <c r="J23" t="s">
        <v>92</v>
      </c>
    </row>
    <row r="24" spans="1:10" x14ac:dyDescent="0.25">
      <c r="A24" t="s">
        <v>93</v>
      </c>
      <c r="B24" t="s">
        <v>94</v>
      </c>
      <c r="C24" t="s">
        <v>24</v>
      </c>
      <c r="D24" t="s">
        <v>47</v>
      </c>
      <c r="E24" s="11">
        <v>5</v>
      </c>
      <c r="F24" s="11">
        <v>45</v>
      </c>
      <c r="G24" t="s">
        <v>26</v>
      </c>
      <c r="H24" t="s">
        <v>31</v>
      </c>
      <c r="I24">
        <v>49</v>
      </c>
      <c r="J24" t="s">
        <v>95</v>
      </c>
    </row>
    <row r="25" spans="1:10" x14ac:dyDescent="0.25">
      <c r="A25" t="s">
        <v>96</v>
      </c>
      <c r="B25" t="s">
        <v>97</v>
      </c>
      <c r="C25" t="s">
        <v>19</v>
      </c>
      <c r="D25" t="s">
        <v>25</v>
      </c>
      <c r="E25" s="11">
        <v>12</v>
      </c>
      <c r="F25" s="11">
        <v>45</v>
      </c>
      <c r="G25" t="s">
        <v>20</v>
      </c>
      <c r="H25" t="s">
        <v>31</v>
      </c>
      <c r="I25">
        <v>55</v>
      </c>
      <c r="J25" t="s">
        <v>98</v>
      </c>
    </row>
    <row r="26" spans="1:10" x14ac:dyDescent="0.25">
      <c r="A26" t="s">
        <v>99</v>
      </c>
      <c r="B26" t="s">
        <v>100</v>
      </c>
      <c r="C26" t="s">
        <v>19</v>
      </c>
      <c r="D26" t="s">
        <v>35</v>
      </c>
      <c r="E26" s="11">
        <v>7</v>
      </c>
      <c r="F26" s="11">
        <v>30</v>
      </c>
      <c r="G26" t="s">
        <v>14</v>
      </c>
      <c r="H26" t="s">
        <v>31</v>
      </c>
      <c r="I26">
        <v>44</v>
      </c>
      <c r="J26" t="s">
        <v>101</v>
      </c>
    </row>
    <row r="27" spans="1:10" x14ac:dyDescent="0.25">
      <c r="A27" t="s">
        <v>102</v>
      </c>
      <c r="B27" t="s">
        <v>103</v>
      </c>
      <c r="C27" t="s">
        <v>43</v>
      </c>
      <c r="D27" t="s">
        <v>104</v>
      </c>
      <c r="E27" s="11">
        <v>19</v>
      </c>
      <c r="F27" s="11">
        <v>15</v>
      </c>
      <c r="G27" t="s">
        <v>26</v>
      </c>
      <c r="H27" t="s">
        <v>31</v>
      </c>
      <c r="I27">
        <v>68</v>
      </c>
      <c r="J27" t="s">
        <v>105</v>
      </c>
    </row>
    <row r="28" spans="1:10" x14ac:dyDescent="0.25">
      <c r="A28" t="s">
        <v>106</v>
      </c>
      <c r="B28" t="s">
        <v>107</v>
      </c>
      <c r="C28" t="s">
        <v>19</v>
      </c>
      <c r="D28" t="s">
        <v>85</v>
      </c>
      <c r="E28" s="11">
        <v>5</v>
      </c>
      <c r="F28" s="11">
        <v>45</v>
      </c>
      <c r="G28" t="s">
        <v>20</v>
      </c>
      <c r="H28" t="s">
        <v>31</v>
      </c>
      <c r="I28">
        <v>45</v>
      </c>
      <c r="J28" t="s">
        <v>108</v>
      </c>
    </row>
    <row r="29" spans="1:10" x14ac:dyDescent="0.25">
      <c r="A29" t="s">
        <v>109</v>
      </c>
      <c r="B29" t="s">
        <v>110</v>
      </c>
      <c r="C29" t="s">
        <v>19</v>
      </c>
      <c r="D29" t="s">
        <v>47</v>
      </c>
      <c r="E29" s="11">
        <v>19</v>
      </c>
      <c r="F29" s="11">
        <v>30</v>
      </c>
      <c r="G29" t="s">
        <v>26</v>
      </c>
      <c r="H29" t="s">
        <v>31</v>
      </c>
      <c r="I29">
        <v>51</v>
      </c>
      <c r="J29" t="s">
        <v>111</v>
      </c>
    </row>
    <row r="30" spans="1:10" x14ac:dyDescent="0.25">
      <c r="A30" t="s">
        <v>112</v>
      </c>
      <c r="B30" t="s">
        <v>113</v>
      </c>
      <c r="C30" t="s">
        <v>12</v>
      </c>
      <c r="D30" t="s">
        <v>114</v>
      </c>
      <c r="E30" s="11">
        <v>11</v>
      </c>
      <c r="F30" s="11">
        <v>30</v>
      </c>
      <c r="G30" t="s">
        <v>14</v>
      </c>
      <c r="H30" t="s">
        <v>15</v>
      </c>
      <c r="I30">
        <v>34</v>
      </c>
      <c r="J30" t="s">
        <v>115</v>
      </c>
    </row>
    <row r="31" spans="1:10" x14ac:dyDescent="0.25">
      <c r="A31" t="s">
        <v>116</v>
      </c>
      <c r="B31" t="s">
        <v>117</v>
      </c>
      <c r="C31" t="s">
        <v>19</v>
      </c>
      <c r="D31" t="s">
        <v>54</v>
      </c>
      <c r="E31" s="11">
        <v>11</v>
      </c>
      <c r="F31" s="11">
        <v>30</v>
      </c>
      <c r="G31" t="s">
        <v>14</v>
      </c>
      <c r="H31" t="s">
        <v>31</v>
      </c>
      <c r="I31">
        <v>47</v>
      </c>
      <c r="J31" t="s">
        <v>118</v>
      </c>
    </row>
    <row r="32" spans="1:10" x14ac:dyDescent="0.25">
      <c r="A32" t="s">
        <v>119</v>
      </c>
      <c r="B32" t="s">
        <v>120</v>
      </c>
      <c r="C32" t="s">
        <v>24</v>
      </c>
      <c r="D32" t="s">
        <v>35</v>
      </c>
      <c r="E32" s="11">
        <v>7</v>
      </c>
      <c r="F32" s="11">
        <v>60</v>
      </c>
      <c r="G32" t="s">
        <v>26</v>
      </c>
      <c r="H32" t="s">
        <v>31</v>
      </c>
      <c r="I32">
        <v>32</v>
      </c>
      <c r="J32" t="s">
        <v>121</v>
      </c>
    </row>
    <row r="33" spans="1:10" x14ac:dyDescent="0.25">
      <c r="A33" t="s">
        <v>122</v>
      </c>
      <c r="B33" t="s">
        <v>123</v>
      </c>
      <c r="C33" t="s">
        <v>12</v>
      </c>
      <c r="D33" t="s">
        <v>114</v>
      </c>
      <c r="E33" s="11">
        <v>13</v>
      </c>
      <c r="F33" s="11">
        <v>30</v>
      </c>
      <c r="G33" t="s">
        <v>20</v>
      </c>
      <c r="H33" t="s">
        <v>15</v>
      </c>
      <c r="I33">
        <v>49</v>
      </c>
      <c r="J33" t="s">
        <v>124</v>
      </c>
    </row>
    <row r="34" spans="1:10" x14ac:dyDescent="0.25">
      <c r="A34" t="s">
        <v>125</v>
      </c>
      <c r="B34" t="s">
        <v>126</v>
      </c>
      <c r="C34" t="s">
        <v>24</v>
      </c>
      <c r="D34" t="s">
        <v>39</v>
      </c>
      <c r="E34" s="11">
        <v>20</v>
      </c>
      <c r="F34" s="11">
        <v>45</v>
      </c>
      <c r="G34" t="s">
        <v>20</v>
      </c>
      <c r="H34" t="s">
        <v>15</v>
      </c>
      <c r="I34">
        <v>47</v>
      </c>
      <c r="J34" t="s">
        <v>127</v>
      </c>
    </row>
    <row r="35" spans="1:10" x14ac:dyDescent="0.25">
      <c r="A35" t="s">
        <v>128</v>
      </c>
      <c r="B35" t="s">
        <v>129</v>
      </c>
      <c r="C35" t="s">
        <v>12</v>
      </c>
      <c r="D35" t="s">
        <v>85</v>
      </c>
      <c r="E35" s="11">
        <v>3</v>
      </c>
      <c r="F35" s="11">
        <v>45</v>
      </c>
      <c r="G35" t="s">
        <v>26</v>
      </c>
      <c r="H35" t="s">
        <v>31</v>
      </c>
      <c r="I35">
        <v>59</v>
      </c>
      <c r="J35" t="s">
        <v>130</v>
      </c>
    </row>
    <row r="36" spans="1:10" x14ac:dyDescent="0.25">
      <c r="A36" t="s">
        <v>131</v>
      </c>
      <c r="B36" t="s">
        <v>132</v>
      </c>
      <c r="C36" t="s">
        <v>24</v>
      </c>
      <c r="D36" t="s">
        <v>104</v>
      </c>
      <c r="E36" s="11">
        <v>5</v>
      </c>
      <c r="F36" s="11">
        <v>60</v>
      </c>
      <c r="G36" t="s">
        <v>26</v>
      </c>
      <c r="H36" t="s">
        <v>15</v>
      </c>
      <c r="I36">
        <v>38</v>
      </c>
      <c r="J36" t="s">
        <v>133</v>
      </c>
    </row>
    <row r="37" spans="1:10" x14ac:dyDescent="0.25">
      <c r="A37" t="s">
        <v>134</v>
      </c>
      <c r="B37" t="s">
        <v>135</v>
      </c>
      <c r="C37" t="s">
        <v>12</v>
      </c>
      <c r="D37" t="s">
        <v>30</v>
      </c>
      <c r="E37" s="11">
        <v>6</v>
      </c>
      <c r="F37" s="11">
        <v>45</v>
      </c>
      <c r="G37" t="s">
        <v>14</v>
      </c>
      <c r="H37" t="s">
        <v>15</v>
      </c>
      <c r="I37">
        <v>42</v>
      </c>
      <c r="J37" t="s">
        <v>136</v>
      </c>
    </row>
    <row r="38" spans="1:10" x14ac:dyDescent="0.25">
      <c r="A38" t="s">
        <v>137</v>
      </c>
      <c r="B38" t="s">
        <v>138</v>
      </c>
      <c r="C38" t="s">
        <v>43</v>
      </c>
      <c r="D38" t="s">
        <v>35</v>
      </c>
      <c r="E38" s="11">
        <v>19</v>
      </c>
      <c r="F38" s="11">
        <v>30</v>
      </c>
      <c r="G38" t="s">
        <v>26</v>
      </c>
      <c r="H38" t="s">
        <v>15</v>
      </c>
      <c r="I38">
        <v>69</v>
      </c>
      <c r="J38" t="s">
        <v>139</v>
      </c>
    </row>
    <row r="39" spans="1:10" x14ac:dyDescent="0.25">
      <c r="A39" t="s">
        <v>140</v>
      </c>
      <c r="B39" t="s">
        <v>141</v>
      </c>
      <c r="C39" t="s">
        <v>24</v>
      </c>
      <c r="D39" t="s">
        <v>47</v>
      </c>
      <c r="E39" s="11">
        <v>11</v>
      </c>
      <c r="F39" s="11">
        <v>60</v>
      </c>
      <c r="G39" t="s">
        <v>20</v>
      </c>
      <c r="H39" t="s">
        <v>31</v>
      </c>
      <c r="I39">
        <v>61</v>
      </c>
      <c r="J39" t="s">
        <v>142</v>
      </c>
    </row>
    <row r="40" spans="1:10" x14ac:dyDescent="0.25">
      <c r="A40" t="s">
        <v>143</v>
      </c>
      <c r="B40" t="s">
        <v>144</v>
      </c>
      <c r="C40" t="s">
        <v>43</v>
      </c>
      <c r="D40" t="s">
        <v>39</v>
      </c>
      <c r="E40" s="11">
        <v>18</v>
      </c>
      <c r="F40" s="11">
        <v>30</v>
      </c>
      <c r="G40" t="s">
        <v>26</v>
      </c>
      <c r="H40" t="s">
        <v>31</v>
      </c>
      <c r="I40">
        <v>56</v>
      </c>
      <c r="J40" t="s">
        <v>145</v>
      </c>
    </row>
    <row r="41" spans="1:10" x14ac:dyDescent="0.25">
      <c r="A41" t="s">
        <v>146</v>
      </c>
      <c r="B41" t="s">
        <v>147</v>
      </c>
      <c r="C41" t="s">
        <v>43</v>
      </c>
      <c r="D41" t="s">
        <v>47</v>
      </c>
      <c r="E41" s="11">
        <v>9</v>
      </c>
      <c r="F41" s="11">
        <v>30</v>
      </c>
      <c r="G41" t="s">
        <v>20</v>
      </c>
      <c r="H41" t="s">
        <v>15</v>
      </c>
      <c r="I41">
        <v>82</v>
      </c>
      <c r="J41" t="s">
        <v>148</v>
      </c>
    </row>
    <row r="42" spans="1:10" x14ac:dyDescent="0.25">
      <c r="A42" t="s">
        <v>149</v>
      </c>
      <c r="B42" t="s">
        <v>150</v>
      </c>
      <c r="C42" t="s">
        <v>12</v>
      </c>
      <c r="D42" t="s">
        <v>35</v>
      </c>
      <c r="E42" s="11">
        <v>15</v>
      </c>
      <c r="F42" s="11">
        <v>15</v>
      </c>
      <c r="G42" t="s">
        <v>26</v>
      </c>
      <c r="H42" t="s">
        <v>31</v>
      </c>
      <c r="I42">
        <v>35</v>
      </c>
      <c r="J42" t="s">
        <v>151</v>
      </c>
    </row>
    <row r="43" spans="1:10" x14ac:dyDescent="0.25">
      <c r="A43" t="s">
        <v>152</v>
      </c>
      <c r="B43" t="s">
        <v>153</v>
      </c>
      <c r="C43" t="s">
        <v>24</v>
      </c>
      <c r="D43" t="s">
        <v>35</v>
      </c>
      <c r="E43" s="11">
        <v>20</v>
      </c>
      <c r="F43" s="11">
        <v>45</v>
      </c>
      <c r="G43" t="s">
        <v>14</v>
      </c>
      <c r="H43" t="s">
        <v>15</v>
      </c>
      <c r="I43">
        <v>94</v>
      </c>
      <c r="J43" t="s">
        <v>154</v>
      </c>
    </row>
    <row r="44" spans="1:10" x14ac:dyDescent="0.25">
      <c r="A44" t="s">
        <v>155</v>
      </c>
      <c r="B44" t="s">
        <v>156</v>
      </c>
      <c r="C44" t="s">
        <v>24</v>
      </c>
      <c r="D44" t="s">
        <v>25</v>
      </c>
      <c r="E44" s="11">
        <v>3</v>
      </c>
      <c r="F44" s="11">
        <v>45</v>
      </c>
      <c r="G44" t="s">
        <v>20</v>
      </c>
      <c r="H44" t="s">
        <v>31</v>
      </c>
      <c r="I44">
        <v>68</v>
      </c>
      <c r="J44" t="s">
        <v>157</v>
      </c>
    </row>
    <row r="45" spans="1:10" x14ac:dyDescent="0.25">
      <c r="A45" t="s">
        <v>158</v>
      </c>
      <c r="B45" t="s">
        <v>159</v>
      </c>
      <c r="C45" t="s">
        <v>24</v>
      </c>
      <c r="D45" t="s">
        <v>35</v>
      </c>
      <c r="E45" s="11">
        <v>6</v>
      </c>
      <c r="F45" s="11">
        <v>30</v>
      </c>
      <c r="G45" t="s">
        <v>14</v>
      </c>
      <c r="H45" t="s">
        <v>31</v>
      </c>
      <c r="I45">
        <v>36</v>
      </c>
      <c r="J45" t="s">
        <v>160</v>
      </c>
    </row>
    <row r="46" spans="1:10" x14ac:dyDescent="0.25">
      <c r="A46" t="s">
        <v>161</v>
      </c>
      <c r="B46" t="s">
        <v>162</v>
      </c>
      <c r="C46" t="s">
        <v>24</v>
      </c>
      <c r="D46" t="s">
        <v>13</v>
      </c>
      <c r="E46" s="11">
        <v>5</v>
      </c>
      <c r="F46" s="11">
        <v>15</v>
      </c>
      <c r="G46" t="s">
        <v>26</v>
      </c>
      <c r="H46" t="s">
        <v>31</v>
      </c>
      <c r="I46">
        <v>38</v>
      </c>
      <c r="J46" t="s">
        <v>163</v>
      </c>
    </row>
    <row r="47" spans="1:10" x14ac:dyDescent="0.25">
      <c r="A47" t="s">
        <v>164</v>
      </c>
      <c r="B47" t="s">
        <v>165</v>
      </c>
      <c r="C47" t="s">
        <v>43</v>
      </c>
      <c r="D47" t="s">
        <v>47</v>
      </c>
      <c r="E47" s="11">
        <v>17</v>
      </c>
      <c r="F47" s="11">
        <v>15</v>
      </c>
      <c r="G47" t="s">
        <v>14</v>
      </c>
      <c r="H47" t="s">
        <v>15</v>
      </c>
      <c r="I47">
        <v>61</v>
      </c>
      <c r="J47" t="s">
        <v>166</v>
      </c>
    </row>
    <row r="48" spans="1:10" x14ac:dyDescent="0.25">
      <c r="A48" t="s">
        <v>167</v>
      </c>
      <c r="B48" t="s">
        <v>168</v>
      </c>
      <c r="C48" t="s">
        <v>12</v>
      </c>
      <c r="D48" t="s">
        <v>114</v>
      </c>
      <c r="E48" s="11">
        <v>15</v>
      </c>
      <c r="F48" s="11">
        <v>30</v>
      </c>
      <c r="G48" t="s">
        <v>20</v>
      </c>
      <c r="H48" t="s">
        <v>31</v>
      </c>
      <c r="I48">
        <v>55</v>
      </c>
      <c r="J48" t="s">
        <v>169</v>
      </c>
    </row>
    <row r="49" spans="1:10" x14ac:dyDescent="0.25">
      <c r="A49" t="s">
        <v>170</v>
      </c>
      <c r="B49" t="s">
        <v>171</v>
      </c>
      <c r="C49" t="s">
        <v>24</v>
      </c>
      <c r="D49" t="s">
        <v>25</v>
      </c>
      <c r="E49" s="11">
        <v>5</v>
      </c>
      <c r="F49" s="11">
        <v>60</v>
      </c>
      <c r="G49" t="s">
        <v>20</v>
      </c>
      <c r="H49" t="s">
        <v>15</v>
      </c>
      <c r="I49">
        <v>81</v>
      </c>
      <c r="J49" t="s">
        <v>172</v>
      </c>
    </row>
    <row r="50" spans="1:10" x14ac:dyDescent="0.25">
      <c r="A50" t="s">
        <v>173</v>
      </c>
      <c r="B50" t="s">
        <v>174</v>
      </c>
      <c r="C50" t="s">
        <v>24</v>
      </c>
      <c r="D50" t="s">
        <v>47</v>
      </c>
      <c r="E50" s="11">
        <v>3</v>
      </c>
      <c r="F50" s="11">
        <v>15</v>
      </c>
      <c r="G50" t="s">
        <v>20</v>
      </c>
      <c r="H50" t="s">
        <v>15</v>
      </c>
      <c r="I50">
        <v>71</v>
      </c>
      <c r="J50" t="s">
        <v>175</v>
      </c>
    </row>
    <row r="51" spans="1:10" x14ac:dyDescent="0.25">
      <c r="A51" t="s">
        <v>176</v>
      </c>
      <c r="B51" t="s">
        <v>177</v>
      </c>
      <c r="C51" t="s">
        <v>43</v>
      </c>
      <c r="D51" t="s">
        <v>47</v>
      </c>
      <c r="E51" s="11">
        <v>6</v>
      </c>
      <c r="F51" s="11">
        <v>30</v>
      </c>
      <c r="G51" t="s">
        <v>26</v>
      </c>
      <c r="H51" t="s">
        <v>31</v>
      </c>
      <c r="I51">
        <v>90</v>
      </c>
      <c r="J51" t="s">
        <v>178</v>
      </c>
    </row>
    <row r="52" spans="1:10" x14ac:dyDescent="0.25">
      <c r="A52" t="s">
        <v>179</v>
      </c>
      <c r="B52" t="s">
        <v>3256</v>
      </c>
      <c r="C52" t="s">
        <v>19</v>
      </c>
      <c r="D52" t="s">
        <v>47</v>
      </c>
      <c r="E52" s="11">
        <v>20</v>
      </c>
      <c r="F52" s="11">
        <v>30</v>
      </c>
      <c r="G52" t="s">
        <v>14</v>
      </c>
      <c r="H52" t="s">
        <v>31</v>
      </c>
      <c r="I52">
        <v>58</v>
      </c>
      <c r="J52" t="s">
        <v>180</v>
      </c>
    </row>
    <row r="53" spans="1:10" x14ac:dyDescent="0.25">
      <c r="A53" t="s">
        <v>181</v>
      </c>
      <c r="B53" t="s">
        <v>182</v>
      </c>
      <c r="C53" t="s">
        <v>24</v>
      </c>
      <c r="D53" t="s">
        <v>39</v>
      </c>
      <c r="E53" s="11">
        <v>17</v>
      </c>
      <c r="F53" s="11">
        <v>30</v>
      </c>
      <c r="G53" t="s">
        <v>26</v>
      </c>
      <c r="H53" t="s">
        <v>31</v>
      </c>
      <c r="I53">
        <v>53</v>
      </c>
      <c r="J53" t="s">
        <v>183</v>
      </c>
    </row>
    <row r="54" spans="1:10" x14ac:dyDescent="0.25">
      <c r="A54" t="s">
        <v>184</v>
      </c>
      <c r="B54" t="s">
        <v>185</v>
      </c>
      <c r="C54" t="s">
        <v>43</v>
      </c>
      <c r="D54" t="s">
        <v>114</v>
      </c>
      <c r="E54" s="11">
        <v>20</v>
      </c>
      <c r="F54" s="11">
        <v>45</v>
      </c>
      <c r="G54" t="s">
        <v>14</v>
      </c>
      <c r="H54" t="s">
        <v>31</v>
      </c>
      <c r="I54">
        <v>67</v>
      </c>
      <c r="J54" t="s">
        <v>186</v>
      </c>
    </row>
    <row r="55" spans="1:10" x14ac:dyDescent="0.25">
      <c r="A55" t="s">
        <v>187</v>
      </c>
      <c r="B55" t="s">
        <v>188</v>
      </c>
      <c r="C55" t="s">
        <v>43</v>
      </c>
      <c r="D55" t="s">
        <v>30</v>
      </c>
      <c r="E55" s="11">
        <v>17</v>
      </c>
      <c r="F55" s="11">
        <v>30</v>
      </c>
      <c r="G55" t="s">
        <v>14</v>
      </c>
      <c r="H55" t="s">
        <v>31</v>
      </c>
      <c r="I55">
        <v>48</v>
      </c>
      <c r="J55" t="s">
        <v>189</v>
      </c>
    </row>
    <row r="56" spans="1:10" x14ac:dyDescent="0.25">
      <c r="A56" t="s">
        <v>190</v>
      </c>
      <c r="B56" t="s">
        <v>191</v>
      </c>
      <c r="C56" t="s">
        <v>43</v>
      </c>
      <c r="D56" t="s">
        <v>30</v>
      </c>
      <c r="E56" s="11">
        <v>18</v>
      </c>
      <c r="F56" s="11">
        <v>30</v>
      </c>
      <c r="G56" t="s">
        <v>20</v>
      </c>
      <c r="H56" t="s">
        <v>31</v>
      </c>
      <c r="I56">
        <v>76</v>
      </c>
      <c r="J56" t="s">
        <v>192</v>
      </c>
    </row>
    <row r="57" spans="1:10" x14ac:dyDescent="0.25">
      <c r="A57" t="s">
        <v>193</v>
      </c>
      <c r="B57" t="s">
        <v>194</v>
      </c>
      <c r="C57" t="s">
        <v>43</v>
      </c>
      <c r="D57" t="s">
        <v>25</v>
      </c>
      <c r="E57" s="11">
        <v>7</v>
      </c>
      <c r="F57" s="11">
        <v>15</v>
      </c>
      <c r="G57" t="s">
        <v>26</v>
      </c>
      <c r="H57" t="s">
        <v>31</v>
      </c>
      <c r="I57">
        <v>44</v>
      </c>
      <c r="J57" t="s">
        <v>195</v>
      </c>
    </row>
    <row r="58" spans="1:10" x14ac:dyDescent="0.25">
      <c r="A58" t="s">
        <v>196</v>
      </c>
      <c r="B58" t="s">
        <v>197</v>
      </c>
      <c r="C58" t="s">
        <v>12</v>
      </c>
      <c r="D58" t="s">
        <v>35</v>
      </c>
      <c r="E58" s="11">
        <v>13</v>
      </c>
      <c r="F58" s="11">
        <v>60</v>
      </c>
      <c r="G58" t="s">
        <v>26</v>
      </c>
      <c r="H58" t="s">
        <v>31</v>
      </c>
      <c r="I58">
        <v>57</v>
      </c>
      <c r="J58" t="s">
        <v>198</v>
      </c>
    </row>
    <row r="59" spans="1:10" x14ac:dyDescent="0.25">
      <c r="A59" t="s">
        <v>199</v>
      </c>
      <c r="B59" t="s">
        <v>200</v>
      </c>
      <c r="C59" t="s">
        <v>12</v>
      </c>
      <c r="D59" t="s">
        <v>104</v>
      </c>
      <c r="E59" s="11">
        <v>4</v>
      </c>
      <c r="F59" s="11">
        <v>30</v>
      </c>
      <c r="G59" t="s">
        <v>14</v>
      </c>
      <c r="H59" t="s">
        <v>31</v>
      </c>
      <c r="I59">
        <v>89</v>
      </c>
      <c r="J59" t="s">
        <v>201</v>
      </c>
    </row>
    <row r="60" spans="1:10" x14ac:dyDescent="0.25">
      <c r="A60" t="s">
        <v>202</v>
      </c>
      <c r="B60" t="s">
        <v>203</v>
      </c>
      <c r="C60" t="s">
        <v>19</v>
      </c>
      <c r="D60" t="s">
        <v>104</v>
      </c>
      <c r="E60" s="11">
        <v>6</v>
      </c>
      <c r="F60" s="11">
        <v>15</v>
      </c>
      <c r="G60" t="s">
        <v>14</v>
      </c>
      <c r="H60" t="s">
        <v>31</v>
      </c>
      <c r="I60">
        <v>87</v>
      </c>
      <c r="J60" t="s">
        <v>204</v>
      </c>
    </row>
    <row r="61" spans="1:10" x14ac:dyDescent="0.25">
      <c r="A61" t="s">
        <v>205</v>
      </c>
      <c r="B61" t="s">
        <v>206</v>
      </c>
      <c r="C61" t="s">
        <v>24</v>
      </c>
      <c r="D61" t="s">
        <v>39</v>
      </c>
      <c r="E61" s="11">
        <v>7</v>
      </c>
      <c r="F61" s="11">
        <v>15</v>
      </c>
      <c r="G61" t="s">
        <v>26</v>
      </c>
      <c r="H61" t="s">
        <v>31</v>
      </c>
      <c r="I61">
        <v>56</v>
      </c>
      <c r="J61" t="s">
        <v>207</v>
      </c>
    </row>
    <row r="62" spans="1:10" x14ac:dyDescent="0.25">
      <c r="A62" t="s">
        <v>208</v>
      </c>
      <c r="B62" t="s">
        <v>209</v>
      </c>
      <c r="C62" t="s">
        <v>43</v>
      </c>
      <c r="D62" t="s">
        <v>13</v>
      </c>
      <c r="E62" s="11">
        <v>5</v>
      </c>
      <c r="F62" s="11">
        <v>60</v>
      </c>
      <c r="G62" t="s">
        <v>14</v>
      </c>
      <c r="H62" t="s">
        <v>31</v>
      </c>
      <c r="I62">
        <v>62</v>
      </c>
      <c r="J62" t="s">
        <v>210</v>
      </c>
    </row>
    <row r="63" spans="1:10" x14ac:dyDescent="0.25">
      <c r="A63" t="s">
        <v>211</v>
      </c>
      <c r="B63" t="s">
        <v>212</v>
      </c>
      <c r="C63" t="s">
        <v>12</v>
      </c>
      <c r="D63" t="s">
        <v>30</v>
      </c>
      <c r="E63" s="11">
        <v>4</v>
      </c>
      <c r="F63" s="11">
        <v>60</v>
      </c>
      <c r="G63" t="s">
        <v>20</v>
      </c>
      <c r="H63" t="s">
        <v>15</v>
      </c>
      <c r="I63">
        <v>56</v>
      </c>
      <c r="J63" t="s">
        <v>213</v>
      </c>
    </row>
    <row r="64" spans="1:10" x14ac:dyDescent="0.25">
      <c r="A64" t="s">
        <v>214</v>
      </c>
      <c r="B64" t="s">
        <v>215</v>
      </c>
      <c r="C64" t="s">
        <v>12</v>
      </c>
      <c r="D64" t="s">
        <v>114</v>
      </c>
      <c r="E64" s="11">
        <v>21</v>
      </c>
      <c r="F64" s="11">
        <v>60</v>
      </c>
      <c r="G64" t="s">
        <v>26</v>
      </c>
      <c r="H64" t="s">
        <v>31</v>
      </c>
      <c r="I64">
        <v>64</v>
      </c>
      <c r="J64" t="s">
        <v>216</v>
      </c>
    </row>
    <row r="65" spans="1:10" x14ac:dyDescent="0.25">
      <c r="A65" t="s">
        <v>217</v>
      </c>
      <c r="B65" t="s">
        <v>218</v>
      </c>
      <c r="C65" t="s">
        <v>24</v>
      </c>
      <c r="D65" t="s">
        <v>47</v>
      </c>
      <c r="E65" s="11">
        <v>3</v>
      </c>
      <c r="F65" s="11">
        <v>45</v>
      </c>
      <c r="G65" t="s">
        <v>20</v>
      </c>
      <c r="H65" t="s">
        <v>31</v>
      </c>
      <c r="I65">
        <v>59</v>
      </c>
      <c r="J65" t="s">
        <v>219</v>
      </c>
    </row>
    <row r="66" spans="1:10" x14ac:dyDescent="0.25">
      <c r="A66" t="s">
        <v>220</v>
      </c>
      <c r="B66" t="s">
        <v>221</v>
      </c>
      <c r="C66" t="s">
        <v>24</v>
      </c>
      <c r="D66" t="s">
        <v>104</v>
      </c>
      <c r="E66" s="11">
        <v>20</v>
      </c>
      <c r="F66" s="11">
        <v>15</v>
      </c>
      <c r="G66" t="s">
        <v>14</v>
      </c>
      <c r="H66" t="s">
        <v>31</v>
      </c>
      <c r="I66">
        <v>35</v>
      </c>
      <c r="J66" t="s">
        <v>222</v>
      </c>
    </row>
    <row r="67" spans="1:10" x14ac:dyDescent="0.25">
      <c r="A67" t="s">
        <v>223</v>
      </c>
      <c r="B67" t="s">
        <v>224</v>
      </c>
      <c r="C67" t="s">
        <v>19</v>
      </c>
      <c r="D67" t="s">
        <v>30</v>
      </c>
      <c r="E67" s="11">
        <v>9</v>
      </c>
      <c r="F67" s="11">
        <v>45</v>
      </c>
      <c r="G67" t="s">
        <v>20</v>
      </c>
      <c r="H67" t="s">
        <v>31</v>
      </c>
      <c r="I67">
        <v>66</v>
      </c>
      <c r="J67" t="s">
        <v>225</v>
      </c>
    </row>
    <row r="68" spans="1:10" x14ac:dyDescent="0.25">
      <c r="A68" t="s">
        <v>226</v>
      </c>
      <c r="B68" t="s">
        <v>227</v>
      </c>
      <c r="C68" t="s">
        <v>19</v>
      </c>
      <c r="D68" t="s">
        <v>39</v>
      </c>
      <c r="E68" s="11">
        <v>19</v>
      </c>
      <c r="F68" s="11">
        <v>15</v>
      </c>
      <c r="G68" t="s">
        <v>26</v>
      </c>
      <c r="H68" t="s">
        <v>31</v>
      </c>
      <c r="I68">
        <v>47</v>
      </c>
      <c r="J68" t="s">
        <v>228</v>
      </c>
    </row>
    <row r="69" spans="1:10" x14ac:dyDescent="0.25">
      <c r="A69" t="s">
        <v>229</v>
      </c>
      <c r="B69" t="s">
        <v>230</v>
      </c>
      <c r="C69" t="s">
        <v>12</v>
      </c>
      <c r="D69" t="s">
        <v>25</v>
      </c>
      <c r="E69" s="11">
        <v>13</v>
      </c>
      <c r="F69" s="11">
        <v>60</v>
      </c>
      <c r="G69" t="s">
        <v>20</v>
      </c>
      <c r="H69" t="s">
        <v>31</v>
      </c>
      <c r="I69">
        <v>76</v>
      </c>
      <c r="J69" t="s">
        <v>231</v>
      </c>
    </row>
    <row r="70" spans="1:10" x14ac:dyDescent="0.25">
      <c r="A70" t="s">
        <v>232</v>
      </c>
      <c r="B70" t="s">
        <v>233</v>
      </c>
      <c r="C70" t="s">
        <v>43</v>
      </c>
      <c r="D70" t="s">
        <v>47</v>
      </c>
      <c r="E70" s="11">
        <v>14</v>
      </c>
      <c r="F70" s="11">
        <v>60</v>
      </c>
      <c r="G70" t="s">
        <v>26</v>
      </c>
      <c r="H70" t="s">
        <v>31</v>
      </c>
      <c r="I70">
        <v>53</v>
      </c>
      <c r="J70" t="s">
        <v>234</v>
      </c>
    </row>
    <row r="71" spans="1:10" x14ac:dyDescent="0.25">
      <c r="A71" t="s">
        <v>235</v>
      </c>
      <c r="B71" t="s">
        <v>236</v>
      </c>
      <c r="C71" t="s">
        <v>19</v>
      </c>
      <c r="D71" t="s">
        <v>30</v>
      </c>
      <c r="E71" s="11">
        <v>3</v>
      </c>
      <c r="F71" s="11">
        <v>60</v>
      </c>
      <c r="G71" t="s">
        <v>14</v>
      </c>
      <c r="H71" t="s">
        <v>31</v>
      </c>
      <c r="I71">
        <v>36</v>
      </c>
      <c r="J71" t="s">
        <v>237</v>
      </c>
    </row>
    <row r="72" spans="1:10" x14ac:dyDescent="0.25">
      <c r="A72" t="s">
        <v>238</v>
      </c>
      <c r="B72" t="s">
        <v>239</v>
      </c>
      <c r="C72" t="s">
        <v>19</v>
      </c>
      <c r="D72" t="s">
        <v>39</v>
      </c>
      <c r="E72" s="11">
        <v>6</v>
      </c>
      <c r="F72" s="11">
        <v>15</v>
      </c>
      <c r="G72" t="s">
        <v>26</v>
      </c>
      <c r="H72" t="s">
        <v>31</v>
      </c>
      <c r="I72">
        <v>50</v>
      </c>
      <c r="J72" t="s">
        <v>240</v>
      </c>
    </row>
    <row r="73" spans="1:10" x14ac:dyDescent="0.25">
      <c r="A73" t="s">
        <v>241</v>
      </c>
      <c r="B73" t="s">
        <v>242</v>
      </c>
      <c r="C73" t="s">
        <v>43</v>
      </c>
      <c r="D73" t="s">
        <v>104</v>
      </c>
      <c r="E73" s="11">
        <v>21</v>
      </c>
      <c r="F73" s="11">
        <v>45</v>
      </c>
      <c r="G73" t="s">
        <v>26</v>
      </c>
      <c r="H73" t="s">
        <v>31</v>
      </c>
      <c r="I73">
        <v>67</v>
      </c>
      <c r="J73" t="s">
        <v>243</v>
      </c>
    </row>
    <row r="74" spans="1:10" x14ac:dyDescent="0.25">
      <c r="A74" t="s">
        <v>244</v>
      </c>
      <c r="B74" t="s">
        <v>245</v>
      </c>
      <c r="C74" t="s">
        <v>19</v>
      </c>
      <c r="D74" t="s">
        <v>104</v>
      </c>
      <c r="E74" s="11">
        <v>5</v>
      </c>
      <c r="F74" s="11">
        <v>45</v>
      </c>
      <c r="G74" t="s">
        <v>26</v>
      </c>
      <c r="H74" t="s">
        <v>15</v>
      </c>
      <c r="I74">
        <v>36</v>
      </c>
      <c r="J74" t="s">
        <v>246</v>
      </c>
    </row>
    <row r="75" spans="1:10" x14ac:dyDescent="0.25">
      <c r="A75" t="s">
        <v>247</v>
      </c>
      <c r="B75" t="s">
        <v>248</v>
      </c>
      <c r="C75" t="s">
        <v>43</v>
      </c>
      <c r="D75" t="s">
        <v>104</v>
      </c>
      <c r="E75" s="11">
        <v>19</v>
      </c>
      <c r="F75" s="11">
        <v>60</v>
      </c>
      <c r="G75" t="s">
        <v>20</v>
      </c>
      <c r="H75" t="s">
        <v>31</v>
      </c>
      <c r="I75">
        <v>57</v>
      </c>
      <c r="J75" t="s">
        <v>249</v>
      </c>
    </row>
    <row r="76" spans="1:10" x14ac:dyDescent="0.25">
      <c r="A76" t="s">
        <v>250</v>
      </c>
      <c r="B76" t="s">
        <v>251</v>
      </c>
      <c r="C76" t="s">
        <v>12</v>
      </c>
      <c r="D76" t="s">
        <v>104</v>
      </c>
      <c r="E76" s="11">
        <v>17</v>
      </c>
      <c r="F76" s="11">
        <v>45</v>
      </c>
      <c r="G76" t="s">
        <v>26</v>
      </c>
      <c r="H76" t="s">
        <v>31</v>
      </c>
      <c r="I76">
        <v>86</v>
      </c>
      <c r="J76" t="s">
        <v>252</v>
      </c>
    </row>
    <row r="77" spans="1:10" x14ac:dyDescent="0.25">
      <c r="A77" t="s">
        <v>253</v>
      </c>
      <c r="B77" t="s">
        <v>254</v>
      </c>
      <c r="C77" t="s">
        <v>43</v>
      </c>
      <c r="D77" t="s">
        <v>114</v>
      </c>
      <c r="E77" s="11">
        <v>20</v>
      </c>
      <c r="F77" s="11">
        <v>15</v>
      </c>
      <c r="G77" t="s">
        <v>14</v>
      </c>
      <c r="H77" t="s">
        <v>31</v>
      </c>
      <c r="I77">
        <v>64</v>
      </c>
      <c r="J77" t="s">
        <v>255</v>
      </c>
    </row>
    <row r="78" spans="1:10" x14ac:dyDescent="0.25">
      <c r="A78" t="s">
        <v>256</v>
      </c>
      <c r="B78" t="s">
        <v>257</v>
      </c>
      <c r="C78" t="s">
        <v>24</v>
      </c>
      <c r="D78" t="s">
        <v>39</v>
      </c>
      <c r="E78" s="11">
        <v>8</v>
      </c>
      <c r="F78" s="11">
        <v>30</v>
      </c>
      <c r="G78" t="s">
        <v>14</v>
      </c>
      <c r="H78" t="s">
        <v>15</v>
      </c>
      <c r="I78">
        <v>68</v>
      </c>
      <c r="J78" t="s">
        <v>258</v>
      </c>
    </row>
    <row r="79" spans="1:10" x14ac:dyDescent="0.25">
      <c r="A79" t="s">
        <v>259</v>
      </c>
      <c r="B79" t="s">
        <v>260</v>
      </c>
      <c r="C79" t="s">
        <v>24</v>
      </c>
      <c r="D79" t="s">
        <v>54</v>
      </c>
      <c r="E79" s="11">
        <v>15</v>
      </c>
      <c r="F79" s="11">
        <v>60</v>
      </c>
      <c r="G79" t="s">
        <v>26</v>
      </c>
      <c r="H79" t="s">
        <v>31</v>
      </c>
      <c r="I79">
        <v>66</v>
      </c>
      <c r="J79" t="s">
        <v>261</v>
      </c>
    </row>
    <row r="80" spans="1:10" x14ac:dyDescent="0.25">
      <c r="A80" t="s">
        <v>262</v>
      </c>
      <c r="B80" t="s">
        <v>263</v>
      </c>
      <c r="C80" t="s">
        <v>19</v>
      </c>
      <c r="D80" t="s">
        <v>85</v>
      </c>
      <c r="E80" s="11">
        <v>13</v>
      </c>
      <c r="F80" s="11">
        <v>60</v>
      </c>
      <c r="G80" t="s">
        <v>26</v>
      </c>
      <c r="H80" t="s">
        <v>15</v>
      </c>
      <c r="I80">
        <v>88</v>
      </c>
      <c r="J80" t="s">
        <v>264</v>
      </c>
    </row>
    <row r="81" spans="1:10" x14ac:dyDescent="0.25">
      <c r="A81" t="s">
        <v>265</v>
      </c>
      <c r="B81" t="s">
        <v>266</v>
      </c>
      <c r="C81" t="s">
        <v>19</v>
      </c>
      <c r="D81" t="s">
        <v>13</v>
      </c>
      <c r="E81" s="11">
        <v>5</v>
      </c>
      <c r="F81" s="11">
        <v>45</v>
      </c>
      <c r="G81" t="s">
        <v>20</v>
      </c>
      <c r="H81" t="s">
        <v>31</v>
      </c>
      <c r="I81">
        <v>57</v>
      </c>
      <c r="J81" t="s">
        <v>267</v>
      </c>
    </row>
    <row r="82" spans="1:10" x14ac:dyDescent="0.25">
      <c r="A82" t="s">
        <v>268</v>
      </c>
      <c r="B82" t="s">
        <v>269</v>
      </c>
      <c r="C82" t="s">
        <v>24</v>
      </c>
      <c r="D82" t="s">
        <v>25</v>
      </c>
      <c r="E82" s="11">
        <v>10</v>
      </c>
      <c r="F82" s="11">
        <v>30</v>
      </c>
      <c r="G82" t="s">
        <v>20</v>
      </c>
      <c r="H82" t="s">
        <v>31</v>
      </c>
      <c r="I82">
        <v>79</v>
      </c>
      <c r="J82" t="s">
        <v>270</v>
      </c>
    </row>
    <row r="83" spans="1:10" x14ac:dyDescent="0.25">
      <c r="A83" t="s">
        <v>271</v>
      </c>
      <c r="B83" t="s">
        <v>272</v>
      </c>
      <c r="C83" t="s">
        <v>43</v>
      </c>
      <c r="D83" t="s">
        <v>30</v>
      </c>
      <c r="E83" s="11">
        <v>3</v>
      </c>
      <c r="F83" s="11">
        <v>45</v>
      </c>
      <c r="G83" t="s">
        <v>26</v>
      </c>
      <c r="H83" t="s">
        <v>31</v>
      </c>
      <c r="I83">
        <v>54</v>
      </c>
      <c r="J83" t="s">
        <v>273</v>
      </c>
    </row>
    <row r="84" spans="1:10" x14ac:dyDescent="0.25">
      <c r="A84" t="s">
        <v>274</v>
      </c>
      <c r="B84" t="s">
        <v>3257</v>
      </c>
      <c r="C84" t="s">
        <v>12</v>
      </c>
      <c r="D84" t="s">
        <v>35</v>
      </c>
      <c r="E84" s="11">
        <v>19</v>
      </c>
      <c r="F84" s="11">
        <v>30</v>
      </c>
      <c r="G84" t="s">
        <v>14</v>
      </c>
      <c r="H84" t="s">
        <v>31</v>
      </c>
      <c r="I84">
        <v>26</v>
      </c>
      <c r="J84" t="s">
        <v>275</v>
      </c>
    </row>
    <row r="85" spans="1:10" x14ac:dyDescent="0.25">
      <c r="A85" t="s">
        <v>276</v>
      </c>
      <c r="B85" t="s">
        <v>277</v>
      </c>
      <c r="C85" t="s">
        <v>24</v>
      </c>
      <c r="D85" t="s">
        <v>35</v>
      </c>
      <c r="E85" s="11">
        <v>17</v>
      </c>
      <c r="F85" s="11">
        <v>30</v>
      </c>
      <c r="G85" t="s">
        <v>20</v>
      </c>
      <c r="H85" t="s">
        <v>31</v>
      </c>
      <c r="I85">
        <v>81</v>
      </c>
      <c r="J85" t="s">
        <v>278</v>
      </c>
    </row>
    <row r="86" spans="1:10" x14ac:dyDescent="0.25">
      <c r="A86" t="s">
        <v>279</v>
      </c>
      <c r="B86" t="s">
        <v>280</v>
      </c>
      <c r="C86" t="s">
        <v>19</v>
      </c>
      <c r="D86" t="s">
        <v>25</v>
      </c>
      <c r="E86" s="11">
        <v>10</v>
      </c>
      <c r="F86" s="11">
        <v>45</v>
      </c>
      <c r="G86" t="s">
        <v>14</v>
      </c>
      <c r="H86" t="s">
        <v>31</v>
      </c>
      <c r="I86">
        <v>73</v>
      </c>
      <c r="J86" t="s">
        <v>281</v>
      </c>
    </row>
    <row r="87" spans="1:10" x14ac:dyDescent="0.25">
      <c r="A87" t="s">
        <v>282</v>
      </c>
      <c r="B87" t="s">
        <v>283</v>
      </c>
      <c r="C87" t="s">
        <v>24</v>
      </c>
      <c r="D87" t="s">
        <v>39</v>
      </c>
      <c r="E87" s="11">
        <v>8</v>
      </c>
      <c r="F87" s="11">
        <v>30</v>
      </c>
      <c r="G87" t="s">
        <v>20</v>
      </c>
      <c r="H87" t="s">
        <v>31</v>
      </c>
      <c r="I87">
        <v>86</v>
      </c>
      <c r="J87" t="s">
        <v>284</v>
      </c>
    </row>
    <row r="88" spans="1:10" x14ac:dyDescent="0.25">
      <c r="A88" t="s">
        <v>285</v>
      </c>
      <c r="B88" t="s">
        <v>286</v>
      </c>
      <c r="C88" t="s">
        <v>43</v>
      </c>
      <c r="D88" t="s">
        <v>30</v>
      </c>
      <c r="E88" s="11">
        <v>18</v>
      </c>
      <c r="F88" s="11">
        <v>60</v>
      </c>
      <c r="G88" t="s">
        <v>14</v>
      </c>
      <c r="H88" t="s">
        <v>31</v>
      </c>
      <c r="I88">
        <v>75</v>
      </c>
      <c r="J88" t="s">
        <v>287</v>
      </c>
    </row>
    <row r="89" spans="1:10" x14ac:dyDescent="0.25">
      <c r="A89" t="s">
        <v>288</v>
      </c>
      <c r="B89" t="s">
        <v>289</v>
      </c>
      <c r="C89" t="s">
        <v>43</v>
      </c>
      <c r="D89" t="s">
        <v>25</v>
      </c>
      <c r="E89" s="11">
        <v>7</v>
      </c>
      <c r="F89" s="11">
        <v>15</v>
      </c>
      <c r="G89" t="s">
        <v>26</v>
      </c>
      <c r="H89" t="s">
        <v>31</v>
      </c>
      <c r="I89">
        <v>67</v>
      </c>
      <c r="J89" t="s">
        <v>290</v>
      </c>
    </row>
    <row r="90" spans="1:10" x14ac:dyDescent="0.25">
      <c r="A90" t="s">
        <v>291</v>
      </c>
      <c r="B90" t="s">
        <v>292</v>
      </c>
      <c r="C90" t="s">
        <v>43</v>
      </c>
      <c r="D90" t="s">
        <v>35</v>
      </c>
      <c r="E90" s="11">
        <v>8</v>
      </c>
      <c r="F90" s="11">
        <v>30</v>
      </c>
      <c r="G90" t="s">
        <v>26</v>
      </c>
      <c r="H90" t="s">
        <v>31</v>
      </c>
      <c r="I90">
        <v>57</v>
      </c>
      <c r="J90" t="s">
        <v>293</v>
      </c>
    </row>
    <row r="91" spans="1:10" x14ac:dyDescent="0.25">
      <c r="A91" t="s">
        <v>294</v>
      </c>
      <c r="B91" t="s">
        <v>295</v>
      </c>
      <c r="C91" t="s">
        <v>24</v>
      </c>
      <c r="D91" t="s">
        <v>114</v>
      </c>
      <c r="E91" s="11">
        <v>3</v>
      </c>
      <c r="F91" s="11">
        <v>30</v>
      </c>
      <c r="G91" t="s">
        <v>20</v>
      </c>
      <c r="H91" t="s">
        <v>31</v>
      </c>
      <c r="I91">
        <v>59</v>
      </c>
      <c r="J91" t="s">
        <v>296</v>
      </c>
    </row>
    <row r="92" spans="1:10" x14ac:dyDescent="0.25">
      <c r="A92" t="s">
        <v>297</v>
      </c>
      <c r="B92" t="s">
        <v>298</v>
      </c>
      <c r="C92" t="s">
        <v>12</v>
      </c>
      <c r="D92" t="s">
        <v>54</v>
      </c>
      <c r="E92" s="11">
        <v>8</v>
      </c>
      <c r="F92" s="11">
        <v>30</v>
      </c>
      <c r="G92" t="s">
        <v>14</v>
      </c>
      <c r="H92" t="s">
        <v>31</v>
      </c>
      <c r="I92">
        <v>53</v>
      </c>
      <c r="J92" t="s">
        <v>299</v>
      </c>
    </row>
    <row r="93" spans="1:10" x14ac:dyDescent="0.25">
      <c r="A93" t="s">
        <v>300</v>
      </c>
      <c r="B93" t="s">
        <v>301</v>
      </c>
      <c r="C93" t="s">
        <v>12</v>
      </c>
      <c r="D93" t="s">
        <v>114</v>
      </c>
      <c r="E93" s="11">
        <v>4</v>
      </c>
      <c r="F93" s="11">
        <v>15</v>
      </c>
      <c r="G93" t="s">
        <v>14</v>
      </c>
      <c r="H93" t="s">
        <v>31</v>
      </c>
      <c r="I93">
        <v>70</v>
      </c>
      <c r="J93" t="s">
        <v>302</v>
      </c>
    </row>
    <row r="94" spans="1:10" x14ac:dyDescent="0.25">
      <c r="A94" t="s">
        <v>303</v>
      </c>
      <c r="B94" t="s">
        <v>304</v>
      </c>
      <c r="C94" t="s">
        <v>43</v>
      </c>
      <c r="D94" t="s">
        <v>114</v>
      </c>
      <c r="E94" s="11">
        <v>15</v>
      </c>
      <c r="F94" s="11">
        <v>15</v>
      </c>
      <c r="G94" t="s">
        <v>14</v>
      </c>
      <c r="H94" t="s">
        <v>31</v>
      </c>
      <c r="I94">
        <v>72</v>
      </c>
      <c r="J94" t="s">
        <v>305</v>
      </c>
    </row>
    <row r="95" spans="1:10" x14ac:dyDescent="0.25">
      <c r="A95" t="s">
        <v>306</v>
      </c>
      <c r="B95" t="s">
        <v>307</v>
      </c>
      <c r="C95" t="s">
        <v>12</v>
      </c>
      <c r="D95" t="s">
        <v>85</v>
      </c>
      <c r="E95" s="11">
        <v>4</v>
      </c>
      <c r="F95" s="11">
        <v>45</v>
      </c>
      <c r="G95" t="s">
        <v>14</v>
      </c>
      <c r="H95" t="s">
        <v>15</v>
      </c>
      <c r="I95">
        <v>76</v>
      </c>
      <c r="J95" t="s">
        <v>308</v>
      </c>
    </row>
    <row r="96" spans="1:10" x14ac:dyDescent="0.25">
      <c r="A96" t="s">
        <v>309</v>
      </c>
      <c r="B96" t="s">
        <v>310</v>
      </c>
      <c r="C96" t="s">
        <v>24</v>
      </c>
      <c r="D96" t="s">
        <v>30</v>
      </c>
      <c r="E96" s="11">
        <v>15</v>
      </c>
      <c r="F96" s="11">
        <v>45</v>
      </c>
      <c r="G96" t="s">
        <v>14</v>
      </c>
      <c r="H96" t="s">
        <v>31</v>
      </c>
      <c r="I96">
        <v>70</v>
      </c>
      <c r="J96" t="s">
        <v>311</v>
      </c>
    </row>
    <row r="97" spans="1:10" x14ac:dyDescent="0.25">
      <c r="A97" t="s">
        <v>312</v>
      </c>
      <c r="B97" t="s">
        <v>313</v>
      </c>
      <c r="C97" t="s">
        <v>43</v>
      </c>
      <c r="D97" t="s">
        <v>25</v>
      </c>
      <c r="E97" s="11">
        <v>6</v>
      </c>
      <c r="F97" s="11">
        <v>30</v>
      </c>
      <c r="G97" t="s">
        <v>14</v>
      </c>
      <c r="H97" t="s">
        <v>15</v>
      </c>
      <c r="I97">
        <v>62</v>
      </c>
      <c r="J97" t="s">
        <v>314</v>
      </c>
    </row>
    <row r="98" spans="1:10" x14ac:dyDescent="0.25">
      <c r="A98" t="s">
        <v>315</v>
      </c>
      <c r="B98" t="s">
        <v>316</v>
      </c>
      <c r="C98" t="s">
        <v>24</v>
      </c>
      <c r="D98" t="s">
        <v>13</v>
      </c>
      <c r="E98" s="11">
        <v>7</v>
      </c>
      <c r="F98" s="11">
        <v>45</v>
      </c>
      <c r="G98" t="s">
        <v>14</v>
      </c>
      <c r="H98" t="s">
        <v>31</v>
      </c>
      <c r="I98">
        <v>62</v>
      </c>
      <c r="J98" t="s">
        <v>317</v>
      </c>
    </row>
    <row r="99" spans="1:10" x14ac:dyDescent="0.25">
      <c r="A99" t="s">
        <v>318</v>
      </c>
      <c r="B99" t="s">
        <v>319</v>
      </c>
      <c r="C99" t="s">
        <v>12</v>
      </c>
      <c r="D99" t="s">
        <v>39</v>
      </c>
      <c r="E99" s="11">
        <v>7</v>
      </c>
      <c r="F99" s="11">
        <v>60</v>
      </c>
      <c r="G99" t="s">
        <v>20</v>
      </c>
      <c r="H99" t="s">
        <v>15</v>
      </c>
      <c r="I99">
        <v>53</v>
      </c>
      <c r="J99" t="s">
        <v>320</v>
      </c>
    </row>
    <row r="100" spans="1:10" x14ac:dyDescent="0.25">
      <c r="A100" t="s">
        <v>321</v>
      </c>
      <c r="B100" t="s">
        <v>322</v>
      </c>
      <c r="C100" t="s">
        <v>43</v>
      </c>
      <c r="D100" t="s">
        <v>39</v>
      </c>
      <c r="E100" s="11">
        <v>20</v>
      </c>
      <c r="F100" s="11">
        <v>30</v>
      </c>
      <c r="G100" t="s">
        <v>26</v>
      </c>
      <c r="H100" t="s">
        <v>31</v>
      </c>
      <c r="I100">
        <v>66</v>
      </c>
      <c r="J100" t="s">
        <v>323</v>
      </c>
    </row>
    <row r="101" spans="1:10" x14ac:dyDescent="0.25">
      <c r="A101" t="s">
        <v>324</v>
      </c>
      <c r="B101" t="s">
        <v>325</v>
      </c>
      <c r="C101" t="s">
        <v>43</v>
      </c>
      <c r="D101" t="s">
        <v>85</v>
      </c>
      <c r="E101" s="11">
        <v>9</v>
      </c>
      <c r="F101" s="11">
        <v>15</v>
      </c>
      <c r="G101" t="s">
        <v>20</v>
      </c>
      <c r="H101" t="s">
        <v>31</v>
      </c>
      <c r="I101">
        <v>38</v>
      </c>
      <c r="J101" t="s">
        <v>326</v>
      </c>
    </row>
    <row r="102" spans="1:10" x14ac:dyDescent="0.25">
      <c r="A102" t="s">
        <v>327</v>
      </c>
      <c r="B102" t="s">
        <v>328</v>
      </c>
      <c r="C102" t="s">
        <v>43</v>
      </c>
      <c r="D102" t="s">
        <v>13</v>
      </c>
      <c r="E102" s="11">
        <v>3</v>
      </c>
      <c r="F102" s="11">
        <v>15</v>
      </c>
      <c r="G102" t="s">
        <v>20</v>
      </c>
      <c r="H102" t="s">
        <v>31</v>
      </c>
      <c r="I102">
        <v>50</v>
      </c>
      <c r="J102" t="s">
        <v>329</v>
      </c>
    </row>
    <row r="103" spans="1:10" x14ac:dyDescent="0.25">
      <c r="A103" t="s">
        <v>330</v>
      </c>
      <c r="B103" t="s">
        <v>331</v>
      </c>
      <c r="C103" t="s">
        <v>19</v>
      </c>
      <c r="D103" t="s">
        <v>104</v>
      </c>
      <c r="E103" s="11">
        <v>9</v>
      </c>
      <c r="F103" s="11">
        <v>15</v>
      </c>
      <c r="G103" t="s">
        <v>26</v>
      </c>
      <c r="H103" t="s">
        <v>31</v>
      </c>
      <c r="I103">
        <v>27</v>
      </c>
      <c r="J103" t="s">
        <v>332</v>
      </c>
    </row>
    <row r="104" spans="1:10" x14ac:dyDescent="0.25">
      <c r="A104" t="s">
        <v>333</v>
      </c>
      <c r="B104" t="s">
        <v>334</v>
      </c>
      <c r="C104" t="s">
        <v>43</v>
      </c>
      <c r="D104" t="s">
        <v>25</v>
      </c>
      <c r="E104" s="11">
        <v>18</v>
      </c>
      <c r="F104" s="11">
        <v>60</v>
      </c>
      <c r="G104" t="s">
        <v>14</v>
      </c>
      <c r="H104" t="s">
        <v>31</v>
      </c>
      <c r="I104">
        <v>69</v>
      </c>
      <c r="J104" t="s">
        <v>335</v>
      </c>
    </row>
    <row r="105" spans="1:10" x14ac:dyDescent="0.25">
      <c r="A105" t="s">
        <v>336</v>
      </c>
      <c r="B105" t="s">
        <v>337</v>
      </c>
      <c r="C105" t="s">
        <v>19</v>
      </c>
      <c r="D105" t="s">
        <v>104</v>
      </c>
      <c r="E105" s="11">
        <v>17</v>
      </c>
      <c r="F105" s="11">
        <v>30</v>
      </c>
      <c r="G105" t="s">
        <v>20</v>
      </c>
      <c r="H105" t="s">
        <v>31</v>
      </c>
      <c r="I105">
        <v>76</v>
      </c>
      <c r="J105" t="s">
        <v>338</v>
      </c>
    </row>
    <row r="106" spans="1:10" x14ac:dyDescent="0.25">
      <c r="A106" t="s">
        <v>339</v>
      </c>
      <c r="B106" t="s">
        <v>340</v>
      </c>
      <c r="C106" t="s">
        <v>19</v>
      </c>
      <c r="D106" t="s">
        <v>39</v>
      </c>
      <c r="E106" s="11">
        <v>20</v>
      </c>
      <c r="F106" s="11">
        <v>15</v>
      </c>
      <c r="G106" t="s">
        <v>14</v>
      </c>
      <c r="H106" t="s">
        <v>15</v>
      </c>
      <c r="I106">
        <v>32</v>
      </c>
      <c r="J106" t="s">
        <v>341</v>
      </c>
    </row>
    <row r="107" spans="1:10" x14ac:dyDescent="0.25">
      <c r="A107" t="s">
        <v>342</v>
      </c>
      <c r="B107" t="s">
        <v>3258</v>
      </c>
      <c r="C107" t="s">
        <v>12</v>
      </c>
      <c r="D107" t="s">
        <v>13</v>
      </c>
      <c r="E107" s="11">
        <v>12</v>
      </c>
      <c r="F107" s="11">
        <v>15</v>
      </c>
      <c r="G107" t="s">
        <v>26</v>
      </c>
      <c r="H107" t="s">
        <v>31</v>
      </c>
      <c r="I107">
        <v>62</v>
      </c>
      <c r="J107" t="s">
        <v>343</v>
      </c>
    </row>
    <row r="108" spans="1:10" x14ac:dyDescent="0.25">
      <c r="A108" t="s">
        <v>344</v>
      </c>
      <c r="B108" t="s">
        <v>3259</v>
      </c>
      <c r="C108" t="s">
        <v>19</v>
      </c>
      <c r="D108" t="s">
        <v>114</v>
      </c>
      <c r="E108" s="11">
        <v>3</v>
      </c>
      <c r="F108" s="11">
        <v>15</v>
      </c>
      <c r="G108" t="s">
        <v>26</v>
      </c>
      <c r="H108" t="s">
        <v>31</v>
      </c>
      <c r="I108">
        <v>50</v>
      </c>
      <c r="J108" t="s">
        <v>345</v>
      </c>
    </row>
    <row r="109" spans="1:10" x14ac:dyDescent="0.25">
      <c r="A109" t="s">
        <v>346</v>
      </c>
      <c r="B109" t="s">
        <v>347</v>
      </c>
      <c r="C109" t="s">
        <v>12</v>
      </c>
      <c r="D109" t="s">
        <v>85</v>
      </c>
      <c r="E109" s="11">
        <v>20</v>
      </c>
      <c r="F109" s="11">
        <v>45</v>
      </c>
      <c r="G109" t="s">
        <v>20</v>
      </c>
      <c r="H109" t="s">
        <v>31</v>
      </c>
      <c r="I109">
        <v>75</v>
      </c>
      <c r="J109" t="s">
        <v>348</v>
      </c>
    </row>
    <row r="110" spans="1:10" x14ac:dyDescent="0.25">
      <c r="A110" t="s">
        <v>349</v>
      </c>
      <c r="B110" t="s">
        <v>350</v>
      </c>
      <c r="C110" t="s">
        <v>12</v>
      </c>
      <c r="D110" t="s">
        <v>13</v>
      </c>
      <c r="E110" s="11">
        <v>18</v>
      </c>
      <c r="F110" s="11">
        <v>15</v>
      </c>
      <c r="G110" t="s">
        <v>14</v>
      </c>
      <c r="H110" t="s">
        <v>31</v>
      </c>
      <c r="I110">
        <v>56</v>
      </c>
      <c r="J110" t="s">
        <v>351</v>
      </c>
    </row>
    <row r="111" spans="1:10" x14ac:dyDescent="0.25">
      <c r="A111" t="s">
        <v>352</v>
      </c>
      <c r="B111" t="s">
        <v>353</v>
      </c>
      <c r="C111" t="s">
        <v>24</v>
      </c>
      <c r="D111" t="s">
        <v>114</v>
      </c>
      <c r="E111" s="11">
        <v>6</v>
      </c>
      <c r="F111" s="11">
        <v>45</v>
      </c>
      <c r="G111" t="s">
        <v>26</v>
      </c>
      <c r="H111" t="s">
        <v>31</v>
      </c>
      <c r="I111">
        <v>77</v>
      </c>
      <c r="J111" t="s">
        <v>354</v>
      </c>
    </row>
    <row r="112" spans="1:10" x14ac:dyDescent="0.25">
      <c r="A112" t="s">
        <v>355</v>
      </c>
      <c r="B112" t="s">
        <v>356</v>
      </c>
      <c r="C112" t="s">
        <v>43</v>
      </c>
      <c r="D112" t="s">
        <v>47</v>
      </c>
      <c r="E112" s="11">
        <v>11</v>
      </c>
      <c r="F112" s="11">
        <v>30</v>
      </c>
      <c r="G112" t="s">
        <v>14</v>
      </c>
      <c r="H112" t="s">
        <v>31</v>
      </c>
      <c r="I112">
        <v>74</v>
      </c>
      <c r="J112" t="s">
        <v>357</v>
      </c>
    </row>
    <row r="113" spans="1:10" x14ac:dyDescent="0.25">
      <c r="A113" t="s">
        <v>358</v>
      </c>
      <c r="B113" t="s">
        <v>359</v>
      </c>
      <c r="C113" t="s">
        <v>24</v>
      </c>
      <c r="D113" t="s">
        <v>54</v>
      </c>
      <c r="E113" s="11">
        <v>12</v>
      </c>
      <c r="F113" s="11">
        <v>60</v>
      </c>
      <c r="G113" t="s">
        <v>26</v>
      </c>
      <c r="H113" t="s">
        <v>31</v>
      </c>
      <c r="I113">
        <v>53</v>
      </c>
      <c r="J113" t="s">
        <v>360</v>
      </c>
    </row>
    <row r="114" spans="1:10" x14ac:dyDescent="0.25">
      <c r="A114" t="s">
        <v>361</v>
      </c>
      <c r="B114" t="s">
        <v>362</v>
      </c>
      <c r="C114" t="s">
        <v>12</v>
      </c>
      <c r="D114" t="s">
        <v>54</v>
      </c>
      <c r="E114" s="11">
        <v>12</v>
      </c>
      <c r="F114" s="11">
        <v>30</v>
      </c>
      <c r="G114" t="s">
        <v>26</v>
      </c>
      <c r="H114" t="s">
        <v>31</v>
      </c>
      <c r="I114">
        <v>68</v>
      </c>
      <c r="J114" t="s">
        <v>363</v>
      </c>
    </row>
    <row r="115" spans="1:10" x14ac:dyDescent="0.25">
      <c r="A115" t="s">
        <v>364</v>
      </c>
      <c r="B115" t="s">
        <v>365</v>
      </c>
      <c r="C115" t="s">
        <v>43</v>
      </c>
      <c r="D115" t="s">
        <v>47</v>
      </c>
      <c r="E115" s="11">
        <v>7</v>
      </c>
      <c r="F115" s="11">
        <v>15</v>
      </c>
      <c r="G115" t="s">
        <v>26</v>
      </c>
      <c r="H115" t="s">
        <v>15</v>
      </c>
      <c r="I115">
        <v>68</v>
      </c>
      <c r="J115" t="s">
        <v>366</v>
      </c>
    </row>
    <row r="116" spans="1:10" x14ac:dyDescent="0.25">
      <c r="A116" t="s">
        <v>367</v>
      </c>
      <c r="B116" t="s">
        <v>368</v>
      </c>
      <c r="C116" t="s">
        <v>19</v>
      </c>
      <c r="D116" t="s">
        <v>54</v>
      </c>
      <c r="E116" s="11">
        <v>14</v>
      </c>
      <c r="F116" s="11">
        <v>60</v>
      </c>
      <c r="G116" t="s">
        <v>20</v>
      </c>
      <c r="H116" t="s">
        <v>31</v>
      </c>
      <c r="I116">
        <v>58</v>
      </c>
      <c r="J116" t="s">
        <v>369</v>
      </c>
    </row>
    <row r="117" spans="1:10" x14ac:dyDescent="0.25">
      <c r="A117" t="s">
        <v>370</v>
      </c>
      <c r="B117" t="s">
        <v>371</v>
      </c>
      <c r="C117" t="s">
        <v>43</v>
      </c>
      <c r="D117" t="s">
        <v>13</v>
      </c>
      <c r="E117" s="11">
        <v>14</v>
      </c>
      <c r="F117" s="11">
        <v>60</v>
      </c>
      <c r="G117" t="s">
        <v>14</v>
      </c>
      <c r="H117" t="s">
        <v>31</v>
      </c>
      <c r="I117">
        <v>57</v>
      </c>
      <c r="J117" t="s">
        <v>372</v>
      </c>
    </row>
    <row r="118" spans="1:10" x14ac:dyDescent="0.25">
      <c r="A118" t="s">
        <v>373</v>
      </c>
      <c r="B118" t="s">
        <v>374</v>
      </c>
      <c r="C118" t="s">
        <v>24</v>
      </c>
      <c r="D118" t="s">
        <v>35</v>
      </c>
      <c r="E118" s="11">
        <v>8</v>
      </c>
      <c r="F118" s="11">
        <v>60</v>
      </c>
      <c r="G118" t="s">
        <v>20</v>
      </c>
      <c r="H118" t="s">
        <v>31</v>
      </c>
      <c r="I118">
        <v>47</v>
      </c>
      <c r="J118" t="s">
        <v>375</v>
      </c>
    </row>
    <row r="119" spans="1:10" x14ac:dyDescent="0.25">
      <c r="A119" t="s">
        <v>376</v>
      </c>
      <c r="B119" t="s">
        <v>377</v>
      </c>
      <c r="C119" t="s">
        <v>12</v>
      </c>
      <c r="D119" t="s">
        <v>47</v>
      </c>
      <c r="E119" s="11">
        <v>18</v>
      </c>
      <c r="F119" s="11">
        <v>15</v>
      </c>
      <c r="G119" t="s">
        <v>26</v>
      </c>
      <c r="H119" t="s">
        <v>31</v>
      </c>
      <c r="I119">
        <v>18</v>
      </c>
      <c r="J119" t="s">
        <v>378</v>
      </c>
    </row>
    <row r="120" spans="1:10" x14ac:dyDescent="0.25">
      <c r="A120" t="s">
        <v>379</v>
      </c>
      <c r="B120" t="s">
        <v>380</v>
      </c>
      <c r="C120" t="s">
        <v>24</v>
      </c>
      <c r="D120" t="s">
        <v>25</v>
      </c>
      <c r="E120" s="11">
        <v>20</v>
      </c>
      <c r="F120" s="11">
        <v>15</v>
      </c>
      <c r="G120" t="s">
        <v>26</v>
      </c>
      <c r="H120" t="s">
        <v>31</v>
      </c>
      <c r="I120">
        <v>67</v>
      </c>
      <c r="J120" t="s">
        <v>381</v>
      </c>
    </row>
    <row r="121" spans="1:10" x14ac:dyDescent="0.25">
      <c r="A121" t="s">
        <v>382</v>
      </c>
      <c r="B121" t="s">
        <v>383</v>
      </c>
      <c r="C121" t="s">
        <v>24</v>
      </c>
      <c r="D121" t="s">
        <v>54</v>
      </c>
      <c r="E121" s="11">
        <v>4</v>
      </c>
      <c r="F121" s="11">
        <v>45</v>
      </c>
      <c r="G121" t="s">
        <v>20</v>
      </c>
      <c r="H121" t="s">
        <v>31</v>
      </c>
      <c r="I121">
        <v>66</v>
      </c>
      <c r="J121" t="s">
        <v>384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0959-9E15-435E-93C1-D05D8B2DACDD}">
  <sheetPr>
    <tabColor theme="9" tint="0.39997558519241921"/>
  </sheetPr>
  <dimension ref="A1:M181"/>
  <sheetViews>
    <sheetView workbookViewId="0">
      <selection activeCell="C1" sqref="C1"/>
    </sheetView>
  </sheetViews>
  <sheetFormatPr defaultRowHeight="15" x14ac:dyDescent="0.25"/>
  <cols>
    <col min="1" max="1" width="12.85546875" bestFit="1" customWidth="1"/>
    <col min="2" max="2" width="8" bestFit="1" customWidth="1"/>
    <col min="3" max="3" width="24.5703125" bestFit="1" customWidth="1"/>
    <col min="4" max="4" width="16.28515625" bestFit="1" customWidth="1"/>
    <col min="5" max="5" width="7.42578125" bestFit="1" customWidth="1"/>
    <col min="6" max="6" width="21.42578125" bestFit="1" customWidth="1"/>
    <col min="7" max="7" width="22.140625" bestFit="1" customWidth="1"/>
    <col min="8" max="8" width="22.42578125" bestFit="1" customWidth="1"/>
    <col min="9" max="9" width="16.85546875" bestFit="1" customWidth="1"/>
    <col min="10" max="10" width="15.7109375" bestFit="1" customWidth="1"/>
    <col min="11" max="11" width="16.5703125" bestFit="1" customWidth="1"/>
    <col min="12" max="12" width="15.85546875" bestFit="1" customWidth="1"/>
    <col min="13" max="13" width="12.85546875" bestFit="1" customWidth="1"/>
  </cols>
  <sheetData>
    <row r="1" spans="1:13" x14ac:dyDescent="0.25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7</v>
      </c>
    </row>
    <row r="2" spans="1:13" x14ac:dyDescent="0.25">
      <c r="A2" t="s">
        <v>397</v>
      </c>
      <c r="B2" t="s">
        <v>398</v>
      </c>
      <c r="C2" t="s">
        <v>399</v>
      </c>
      <c r="D2" t="s">
        <v>400</v>
      </c>
      <c r="E2" t="s">
        <v>3260</v>
      </c>
      <c r="F2" t="s">
        <v>128</v>
      </c>
      <c r="G2" s="11">
        <v>4</v>
      </c>
      <c r="H2" s="11">
        <v>8</v>
      </c>
      <c r="I2" s="11">
        <v>45</v>
      </c>
      <c r="J2" s="14">
        <v>13.36</v>
      </c>
      <c r="K2" s="14">
        <v>20.72</v>
      </c>
      <c r="L2" t="s">
        <v>15</v>
      </c>
      <c r="M2" t="s">
        <v>31</v>
      </c>
    </row>
    <row r="3" spans="1:13" x14ac:dyDescent="0.25">
      <c r="A3" t="s">
        <v>401</v>
      </c>
      <c r="B3" t="s">
        <v>402</v>
      </c>
      <c r="C3" t="s">
        <v>403</v>
      </c>
      <c r="D3" t="s">
        <v>404</v>
      </c>
      <c r="E3" t="s">
        <v>3261</v>
      </c>
      <c r="F3" t="s">
        <v>59</v>
      </c>
      <c r="G3" s="11">
        <v>2</v>
      </c>
      <c r="H3" s="11">
        <v>8</v>
      </c>
      <c r="I3" s="11">
        <v>120</v>
      </c>
      <c r="J3" s="14">
        <v>5.85</v>
      </c>
      <c r="K3" s="14">
        <v>14.27</v>
      </c>
      <c r="L3" t="s">
        <v>31</v>
      </c>
      <c r="M3" t="s">
        <v>31</v>
      </c>
    </row>
    <row r="4" spans="1:13" x14ac:dyDescent="0.25">
      <c r="A4" t="s">
        <v>405</v>
      </c>
      <c r="B4" t="s">
        <v>406</v>
      </c>
      <c r="C4" t="s">
        <v>407</v>
      </c>
      <c r="D4" t="s">
        <v>408</v>
      </c>
      <c r="E4" t="s">
        <v>3262</v>
      </c>
      <c r="F4" t="s">
        <v>68</v>
      </c>
      <c r="G4" s="11">
        <v>1</v>
      </c>
      <c r="H4" s="11">
        <v>6</v>
      </c>
      <c r="I4" s="11">
        <v>45</v>
      </c>
      <c r="J4" s="14">
        <v>15.41</v>
      </c>
      <c r="K4" s="14">
        <v>31.16</v>
      </c>
      <c r="L4" t="s">
        <v>31</v>
      </c>
      <c r="M4" t="s">
        <v>31</v>
      </c>
    </row>
    <row r="5" spans="1:13" x14ac:dyDescent="0.25">
      <c r="A5" t="s">
        <v>409</v>
      </c>
      <c r="B5" t="s">
        <v>410</v>
      </c>
      <c r="C5" t="s">
        <v>411</v>
      </c>
      <c r="D5" t="s">
        <v>412</v>
      </c>
      <c r="E5" t="s">
        <v>3263</v>
      </c>
      <c r="F5" t="s">
        <v>134</v>
      </c>
      <c r="G5" s="11">
        <v>0</v>
      </c>
      <c r="H5" s="11">
        <v>5</v>
      </c>
      <c r="I5" s="11">
        <v>60</v>
      </c>
      <c r="J5" s="14">
        <v>4.96</v>
      </c>
      <c r="K5" s="14">
        <v>7.2</v>
      </c>
      <c r="L5" t="s">
        <v>15</v>
      </c>
      <c r="M5" t="s">
        <v>31</v>
      </c>
    </row>
    <row r="6" spans="1:13" x14ac:dyDescent="0.25">
      <c r="A6" t="s">
        <v>413</v>
      </c>
      <c r="B6" t="s">
        <v>414</v>
      </c>
      <c r="C6" t="s">
        <v>415</v>
      </c>
      <c r="D6" t="s">
        <v>416</v>
      </c>
      <c r="E6" t="s">
        <v>3261</v>
      </c>
      <c r="F6" t="s">
        <v>288</v>
      </c>
      <c r="G6" s="11">
        <v>-2</v>
      </c>
      <c r="H6" s="11">
        <v>4</v>
      </c>
      <c r="I6" s="11">
        <v>90</v>
      </c>
      <c r="J6" s="14">
        <v>2.0499999999999998</v>
      </c>
      <c r="K6" s="14">
        <v>2.79</v>
      </c>
      <c r="L6" t="s">
        <v>15</v>
      </c>
      <c r="M6" t="s">
        <v>31</v>
      </c>
    </row>
    <row r="7" spans="1:13" x14ac:dyDescent="0.25">
      <c r="A7" t="s">
        <v>417</v>
      </c>
      <c r="B7" t="s">
        <v>418</v>
      </c>
      <c r="C7" t="s">
        <v>419</v>
      </c>
      <c r="D7" t="s">
        <v>412</v>
      </c>
      <c r="E7" t="s">
        <v>3263</v>
      </c>
      <c r="F7" t="s">
        <v>294</v>
      </c>
      <c r="G7" s="11">
        <v>0</v>
      </c>
      <c r="H7" s="11">
        <v>5</v>
      </c>
      <c r="I7" s="11">
        <v>30</v>
      </c>
      <c r="J7" s="14">
        <v>8.14</v>
      </c>
      <c r="K7" s="14">
        <v>10.99</v>
      </c>
      <c r="L7" t="s">
        <v>15</v>
      </c>
      <c r="M7" t="s">
        <v>31</v>
      </c>
    </row>
    <row r="8" spans="1:13" x14ac:dyDescent="0.25">
      <c r="A8" t="s">
        <v>420</v>
      </c>
      <c r="B8" t="s">
        <v>421</v>
      </c>
      <c r="C8" t="s">
        <v>422</v>
      </c>
      <c r="D8" t="s">
        <v>408</v>
      </c>
      <c r="E8" t="s">
        <v>3262</v>
      </c>
      <c r="F8" t="s">
        <v>276</v>
      </c>
      <c r="G8" s="11">
        <v>1</v>
      </c>
      <c r="H8" s="11">
        <v>6</v>
      </c>
      <c r="I8" s="11">
        <v>45</v>
      </c>
      <c r="J8" s="14">
        <v>12.87</v>
      </c>
      <c r="K8" s="14">
        <v>25.48</v>
      </c>
      <c r="L8" t="s">
        <v>31</v>
      </c>
      <c r="M8" t="s">
        <v>31</v>
      </c>
    </row>
    <row r="9" spans="1:13" x14ac:dyDescent="0.25">
      <c r="A9" t="s">
        <v>423</v>
      </c>
      <c r="B9" t="s">
        <v>424</v>
      </c>
      <c r="C9" t="s">
        <v>425</v>
      </c>
      <c r="D9" t="s">
        <v>426</v>
      </c>
      <c r="E9" t="s">
        <v>3261</v>
      </c>
      <c r="F9" t="s">
        <v>22</v>
      </c>
      <c r="G9" s="11">
        <v>2</v>
      </c>
      <c r="H9" s="11">
        <v>6</v>
      </c>
      <c r="I9" s="11">
        <v>14</v>
      </c>
      <c r="J9" s="14">
        <v>15.41</v>
      </c>
      <c r="K9" s="14">
        <v>21.55</v>
      </c>
      <c r="L9" t="s">
        <v>31</v>
      </c>
      <c r="M9" t="s">
        <v>31</v>
      </c>
    </row>
    <row r="10" spans="1:13" x14ac:dyDescent="0.25">
      <c r="A10" t="s">
        <v>427</v>
      </c>
      <c r="B10" t="s">
        <v>428</v>
      </c>
      <c r="C10" t="s">
        <v>429</v>
      </c>
      <c r="D10" t="s">
        <v>416</v>
      </c>
      <c r="E10" t="s">
        <v>3261</v>
      </c>
      <c r="F10" t="s">
        <v>93</v>
      </c>
      <c r="G10" s="11">
        <v>-2</v>
      </c>
      <c r="H10" s="11">
        <v>4</v>
      </c>
      <c r="I10" s="11">
        <v>10</v>
      </c>
      <c r="J10" s="14">
        <v>3.74</v>
      </c>
      <c r="K10" s="14">
        <v>8.6300000000000008</v>
      </c>
      <c r="L10" t="s">
        <v>31</v>
      </c>
      <c r="M10" t="s">
        <v>31</v>
      </c>
    </row>
    <row r="11" spans="1:13" x14ac:dyDescent="0.25">
      <c r="A11" t="s">
        <v>430</v>
      </c>
      <c r="B11" t="s">
        <v>431</v>
      </c>
      <c r="C11" t="s">
        <v>432</v>
      </c>
      <c r="D11" t="s">
        <v>412</v>
      </c>
      <c r="E11" t="s">
        <v>3263</v>
      </c>
      <c r="F11" t="s">
        <v>312</v>
      </c>
      <c r="G11" s="11">
        <v>0</v>
      </c>
      <c r="H11" s="11">
        <v>5</v>
      </c>
      <c r="I11" s="11">
        <v>60</v>
      </c>
      <c r="J11" s="14">
        <v>4.91</v>
      </c>
      <c r="K11" s="14">
        <v>6.85</v>
      </c>
      <c r="L11" t="s">
        <v>31</v>
      </c>
      <c r="M11" t="s">
        <v>31</v>
      </c>
    </row>
    <row r="12" spans="1:13" x14ac:dyDescent="0.25">
      <c r="A12" t="s">
        <v>433</v>
      </c>
      <c r="B12" t="s">
        <v>434</v>
      </c>
      <c r="C12" t="s">
        <v>435</v>
      </c>
      <c r="D12" t="s">
        <v>436</v>
      </c>
      <c r="E12" t="s">
        <v>3264</v>
      </c>
      <c r="F12" t="s">
        <v>271</v>
      </c>
      <c r="G12" s="11">
        <v>2</v>
      </c>
      <c r="H12" s="11">
        <v>8</v>
      </c>
      <c r="I12" s="11">
        <v>7</v>
      </c>
      <c r="J12" s="14">
        <v>4.0599999999999996</v>
      </c>
      <c r="K12" s="14">
        <v>6.59</v>
      </c>
      <c r="L12" t="s">
        <v>15</v>
      </c>
      <c r="M12" t="s">
        <v>31</v>
      </c>
    </row>
    <row r="13" spans="1:13" x14ac:dyDescent="0.25">
      <c r="A13" t="s">
        <v>437</v>
      </c>
      <c r="B13" t="s">
        <v>438</v>
      </c>
      <c r="C13" t="s">
        <v>439</v>
      </c>
      <c r="D13" t="s">
        <v>426</v>
      </c>
      <c r="E13" t="s">
        <v>3261</v>
      </c>
      <c r="F13" t="s">
        <v>65</v>
      </c>
      <c r="G13" s="11">
        <v>2</v>
      </c>
      <c r="H13" s="11">
        <v>6</v>
      </c>
      <c r="I13" s="11">
        <v>21</v>
      </c>
      <c r="J13" s="14">
        <v>3.14</v>
      </c>
      <c r="K13" s="14">
        <v>4.7</v>
      </c>
      <c r="L13" t="s">
        <v>31</v>
      </c>
      <c r="M13" t="s">
        <v>31</v>
      </c>
    </row>
    <row r="14" spans="1:13" x14ac:dyDescent="0.25">
      <c r="A14" t="s">
        <v>440</v>
      </c>
      <c r="B14" t="s">
        <v>441</v>
      </c>
      <c r="C14" t="s">
        <v>442</v>
      </c>
      <c r="D14" t="s">
        <v>408</v>
      </c>
      <c r="E14" t="s">
        <v>3262</v>
      </c>
      <c r="F14" t="s">
        <v>131</v>
      </c>
      <c r="G14" s="11">
        <v>1</v>
      </c>
      <c r="H14" s="11">
        <v>6</v>
      </c>
      <c r="I14" s="11">
        <v>10</v>
      </c>
      <c r="J14" s="14">
        <v>6.07</v>
      </c>
      <c r="K14" s="14">
        <v>8.77</v>
      </c>
      <c r="L14" t="s">
        <v>31</v>
      </c>
      <c r="M14" t="s">
        <v>15</v>
      </c>
    </row>
    <row r="15" spans="1:13" x14ac:dyDescent="0.25">
      <c r="A15" t="s">
        <v>443</v>
      </c>
      <c r="B15" t="s">
        <v>444</v>
      </c>
      <c r="C15" t="s">
        <v>445</v>
      </c>
      <c r="D15" t="s">
        <v>416</v>
      </c>
      <c r="E15" t="s">
        <v>3261</v>
      </c>
      <c r="F15" t="s">
        <v>109</v>
      </c>
      <c r="G15" s="11">
        <v>-2</v>
      </c>
      <c r="H15" s="11">
        <v>4</v>
      </c>
      <c r="I15" s="11">
        <v>60</v>
      </c>
      <c r="J15" s="14">
        <v>6.81</v>
      </c>
      <c r="K15" s="14">
        <v>11.03</v>
      </c>
      <c r="L15" t="s">
        <v>31</v>
      </c>
      <c r="M15" t="s">
        <v>31</v>
      </c>
    </row>
    <row r="16" spans="1:13" x14ac:dyDescent="0.25">
      <c r="A16" t="s">
        <v>446</v>
      </c>
      <c r="B16" t="s">
        <v>447</v>
      </c>
      <c r="C16" t="s">
        <v>448</v>
      </c>
      <c r="D16" t="s">
        <v>408</v>
      </c>
      <c r="E16" t="s">
        <v>3262</v>
      </c>
      <c r="F16" t="s">
        <v>315</v>
      </c>
      <c r="G16" s="11">
        <v>1</v>
      </c>
      <c r="H16" s="11">
        <v>6</v>
      </c>
      <c r="I16" s="11">
        <v>10</v>
      </c>
      <c r="J16" s="14">
        <v>4.1900000000000004</v>
      </c>
      <c r="K16" s="14">
        <v>8.0500000000000007</v>
      </c>
      <c r="L16" t="s">
        <v>31</v>
      </c>
      <c r="M16" t="s">
        <v>31</v>
      </c>
    </row>
    <row r="17" spans="1:13" x14ac:dyDescent="0.25">
      <c r="A17" t="s">
        <v>449</v>
      </c>
      <c r="B17" t="s">
        <v>450</v>
      </c>
      <c r="C17" t="s">
        <v>451</v>
      </c>
      <c r="D17" t="s">
        <v>400</v>
      </c>
      <c r="E17" t="s">
        <v>3260</v>
      </c>
      <c r="F17" t="s">
        <v>137</v>
      </c>
      <c r="G17" s="11">
        <v>4</v>
      </c>
      <c r="H17" s="11">
        <v>8</v>
      </c>
      <c r="I17" s="11">
        <v>45</v>
      </c>
      <c r="J17" s="14">
        <v>15.08</v>
      </c>
      <c r="K17" s="14">
        <v>27.55</v>
      </c>
      <c r="L17" t="s">
        <v>31</v>
      </c>
      <c r="M17" t="s">
        <v>31</v>
      </c>
    </row>
    <row r="18" spans="1:13" x14ac:dyDescent="0.25">
      <c r="A18" t="s">
        <v>452</v>
      </c>
      <c r="B18" t="s">
        <v>453</v>
      </c>
      <c r="C18" t="s">
        <v>454</v>
      </c>
      <c r="D18" t="s">
        <v>455</v>
      </c>
      <c r="E18" t="s">
        <v>3265</v>
      </c>
      <c r="F18" t="s">
        <v>52</v>
      </c>
      <c r="G18" s="11">
        <v>1</v>
      </c>
      <c r="H18" s="11">
        <v>6</v>
      </c>
      <c r="I18" s="11">
        <v>7</v>
      </c>
      <c r="J18" s="14">
        <v>12.39</v>
      </c>
      <c r="K18" s="14">
        <v>29.84</v>
      </c>
      <c r="L18" t="s">
        <v>31</v>
      </c>
      <c r="M18" t="s">
        <v>31</v>
      </c>
    </row>
    <row r="19" spans="1:13" x14ac:dyDescent="0.25">
      <c r="A19" t="s">
        <v>456</v>
      </c>
      <c r="B19" t="s">
        <v>457</v>
      </c>
      <c r="C19" t="s">
        <v>458</v>
      </c>
      <c r="D19" t="s">
        <v>459</v>
      </c>
      <c r="E19" t="s">
        <v>3266</v>
      </c>
      <c r="F19" t="s">
        <v>167</v>
      </c>
      <c r="G19" s="11">
        <v>0</v>
      </c>
      <c r="H19" s="11">
        <v>4</v>
      </c>
      <c r="I19" s="11">
        <v>30</v>
      </c>
      <c r="J19" s="14">
        <v>11.69</v>
      </c>
      <c r="K19" s="14">
        <v>16.3</v>
      </c>
      <c r="L19" t="s">
        <v>31</v>
      </c>
      <c r="M19" t="s">
        <v>31</v>
      </c>
    </row>
    <row r="20" spans="1:13" x14ac:dyDescent="0.25">
      <c r="A20" t="s">
        <v>460</v>
      </c>
      <c r="B20" t="s">
        <v>461</v>
      </c>
      <c r="C20" t="s">
        <v>462</v>
      </c>
      <c r="D20" t="s">
        <v>436</v>
      </c>
      <c r="E20" t="s">
        <v>3264</v>
      </c>
      <c r="F20" t="s">
        <v>274</v>
      </c>
      <c r="G20" s="11">
        <v>2</v>
      </c>
      <c r="H20" s="11">
        <v>8</v>
      </c>
      <c r="I20" s="11">
        <v>10</v>
      </c>
      <c r="J20" s="14">
        <v>9.6199999999999992</v>
      </c>
      <c r="K20" s="14">
        <v>21.66</v>
      </c>
      <c r="L20" t="s">
        <v>31</v>
      </c>
      <c r="M20" t="s">
        <v>31</v>
      </c>
    </row>
    <row r="21" spans="1:13" x14ac:dyDescent="0.25">
      <c r="A21" t="s">
        <v>463</v>
      </c>
      <c r="B21" t="s">
        <v>464</v>
      </c>
      <c r="C21" t="s">
        <v>465</v>
      </c>
      <c r="D21" t="s">
        <v>416</v>
      </c>
      <c r="E21" t="s">
        <v>3261</v>
      </c>
      <c r="F21" t="s">
        <v>315</v>
      </c>
      <c r="G21" s="11">
        <v>-2</v>
      </c>
      <c r="H21" s="11">
        <v>4</v>
      </c>
      <c r="I21" s="11">
        <v>14</v>
      </c>
      <c r="J21" s="14">
        <v>8.31</v>
      </c>
      <c r="K21" s="14">
        <v>18.41</v>
      </c>
      <c r="L21" t="s">
        <v>31</v>
      </c>
      <c r="M21" t="s">
        <v>31</v>
      </c>
    </row>
    <row r="22" spans="1:13" x14ac:dyDescent="0.25">
      <c r="A22" t="s">
        <v>466</v>
      </c>
      <c r="B22" t="s">
        <v>467</v>
      </c>
      <c r="C22" t="s">
        <v>468</v>
      </c>
      <c r="D22" t="s">
        <v>426</v>
      </c>
      <c r="E22" t="s">
        <v>3261</v>
      </c>
      <c r="F22" t="s">
        <v>226</v>
      </c>
      <c r="G22" s="11">
        <v>2</v>
      </c>
      <c r="H22" s="11">
        <v>6</v>
      </c>
      <c r="I22" s="11">
        <v>90</v>
      </c>
      <c r="J22" s="14">
        <v>7.78</v>
      </c>
      <c r="K22" s="14">
        <v>12.78</v>
      </c>
      <c r="L22" t="s">
        <v>31</v>
      </c>
      <c r="M22" t="s">
        <v>31</v>
      </c>
    </row>
    <row r="23" spans="1:13" x14ac:dyDescent="0.25">
      <c r="A23" t="s">
        <v>469</v>
      </c>
      <c r="B23" t="s">
        <v>470</v>
      </c>
      <c r="C23" t="s">
        <v>471</v>
      </c>
      <c r="D23" t="s">
        <v>426</v>
      </c>
      <c r="E23" t="s">
        <v>3261</v>
      </c>
      <c r="F23" t="s">
        <v>247</v>
      </c>
      <c r="G23" s="11">
        <v>2</v>
      </c>
      <c r="H23" s="11">
        <v>6</v>
      </c>
      <c r="I23" s="11">
        <v>90</v>
      </c>
      <c r="J23" s="14">
        <v>1.94</v>
      </c>
      <c r="K23" s="14">
        <v>4.09</v>
      </c>
      <c r="L23" t="s">
        <v>31</v>
      </c>
      <c r="M23" t="s">
        <v>15</v>
      </c>
    </row>
    <row r="24" spans="1:13" x14ac:dyDescent="0.25">
      <c r="A24" t="s">
        <v>472</v>
      </c>
      <c r="B24" t="s">
        <v>473</v>
      </c>
      <c r="C24" t="s">
        <v>474</v>
      </c>
      <c r="D24" t="s">
        <v>400</v>
      </c>
      <c r="E24" t="s">
        <v>3260</v>
      </c>
      <c r="F24" t="s">
        <v>376</v>
      </c>
      <c r="G24" s="11">
        <v>4</v>
      </c>
      <c r="H24" s="11">
        <v>8</v>
      </c>
      <c r="I24" s="11">
        <v>120</v>
      </c>
      <c r="J24" s="14">
        <v>10.75</v>
      </c>
      <c r="K24" s="14">
        <v>19.12</v>
      </c>
      <c r="L24" t="s">
        <v>15</v>
      </c>
      <c r="M24" t="s">
        <v>15</v>
      </c>
    </row>
    <row r="25" spans="1:13" x14ac:dyDescent="0.25">
      <c r="A25" t="s">
        <v>475</v>
      </c>
      <c r="B25" t="s">
        <v>476</v>
      </c>
      <c r="C25" t="s">
        <v>477</v>
      </c>
      <c r="D25" t="s">
        <v>412</v>
      </c>
      <c r="E25" t="s">
        <v>3263</v>
      </c>
      <c r="F25" t="s">
        <v>229</v>
      </c>
      <c r="G25" s="11">
        <v>0</v>
      </c>
      <c r="H25" s="11">
        <v>5</v>
      </c>
      <c r="I25" s="11">
        <v>60</v>
      </c>
      <c r="J25" s="14">
        <v>12.83</v>
      </c>
      <c r="K25" s="14">
        <v>23.05</v>
      </c>
      <c r="L25" t="s">
        <v>31</v>
      </c>
      <c r="M25" t="s">
        <v>31</v>
      </c>
    </row>
    <row r="26" spans="1:13" x14ac:dyDescent="0.25">
      <c r="A26" t="s">
        <v>478</v>
      </c>
      <c r="B26" t="s">
        <v>479</v>
      </c>
      <c r="C26" t="s">
        <v>480</v>
      </c>
      <c r="D26" t="s">
        <v>412</v>
      </c>
      <c r="E26" t="s">
        <v>3263</v>
      </c>
      <c r="F26" t="s">
        <v>59</v>
      </c>
      <c r="G26" s="11">
        <v>0</v>
      </c>
      <c r="H26" s="11">
        <v>5</v>
      </c>
      <c r="I26" s="11">
        <v>30</v>
      </c>
      <c r="J26" s="14">
        <v>11.39</v>
      </c>
      <c r="K26" s="14">
        <v>20.73</v>
      </c>
      <c r="L26" t="s">
        <v>31</v>
      </c>
      <c r="M26" t="s">
        <v>31</v>
      </c>
    </row>
    <row r="27" spans="1:13" x14ac:dyDescent="0.25">
      <c r="A27" t="s">
        <v>481</v>
      </c>
      <c r="B27" t="s">
        <v>482</v>
      </c>
      <c r="C27" t="s">
        <v>483</v>
      </c>
      <c r="D27" t="s">
        <v>400</v>
      </c>
      <c r="E27" t="s">
        <v>3260</v>
      </c>
      <c r="F27" t="s">
        <v>152</v>
      </c>
      <c r="G27" s="11">
        <v>4</v>
      </c>
      <c r="H27" s="11">
        <v>8</v>
      </c>
      <c r="I27" s="11">
        <v>30</v>
      </c>
      <c r="J27" s="14">
        <v>4.66</v>
      </c>
      <c r="K27" s="14">
        <v>9.3000000000000007</v>
      </c>
      <c r="L27" t="s">
        <v>31</v>
      </c>
      <c r="M27" t="s">
        <v>15</v>
      </c>
    </row>
    <row r="28" spans="1:13" x14ac:dyDescent="0.25">
      <c r="A28" t="s">
        <v>484</v>
      </c>
      <c r="B28" t="s">
        <v>485</v>
      </c>
      <c r="C28" t="s">
        <v>486</v>
      </c>
      <c r="D28" t="s">
        <v>459</v>
      </c>
      <c r="E28" t="s">
        <v>3266</v>
      </c>
      <c r="F28" t="s">
        <v>10</v>
      </c>
      <c r="G28" s="11">
        <v>0</v>
      </c>
      <c r="H28" s="11">
        <v>4</v>
      </c>
      <c r="I28" s="11">
        <v>90</v>
      </c>
      <c r="J28" s="14">
        <v>3.9</v>
      </c>
      <c r="K28" s="14">
        <v>9.43</v>
      </c>
      <c r="L28" t="s">
        <v>31</v>
      </c>
      <c r="M28" t="s">
        <v>31</v>
      </c>
    </row>
    <row r="29" spans="1:13" x14ac:dyDescent="0.25">
      <c r="A29" t="s">
        <v>487</v>
      </c>
      <c r="B29" t="s">
        <v>488</v>
      </c>
      <c r="C29" t="s">
        <v>489</v>
      </c>
      <c r="D29" t="s">
        <v>412</v>
      </c>
      <c r="E29" t="s">
        <v>3263</v>
      </c>
      <c r="F29" t="s">
        <v>176</v>
      </c>
      <c r="G29" s="11">
        <v>0</v>
      </c>
      <c r="H29" s="11">
        <v>5</v>
      </c>
      <c r="I29" s="11">
        <v>90</v>
      </c>
      <c r="J29" s="14">
        <v>12.89</v>
      </c>
      <c r="K29" s="14">
        <v>22.21</v>
      </c>
      <c r="L29" t="s">
        <v>15</v>
      </c>
      <c r="M29" t="s">
        <v>31</v>
      </c>
    </row>
    <row r="30" spans="1:13" x14ac:dyDescent="0.25">
      <c r="A30" t="s">
        <v>490</v>
      </c>
      <c r="B30" t="s">
        <v>491</v>
      </c>
      <c r="C30" t="s">
        <v>492</v>
      </c>
      <c r="D30" t="s">
        <v>404</v>
      </c>
      <c r="E30" t="s">
        <v>3261</v>
      </c>
      <c r="F30" t="s">
        <v>352</v>
      </c>
      <c r="G30" s="11">
        <v>2</v>
      </c>
      <c r="H30" s="11">
        <v>8</v>
      </c>
      <c r="I30" s="11">
        <v>21</v>
      </c>
      <c r="J30" s="14">
        <v>16.38</v>
      </c>
      <c r="K30" s="14">
        <v>38.619999999999997</v>
      </c>
      <c r="L30" t="s">
        <v>31</v>
      </c>
      <c r="M30" t="s">
        <v>15</v>
      </c>
    </row>
    <row r="31" spans="1:13" x14ac:dyDescent="0.25">
      <c r="A31" t="s">
        <v>493</v>
      </c>
      <c r="B31" t="s">
        <v>494</v>
      </c>
      <c r="C31" t="s">
        <v>495</v>
      </c>
      <c r="D31" t="s">
        <v>455</v>
      </c>
      <c r="E31" t="s">
        <v>3265</v>
      </c>
      <c r="F31" t="s">
        <v>68</v>
      </c>
      <c r="G31" s="11">
        <v>1</v>
      </c>
      <c r="H31" s="11">
        <v>6</v>
      </c>
      <c r="I31" s="11">
        <v>10</v>
      </c>
      <c r="J31" s="14">
        <v>6.84</v>
      </c>
      <c r="K31" s="14">
        <v>10.8</v>
      </c>
      <c r="L31" t="s">
        <v>31</v>
      </c>
      <c r="M31" t="s">
        <v>15</v>
      </c>
    </row>
    <row r="32" spans="1:13" x14ac:dyDescent="0.25">
      <c r="A32" t="s">
        <v>496</v>
      </c>
      <c r="B32" t="s">
        <v>497</v>
      </c>
      <c r="C32" t="s">
        <v>498</v>
      </c>
      <c r="D32" t="s">
        <v>412</v>
      </c>
      <c r="E32" t="s">
        <v>3263</v>
      </c>
      <c r="F32" t="s">
        <v>125</v>
      </c>
      <c r="G32" s="11">
        <v>0</v>
      </c>
      <c r="H32" s="11">
        <v>5</v>
      </c>
      <c r="I32" s="11">
        <v>45</v>
      </c>
      <c r="J32" s="14">
        <v>7.65</v>
      </c>
      <c r="K32" s="14">
        <v>18.09</v>
      </c>
      <c r="L32" t="s">
        <v>15</v>
      </c>
      <c r="M32" t="s">
        <v>31</v>
      </c>
    </row>
    <row r="33" spans="1:13" x14ac:dyDescent="0.25">
      <c r="A33" t="s">
        <v>499</v>
      </c>
      <c r="B33" t="s">
        <v>500</v>
      </c>
      <c r="C33" t="s">
        <v>501</v>
      </c>
      <c r="D33" t="s">
        <v>412</v>
      </c>
      <c r="E33" t="s">
        <v>3263</v>
      </c>
      <c r="F33" t="s">
        <v>45</v>
      </c>
      <c r="G33" s="11">
        <v>0</v>
      </c>
      <c r="H33" s="11">
        <v>5</v>
      </c>
      <c r="I33" s="11">
        <v>45</v>
      </c>
      <c r="J33" s="14">
        <v>2.2999999999999998</v>
      </c>
      <c r="K33" s="14">
        <v>5.6</v>
      </c>
      <c r="L33" t="s">
        <v>31</v>
      </c>
      <c r="M33" t="s">
        <v>31</v>
      </c>
    </row>
    <row r="34" spans="1:13" x14ac:dyDescent="0.25">
      <c r="A34" t="s">
        <v>502</v>
      </c>
      <c r="B34" t="s">
        <v>503</v>
      </c>
      <c r="C34" t="s">
        <v>504</v>
      </c>
      <c r="D34" t="s">
        <v>436</v>
      </c>
      <c r="E34" t="s">
        <v>3264</v>
      </c>
      <c r="F34" t="s">
        <v>376</v>
      </c>
      <c r="G34" s="11">
        <v>2</v>
      </c>
      <c r="H34" s="11">
        <v>8</v>
      </c>
      <c r="I34" s="11">
        <v>45</v>
      </c>
      <c r="J34" s="14">
        <v>12.44</v>
      </c>
      <c r="K34" s="14">
        <v>19.97</v>
      </c>
      <c r="L34" t="s">
        <v>15</v>
      </c>
      <c r="M34" t="s">
        <v>31</v>
      </c>
    </row>
    <row r="35" spans="1:13" x14ac:dyDescent="0.25">
      <c r="A35" t="s">
        <v>505</v>
      </c>
      <c r="B35" t="s">
        <v>506</v>
      </c>
      <c r="C35" t="s">
        <v>507</v>
      </c>
      <c r="D35" t="s">
        <v>459</v>
      </c>
      <c r="E35" t="s">
        <v>3266</v>
      </c>
      <c r="F35" t="s">
        <v>211</v>
      </c>
      <c r="G35" s="11">
        <v>0</v>
      </c>
      <c r="H35" s="11">
        <v>4</v>
      </c>
      <c r="I35" s="11">
        <v>120</v>
      </c>
      <c r="J35" s="14">
        <v>6.77</v>
      </c>
      <c r="K35" s="14">
        <v>16.16</v>
      </c>
      <c r="L35" t="s">
        <v>31</v>
      </c>
      <c r="M35" t="s">
        <v>31</v>
      </c>
    </row>
    <row r="36" spans="1:13" x14ac:dyDescent="0.25">
      <c r="A36" t="s">
        <v>508</v>
      </c>
      <c r="B36" t="s">
        <v>509</v>
      </c>
      <c r="C36" t="s">
        <v>510</v>
      </c>
      <c r="D36" t="s">
        <v>455</v>
      </c>
      <c r="E36" t="s">
        <v>3265</v>
      </c>
      <c r="F36" t="s">
        <v>339</v>
      </c>
      <c r="G36" s="11">
        <v>1</v>
      </c>
      <c r="H36" s="11">
        <v>6</v>
      </c>
      <c r="I36" s="11">
        <v>90</v>
      </c>
      <c r="J36" s="14">
        <v>11.66</v>
      </c>
      <c r="K36" s="14">
        <v>26.2</v>
      </c>
      <c r="L36" t="s">
        <v>15</v>
      </c>
      <c r="M36" t="s">
        <v>31</v>
      </c>
    </row>
    <row r="37" spans="1:13" x14ac:dyDescent="0.25">
      <c r="A37" t="s">
        <v>511</v>
      </c>
      <c r="B37" t="s">
        <v>512</v>
      </c>
      <c r="C37" t="s">
        <v>513</v>
      </c>
      <c r="D37" t="s">
        <v>416</v>
      </c>
      <c r="E37" t="s">
        <v>3261</v>
      </c>
      <c r="F37" t="s">
        <v>253</v>
      </c>
      <c r="G37" s="11">
        <v>-2</v>
      </c>
      <c r="H37" s="11">
        <v>4</v>
      </c>
      <c r="I37" s="11">
        <v>120</v>
      </c>
      <c r="J37" s="14">
        <v>12.97</v>
      </c>
      <c r="K37" s="14">
        <v>29.46</v>
      </c>
      <c r="L37" t="s">
        <v>31</v>
      </c>
      <c r="M37" t="s">
        <v>31</v>
      </c>
    </row>
    <row r="38" spans="1:13" x14ac:dyDescent="0.25">
      <c r="A38" t="s">
        <v>514</v>
      </c>
      <c r="B38" t="s">
        <v>515</v>
      </c>
      <c r="C38" t="s">
        <v>516</v>
      </c>
      <c r="D38" t="s">
        <v>404</v>
      </c>
      <c r="E38" t="s">
        <v>3261</v>
      </c>
      <c r="F38" t="s">
        <v>344</v>
      </c>
      <c r="G38" s="11">
        <v>2</v>
      </c>
      <c r="H38" s="11">
        <v>8</v>
      </c>
      <c r="I38" s="11">
        <v>60</v>
      </c>
      <c r="J38" s="14">
        <v>12.48</v>
      </c>
      <c r="K38" s="14">
        <v>17.86</v>
      </c>
      <c r="L38" t="s">
        <v>31</v>
      </c>
      <c r="M38" t="s">
        <v>31</v>
      </c>
    </row>
    <row r="39" spans="1:13" x14ac:dyDescent="0.25">
      <c r="A39" t="s">
        <v>517</v>
      </c>
      <c r="B39" t="s">
        <v>518</v>
      </c>
      <c r="C39" t="s">
        <v>519</v>
      </c>
      <c r="D39" t="s">
        <v>436</v>
      </c>
      <c r="E39" t="s">
        <v>3264</v>
      </c>
      <c r="F39" t="s">
        <v>146</v>
      </c>
      <c r="G39" s="11">
        <v>2</v>
      </c>
      <c r="H39" s="11">
        <v>8</v>
      </c>
      <c r="I39" s="11">
        <v>14</v>
      </c>
      <c r="J39" s="14">
        <v>9.6</v>
      </c>
      <c r="K39" s="14">
        <v>21.55</v>
      </c>
      <c r="L39" t="s">
        <v>31</v>
      </c>
      <c r="M39" t="s">
        <v>31</v>
      </c>
    </row>
    <row r="40" spans="1:13" x14ac:dyDescent="0.25">
      <c r="A40" t="s">
        <v>520</v>
      </c>
      <c r="B40" t="s">
        <v>521</v>
      </c>
      <c r="C40" t="s">
        <v>522</v>
      </c>
      <c r="D40" t="s">
        <v>408</v>
      </c>
      <c r="E40" t="s">
        <v>3262</v>
      </c>
      <c r="F40" t="s">
        <v>244</v>
      </c>
      <c r="G40" s="11">
        <v>1</v>
      </c>
      <c r="H40" s="11">
        <v>6</v>
      </c>
      <c r="I40" s="11">
        <v>7</v>
      </c>
      <c r="J40" s="14">
        <v>4.59</v>
      </c>
      <c r="K40" s="14">
        <v>7.34</v>
      </c>
      <c r="L40" t="s">
        <v>31</v>
      </c>
      <c r="M40" t="s">
        <v>31</v>
      </c>
    </row>
    <row r="41" spans="1:13" x14ac:dyDescent="0.25">
      <c r="A41" t="s">
        <v>523</v>
      </c>
      <c r="B41" t="s">
        <v>524</v>
      </c>
      <c r="C41" t="s">
        <v>525</v>
      </c>
      <c r="D41" t="s">
        <v>436</v>
      </c>
      <c r="E41" t="s">
        <v>3264</v>
      </c>
      <c r="F41" t="s">
        <v>96</v>
      </c>
      <c r="G41" s="11">
        <v>2</v>
      </c>
      <c r="H41" s="11">
        <v>8</v>
      </c>
      <c r="I41" s="11">
        <v>30</v>
      </c>
      <c r="J41" s="14">
        <v>5.52</v>
      </c>
      <c r="K41" s="14">
        <v>12.08</v>
      </c>
      <c r="L41" t="s">
        <v>31</v>
      </c>
      <c r="M41" t="s">
        <v>31</v>
      </c>
    </row>
    <row r="42" spans="1:13" x14ac:dyDescent="0.25">
      <c r="A42" t="s">
        <v>526</v>
      </c>
      <c r="B42" t="s">
        <v>527</v>
      </c>
      <c r="C42" t="s">
        <v>528</v>
      </c>
      <c r="D42" t="s">
        <v>412</v>
      </c>
      <c r="E42" t="s">
        <v>3263</v>
      </c>
      <c r="F42" t="s">
        <v>106</v>
      </c>
      <c r="G42" s="11">
        <v>0</v>
      </c>
      <c r="H42" s="11">
        <v>5</v>
      </c>
      <c r="I42" s="11">
        <v>45</v>
      </c>
      <c r="J42" s="14">
        <v>11.73</v>
      </c>
      <c r="K42" s="14">
        <v>16.579999999999998</v>
      </c>
      <c r="L42" t="s">
        <v>529</v>
      </c>
      <c r="M42" t="s">
        <v>31</v>
      </c>
    </row>
    <row r="43" spans="1:13" x14ac:dyDescent="0.25">
      <c r="A43" t="s">
        <v>530</v>
      </c>
      <c r="B43" t="s">
        <v>531</v>
      </c>
      <c r="C43" t="s">
        <v>532</v>
      </c>
      <c r="D43" t="s">
        <v>459</v>
      </c>
      <c r="E43" t="s">
        <v>3266</v>
      </c>
      <c r="F43" t="s">
        <v>342</v>
      </c>
      <c r="G43" s="11">
        <v>0</v>
      </c>
      <c r="H43" s="11">
        <v>4</v>
      </c>
      <c r="I43" s="11">
        <v>14</v>
      </c>
      <c r="J43" s="14">
        <v>13.86</v>
      </c>
      <c r="K43" s="14">
        <v>19.190000000000001</v>
      </c>
      <c r="L43" t="s">
        <v>31</v>
      </c>
      <c r="M43" t="s">
        <v>31</v>
      </c>
    </row>
    <row r="44" spans="1:13" x14ac:dyDescent="0.25">
      <c r="A44" t="s">
        <v>533</v>
      </c>
      <c r="B44" t="s">
        <v>534</v>
      </c>
      <c r="C44" t="s">
        <v>535</v>
      </c>
      <c r="D44" t="s">
        <v>400</v>
      </c>
      <c r="E44" t="s">
        <v>3260</v>
      </c>
      <c r="F44" t="s">
        <v>96</v>
      </c>
      <c r="G44" s="11">
        <v>4</v>
      </c>
      <c r="H44" s="11">
        <v>8</v>
      </c>
      <c r="I44" s="11">
        <v>7</v>
      </c>
      <c r="J44" s="14">
        <v>13.77</v>
      </c>
      <c r="K44" s="14">
        <v>32.840000000000003</v>
      </c>
      <c r="L44" t="s">
        <v>31</v>
      </c>
      <c r="M44" t="s">
        <v>31</v>
      </c>
    </row>
    <row r="45" spans="1:13" x14ac:dyDescent="0.25">
      <c r="A45" t="s">
        <v>536</v>
      </c>
      <c r="B45" t="s">
        <v>537</v>
      </c>
      <c r="C45" t="s">
        <v>538</v>
      </c>
      <c r="D45" t="s">
        <v>416</v>
      </c>
      <c r="E45" t="s">
        <v>3261</v>
      </c>
      <c r="F45" t="s">
        <v>238</v>
      </c>
      <c r="G45" s="11">
        <v>-2</v>
      </c>
      <c r="H45" s="11">
        <v>4</v>
      </c>
      <c r="I45" s="11">
        <v>7</v>
      </c>
      <c r="J45" s="14">
        <v>2.11</v>
      </c>
      <c r="K45" s="14">
        <v>3.41</v>
      </c>
      <c r="L45" t="s">
        <v>31</v>
      </c>
      <c r="M45" t="s">
        <v>31</v>
      </c>
    </row>
    <row r="46" spans="1:13" x14ac:dyDescent="0.25">
      <c r="A46" t="s">
        <v>539</v>
      </c>
      <c r="B46" t="s">
        <v>540</v>
      </c>
      <c r="C46" t="s">
        <v>541</v>
      </c>
      <c r="D46" t="s">
        <v>436</v>
      </c>
      <c r="E46" t="s">
        <v>3264</v>
      </c>
      <c r="F46" t="s">
        <v>184</v>
      </c>
      <c r="G46" s="11">
        <v>2</v>
      </c>
      <c r="H46" s="11">
        <v>8</v>
      </c>
      <c r="I46" s="11">
        <v>60</v>
      </c>
      <c r="J46" s="14">
        <v>6.71</v>
      </c>
      <c r="K46" s="14">
        <v>15.63</v>
      </c>
      <c r="L46" t="s">
        <v>31</v>
      </c>
      <c r="M46" t="s">
        <v>31</v>
      </c>
    </row>
    <row r="47" spans="1:13" x14ac:dyDescent="0.25">
      <c r="A47" t="s">
        <v>542</v>
      </c>
      <c r="B47" t="s">
        <v>543</v>
      </c>
      <c r="C47" t="s">
        <v>544</v>
      </c>
      <c r="D47" t="s">
        <v>404</v>
      </c>
      <c r="E47" t="s">
        <v>3261</v>
      </c>
      <c r="F47" t="s">
        <v>87</v>
      </c>
      <c r="G47" s="11">
        <v>2</v>
      </c>
      <c r="H47" s="11">
        <v>8</v>
      </c>
      <c r="I47" s="11">
        <v>45</v>
      </c>
      <c r="J47" s="14">
        <v>3.19</v>
      </c>
      <c r="K47" s="14">
        <v>4.79</v>
      </c>
      <c r="L47" t="s">
        <v>31</v>
      </c>
      <c r="M47" t="s">
        <v>15</v>
      </c>
    </row>
    <row r="48" spans="1:13" x14ac:dyDescent="0.25">
      <c r="A48" t="s">
        <v>545</v>
      </c>
      <c r="B48" t="s">
        <v>546</v>
      </c>
      <c r="C48" t="s">
        <v>547</v>
      </c>
      <c r="D48" t="s">
        <v>426</v>
      </c>
      <c r="E48" t="s">
        <v>3261</v>
      </c>
      <c r="F48" t="s">
        <v>190</v>
      </c>
      <c r="G48" s="11">
        <v>2</v>
      </c>
      <c r="H48" s="11">
        <v>6</v>
      </c>
      <c r="I48" s="11">
        <v>45</v>
      </c>
      <c r="J48" s="14">
        <v>7.22</v>
      </c>
      <c r="K48" s="14">
        <v>12.26</v>
      </c>
      <c r="L48" t="s">
        <v>31</v>
      </c>
      <c r="M48" t="s">
        <v>31</v>
      </c>
    </row>
    <row r="49" spans="1:13" x14ac:dyDescent="0.25">
      <c r="A49" t="s">
        <v>548</v>
      </c>
      <c r="B49" t="s">
        <v>549</v>
      </c>
      <c r="C49" t="s">
        <v>550</v>
      </c>
      <c r="D49" t="s">
        <v>436</v>
      </c>
      <c r="E49" t="s">
        <v>3264</v>
      </c>
      <c r="F49" t="s">
        <v>122</v>
      </c>
      <c r="G49" s="11">
        <v>2</v>
      </c>
      <c r="H49" s="11">
        <v>8</v>
      </c>
      <c r="I49" s="11">
        <v>10</v>
      </c>
      <c r="J49" s="14">
        <v>15.56</v>
      </c>
      <c r="K49" s="14">
        <v>23.41</v>
      </c>
      <c r="L49" t="s">
        <v>15</v>
      </c>
      <c r="M49" t="s">
        <v>15</v>
      </c>
    </row>
    <row r="50" spans="1:13" x14ac:dyDescent="0.25">
      <c r="A50" t="s">
        <v>551</v>
      </c>
      <c r="B50" t="s">
        <v>552</v>
      </c>
      <c r="C50" t="s">
        <v>553</v>
      </c>
      <c r="D50" t="s">
        <v>404</v>
      </c>
      <c r="E50" t="s">
        <v>3261</v>
      </c>
      <c r="F50" t="s">
        <v>321</v>
      </c>
      <c r="G50" s="11">
        <v>2</v>
      </c>
      <c r="H50" s="11">
        <v>8</v>
      </c>
      <c r="I50" s="11">
        <v>21</v>
      </c>
      <c r="J50" s="14">
        <v>17.78</v>
      </c>
      <c r="K50" s="14">
        <v>36.26</v>
      </c>
      <c r="L50" t="s">
        <v>31</v>
      </c>
      <c r="M50" t="s">
        <v>31</v>
      </c>
    </row>
    <row r="51" spans="1:13" x14ac:dyDescent="0.25">
      <c r="A51" t="s">
        <v>554</v>
      </c>
      <c r="B51" t="s">
        <v>555</v>
      </c>
      <c r="C51" t="s">
        <v>556</v>
      </c>
      <c r="D51" t="s">
        <v>412</v>
      </c>
      <c r="E51" t="s">
        <v>3263</v>
      </c>
      <c r="F51" t="s">
        <v>131</v>
      </c>
      <c r="G51" s="11">
        <v>0</v>
      </c>
      <c r="H51" s="11">
        <v>5</v>
      </c>
      <c r="I51" s="11">
        <v>30</v>
      </c>
      <c r="J51" s="14">
        <v>16.690000000000001</v>
      </c>
      <c r="K51" s="14">
        <v>35.82</v>
      </c>
      <c r="L51" t="s">
        <v>31</v>
      </c>
      <c r="M51" t="s">
        <v>15</v>
      </c>
    </row>
    <row r="52" spans="1:13" x14ac:dyDescent="0.25">
      <c r="A52" t="s">
        <v>557</v>
      </c>
      <c r="B52" t="s">
        <v>558</v>
      </c>
      <c r="C52" t="s">
        <v>559</v>
      </c>
      <c r="D52" t="s">
        <v>404</v>
      </c>
      <c r="E52" t="s">
        <v>3261</v>
      </c>
      <c r="F52" t="s">
        <v>62</v>
      </c>
      <c r="G52" s="11">
        <v>2</v>
      </c>
      <c r="H52" s="11">
        <v>8</v>
      </c>
      <c r="I52" s="11">
        <v>10</v>
      </c>
      <c r="J52" s="14">
        <v>1.77</v>
      </c>
      <c r="K52" s="14">
        <v>3.52</v>
      </c>
      <c r="L52" t="s">
        <v>31</v>
      </c>
      <c r="M52" t="s">
        <v>31</v>
      </c>
    </row>
    <row r="53" spans="1:13" x14ac:dyDescent="0.25">
      <c r="A53" t="s">
        <v>560</v>
      </c>
      <c r="B53" t="s">
        <v>561</v>
      </c>
      <c r="C53" t="s">
        <v>562</v>
      </c>
      <c r="D53" t="s">
        <v>563</v>
      </c>
      <c r="E53" t="s">
        <v>3267</v>
      </c>
      <c r="F53" t="s">
        <v>77</v>
      </c>
      <c r="G53" s="11">
        <v>-18</v>
      </c>
      <c r="H53" s="11">
        <v>-10</v>
      </c>
      <c r="I53" s="11">
        <v>21</v>
      </c>
      <c r="J53" s="14">
        <v>11.63</v>
      </c>
      <c r="K53" s="14">
        <v>27.92</v>
      </c>
      <c r="L53" t="s">
        <v>15</v>
      </c>
      <c r="M53" t="s">
        <v>15</v>
      </c>
    </row>
    <row r="54" spans="1:13" x14ac:dyDescent="0.25">
      <c r="A54" t="s">
        <v>564</v>
      </c>
      <c r="B54" t="s">
        <v>565</v>
      </c>
      <c r="C54" t="s">
        <v>566</v>
      </c>
      <c r="D54" t="s">
        <v>404</v>
      </c>
      <c r="E54" t="s">
        <v>3261</v>
      </c>
      <c r="F54" t="s">
        <v>190</v>
      </c>
      <c r="G54" s="11">
        <v>2</v>
      </c>
      <c r="H54" s="11">
        <v>8</v>
      </c>
      <c r="I54" s="11">
        <v>21</v>
      </c>
      <c r="J54" s="14">
        <v>12.31</v>
      </c>
      <c r="K54" s="14">
        <v>17.89</v>
      </c>
      <c r="L54" t="s">
        <v>31</v>
      </c>
      <c r="M54" t="s">
        <v>31</v>
      </c>
    </row>
    <row r="55" spans="1:13" x14ac:dyDescent="0.25">
      <c r="A55" t="s">
        <v>567</v>
      </c>
      <c r="B55" t="s">
        <v>568</v>
      </c>
      <c r="C55" t="s">
        <v>569</v>
      </c>
      <c r="D55" t="s">
        <v>400</v>
      </c>
      <c r="E55" t="s">
        <v>3260</v>
      </c>
      <c r="F55" t="s">
        <v>268</v>
      </c>
      <c r="G55" s="11">
        <v>4</v>
      </c>
      <c r="H55" s="11">
        <v>8</v>
      </c>
      <c r="I55" s="11">
        <v>45</v>
      </c>
      <c r="J55" s="14">
        <v>1.66</v>
      </c>
      <c r="K55" s="14">
        <v>3.18</v>
      </c>
      <c r="L55" t="s">
        <v>31</v>
      </c>
      <c r="M55" t="s">
        <v>31</v>
      </c>
    </row>
    <row r="56" spans="1:13" x14ac:dyDescent="0.25">
      <c r="A56" t="s">
        <v>570</v>
      </c>
      <c r="B56" t="s">
        <v>571</v>
      </c>
      <c r="C56" t="s">
        <v>572</v>
      </c>
      <c r="D56" t="s">
        <v>563</v>
      </c>
      <c r="E56" t="s">
        <v>3267</v>
      </c>
      <c r="F56" t="s">
        <v>33</v>
      </c>
      <c r="G56" s="11">
        <v>-18</v>
      </c>
      <c r="H56" s="11">
        <v>-10</v>
      </c>
      <c r="I56" s="11">
        <v>14</v>
      </c>
      <c r="J56" s="14">
        <v>10.9</v>
      </c>
      <c r="K56" s="14">
        <v>25.58</v>
      </c>
      <c r="L56" t="s">
        <v>31</v>
      </c>
      <c r="M56" t="s">
        <v>15</v>
      </c>
    </row>
    <row r="57" spans="1:13" x14ac:dyDescent="0.25">
      <c r="A57" t="s">
        <v>573</v>
      </c>
      <c r="B57" t="s">
        <v>574</v>
      </c>
      <c r="C57" t="s">
        <v>575</v>
      </c>
      <c r="D57" t="s">
        <v>412</v>
      </c>
      <c r="E57" t="s">
        <v>3263</v>
      </c>
      <c r="F57" t="s">
        <v>217</v>
      </c>
      <c r="G57" s="11">
        <v>0</v>
      </c>
      <c r="H57" s="11">
        <v>5</v>
      </c>
      <c r="I57" s="11">
        <v>21</v>
      </c>
      <c r="J57" s="14">
        <v>4.6399999999999997</v>
      </c>
      <c r="K57" s="14">
        <v>7.04</v>
      </c>
      <c r="L57" t="s">
        <v>31</v>
      </c>
      <c r="M57" t="s">
        <v>31</v>
      </c>
    </row>
    <row r="58" spans="1:13" x14ac:dyDescent="0.25">
      <c r="A58" t="s">
        <v>576</v>
      </c>
      <c r="B58" t="s">
        <v>577</v>
      </c>
      <c r="C58" t="s">
        <v>578</v>
      </c>
      <c r="D58" t="s">
        <v>459</v>
      </c>
      <c r="E58" t="s">
        <v>3266</v>
      </c>
      <c r="F58" t="s">
        <v>143</v>
      </c>
      <c r="G58" s="11">
        <v>0</v>
      </c>
      <c r="H58" s="11">
        <v>4</v>
      </c>
      <c r="I58" s="11">
        <v>30</v>
      </c>
      <c r="J58" s="14">
        <v>15.88</v>
      </c>
      <c r="K58" s="14">
        <v>23.01</v>
      </c>
      <c r="L58" t="s">
        <v>31</v>
      </c>
      <c r="M58" t="s">
        <v>31</v>
      </c>
    </row>
    <row r="59" spans="1:13" x14ac:dyDescent="0.25">
      <c r="A59" t="s">
        <v>579</v>
      </c>
      <c r="B59" t="s">
        <v>580</v>
      </c>
      <c r="C59" t="s">
        <v>581</v>
      </c>
      <c r="D59" t="s">
        <v>400</v>
      </c>
      <c r="E59" t="s">
        <v>3260</v>
      </c>
      <c r="F59" t="s">
        <v>330</v>
      </c>
      <c r="G59" s="11">
        <v>4</v>
      </c>
      <c r="H59" s="11">
        <v>8</v>
      </c>
      <c r="I59" s="11">
        <v>10</v>
      </c>
      <c r="J59" s="14">
        <v>6.57</v>
      </c>
      <c r="K59" s="14">
        <v>10.61</v>
      </c>
      <c r="L59" t="s">
        <v>31</v>
      </c>
      <c r="M59" t="s">
        <v>31</v>
      </c>
    </row>
    <row r="60" spans="1:13" x14ac:dyDescent="0.25">
      <c r="A60" t="s">
        <v>582</v>
      </c>
      <c r="B60" t="s">
        <v>583</v>
      </c>
      <c r="C60" t="s">
        <v>584</v>
      </c>
      <c r="D60" t="s">
        <v>408</v>
      </c>
      <c r="E60" t="s">
        <v>3262</v>
      </c>
      <c r="F60" t="s">
        <v>196</v>
      </c>
      <c r="G60" s="11">
        <v>1</v>
      </c>
      <c r="H60" s="11">
        <v>6</v>
      </c>
      <c r="I60" s="11">
        <v>90</v>
      </c>
      <c r="J60" s="14">
        <v>10.19</v>
      </c>
      <c r="K60" s="14">
        <v>15.16</v>
      </c>
      <c r="L60" t="s">
        <v>31</v>
      </c>
      <c r="M60" t="s">
        <v>15</v>
      </c>
    </row>
    <row r="61" spans="1:13" x14ac:dyDescent="0.25">
      <c r="A61" t="s">
        <v>585</v>
      </c>
      <c r="B61" t="s">
        <v>586</v>
      </c>
      <c r="C61" t="s">
        <v>587</v>
      </c>
      <c r="D61" t="s">
        <v>412</v>
      </c>
      <c r="E61" t="s">
        <v>3263</v>
      </c>
      <c r="F61" t="s">
        <v>220</v>
      </c>
      <c r="G61" s="11">
        <v>0</v>
      </c>
      <c r="H61" s="11">
        <v>5</v>
      </c>
      <c r="I61" s="11">
        <v>60</v>
      </c>
      <c r="J61" s="14">
        <v>2.63</v>
      </c>
      <c r="K61" s="14">
        <v>4.72</v>
      </c>
      <c r="L61" t="s">
        <v>15</v>
      </c>
      <c r="M61" t="s">
        <v>31</v>
      </c>
    </row>
    <row r="62" spans="1:13" x14ac:dyDescent="0.25">
      <c r="A62" t="s">
        <v>588</v>
      </c>
      <c r="B62" t="s">
        <v>589</v>
      </c>
      <c r="C62" t="s">
        <v>590</v>
      </c>
      <c r="D62" t="s">
        <v>426</v>
      </c>
      <c r="E62" t="s">
        <v>3261</v>
      </c>
      <c r="F62" t="s">
        <v>96</v>
      </c>
      <c r="G62" s="11">
        <v>2</v>
      </c>
      <c r="H62" s="11">
        <v>6</v>
      </c>
      <c r="I62" s="11">
        <v>90</v>
      </c>
      <c r="J62" s="14">
        <v>2.57</v>
      </c>
      <c r="K62" s="14">
        <v>5.62</v>
      </c>
      <c r="L62" t="s">
        <v>3268</v>
      </c>
      <c r="M62" t="s">
        <v>31</v>
      </c>
    </row>
    <row r="63" spans="1:13" x14ac:dyDescent="0.25">
      <c r="A63" t="s">
        <v>591</v>
      </c>
      <c r="B63" t="s">
        <v>592</v>
      </c>
      <c r="C63" t="s">
        <v>593</v>
      </c>
      <c r="D63" t="s">
        <v>412</v>
      </c>
      <c r="E63" t="s">
        <v>3263</v>
      </c>
      <c r="F63" t="s">
        <v>74</v>
      </c>
      <c r="G63" s="11">
        <v>0</v>
      </c>
      <c r="H63" s="11">
        <v>5</v>
      </c>
      <c r="I63" s="11">
        <v>45</v>
      </c>
      <c r="J63" s="14">
        <v>16.079999999999998</v>
      </c>
      <c r="K63" s="14">
        <v>22.43</v>
      </c>
      <c r="L63" t="s">
        <v>15</v>
      </c>
      <c r="M63" t="s">
        <v>31</v>
      </c>
    </row>
    <row r="64" spans="1:13" x14ac:dyDescent="0.25">
      <c r="A64" t="s">
        <v>594</v>
      </c>
      <c r="B64" t="s">
        <v>595</v>
      </c>
      <c r="C64" t="s">
        <v>596</v>
      </c>
      <c r="D64" t="s">
        <v>459</v>
      </c>
      <c r="E64" t="s">
        <v>3266</v>
      </c>
      <c r="F64" t="s">
        <v>41</v>
      </c>
      <c r="G64" s="11">
        <v>0</v>
      </c>
      <c r="H64" s="11">
        <v>4</v>
      </c>
      <c r="I64" s="11">
        <v>90</v>
      </c>
      <c r="J64" s="14">
        <v>7.57</v>
      </c>
      <c r="K64" s="14">
        <v>12.49</v>
      </c>
      <c r="L64" t="s">
        <v>31</v>
      </c>
      <c r="M64" t="s">
        <v>31</v>
      </c>
    </row>
    <row r="65" spans="1:13" x14ac:dyDescent="0.25">
      <c r="A65" t="s">
        <v>597</v>
      </c>
      <c r="B65" t="s">
        <v>598</v>
      </c>
      <c r="C65" t="s">
        <v>599</v>
      </c>
      <c r="D65" t="s">
        <v>404</v>
      </c>
      <c r="E65" t="s">
        <v>3261</v>
      </c>
      <c r="F65" t="s">
        <v>373</v>
      </c>
      <c r="G65" s="11">
        <v>2</v>
      </c>
      <c r="H65" s="11">
        <v>8</v>
      </c>
      <c r="I65" s="11">
        <v>7</v>
      </c>
      <c r="J65" s="14">
        <v>2.84</v>
      </c>
      <c r="K65" s="14">
        <v>6.83</v>
      </c>
      <c r="L65" t="s">
        <v>31</v>
      </c>
      <c r="M65" t="s">
        <v>31</v>
      </c>
    </row>
    <row r="66" spans="1:13" x14ac:dyDescent="0.25">
      <c r="A66" t="s">
        <v>600</v>
      </c>
      <c r="B66" t="s">
        <v>601</v>
      </c>
      <c r="C66" t="s">
        <v>602</v>
      </c>
      <c r="D66" t="s">
        <v>426</v>
      </c>
      <c r="E66" t="s">
        <v>3261</v>
      </c>
      <c r="F66" t="s">
        <v>74</v>
      </c>
      <c r="G66" s="11">
        <v>2</v>
      </c>
      <c r="H66" s="11">
        <v>6</v>
      </c>
      <c r="I66" s="11">
        <v>45</v>
      </c>
      <c r="J66" s="14">
        <v>16.88</v>
      </c>
      <c r="K66" s="14">
        <v>27.11</v>
      </c>
      <c r="L66" t="s">
        <v>31</v>
      </c>
      <c r="M66" t="s">
        <v>31</v>
      </c>
    </row>
    <row r="67" spans="1:13" x14ac:dyDescent="0.25">
      <c r="A67" t="s">
        <v>603</v>
      </c>
      <c r="B67" t="s">
        <v>604</v>
      </c>
      <c r="C67" t="s">
        <v>605</v>
      </c>
      <c r="D67" t="s">
        <v>436</v>
      </c>
      <c r="E67" t="s">
        <v>3264</v>
      </c>
      <c r="F67" t="s">
        <v>161</v>
      </c>
      <c r="G67" s="11">
        <v>2</v>
      </c>
      <c r="H67" s="11">
        <v>8</v>
      </c>
      <c r="I67" s="11">
        <v>7</v>
      </c>
      <c r="J67" s="14">
        <v>4.82</v>
      </c>
      <c r="K67" s="14">
        <v>11.28</v>
      </c>
      <c r="L67" t="s">
        <v>15</v>
      </c>
      <c r="M67" t="s">
        <v>31</v>
      </c>
    </row>
    <row r="68" spans="1:13" x14ac:dyDescent="0.25">
      <c r="A68" t="s">
        <v>606</v>
      </c>
      <c r="B68" t="s">
        <v>607</v>
      </c>
      <c r="C68" t="s">
        <v>608</v>
      </c>
      <c r="D68" t="s">
        <v>404</v>
      </c>
      <c r="E68" t="s">
        <v>3261</v>
      </c>
      <c r="F68" t="s">
        <v>349</v>
      </c>
      <c r="G68" s="11">
        <v>2</v>
      </c>
      <c r="H68" s="11">
        <v>8</v>
      </c>
      <c r="I68" s="11">
        <v>14</v>
      </c>
      <c r="J68" s="14">
        <v>2.4700000000000002</v>
      </c>
      <c r="K68" s="14">
        <v>3.54</v>
      </c>
      <c r="L68" t="s">
        <v>31</v>
      </c>
      <c r="M68" t="s">
        <v>15</v>
      </c>
    </row>
    <row r="69" spans="1:13" x14ac:dyDescent="0.25">
      <c r="A69" t="s">
        <v>609</v>
      </c>
      <c r="B69" t="s">
        <v>610</v>
      </c>
      <c r="C69" t="s">
        <v>611</v>
      </c>
      <c r="D69" t="s">
        <v>404</v>
      </c>
      <c r="E69" t="s">
        <v>3261</v>
      </c>
      <c r="F69" t="s">
        <v>109</v>
      </c>
      <c r="G69" s="11">
        <v>2</v>
      </c>
      <c r="H69" s="11">
        <v>8</v>
      </c>
      <c r="I69" s="11">
        <v>10</v>
      </c>
      <c r="J69" s="14">
        <v>2.68</v>
      </c>
      <c r="K69" s="14">
        <v>6.07</v>
      </c>
      <c r="L69" t="s">
        <v>31</v>
      </c>
      <c r="M69" t="s">
        <v>31</v>
      </c>
    </row>
    <row r="70" spans="1:13" x14ac:dyDescent="0.25">
      <c r="A70" t="s">
        <v>612</v>
      </c>
      <c r="B70" t="s">
        <v>613</v>
      </c>
      <c r="C70" t="s">
        <v>614</v>
      </c>
      <c r="D70" t="s">
        <v>416</v>
      </c>
      <c r="E70" t="s">
        <v>3261</v>
      </c>
      <c r="F70" t="s">
        <v>128</v>
      </c>
      <c r="G70" s="11">
        <v>-2</v>
      </c>
      <c r="H70" s="11">
        <v>4</v>
      </c>
      <c r="I70" s="11">
        <v>10</v>
      </c>
      <c r="J70" s="14">
        <v>11.26</v>
      </c>
      <c r="K70" s="14">
        <v>22.33</v>
      </c>
      <c r="L70" t="s">
        <v>15</v>
      </c>
      <c r="M70" t="s">
        <v>31</v>
      </c>
    </row>
    <row r="71" spans="1:13" x14ac:dyDescent="0.25">
      <c r="A71" t="s">
        <v>615</v>
      </c>
      <c r="B71" t="s">
        <v>616</v>
      </c>
      <c r="C71" t="s">
        <v>617</v>
      </c>
      <c r="D71" t="s">
        <v>459</v>
      </c>
      <c r="E71" t="s">
        <v>3266</v>
      </c>
      <c r="F71" t="s">
        <v>56</v>
      </c>
      <c r="G71" s="11">
        <v>0</v>
      </c>
      <c r="H71" s="11">
        <v>4</v>
      </c>
      <c r="I71" s="11">
        <v>10</v>
      </c>
      <c r="J71" s="14">
        <v>6.21</v>
      </c>
      <c r="K71" s="14">
        <v>11</v>
      </c>
      <c r="L71" t="s">
        <v>15</v>
      </c>
      <c r="M71" t="s">
        <v>31</v>
      </c>
    </row>
    <row r="72" spans="1:13" x14ac:dyDescent="0.25">
      <c r="A72" t="s">
        <v>618</v>
      </c>
      <c r="B72" t="s">
        <v>619</v>
      </c>
      <c r="C72" t="s">
        <v>620</v>
      </c>
      <c r="D72" t="s">
        <v>412</v>
      </c>
      <c r="E72" t="s">
        <v>3263</v>
      </c>
      <c r="F72" t="s">
        <v>167</v>
      </c>
      <c r="G72" s="11">
        <v>0</v>
      </c>
      <c r="H72" s="11">
        <v>5</v>
      </c>
      <c r="I72" s="11">
        <v>14</v>
      </c>
      <c r="J72" s="14">
        <v>10.01</v>
      </c>
      <c r="K72" s="14">
        <v>20.74</v>
      </c>
      <c r="L72" t="s">
        <v>31</v>
      </c>
      <c r="M72" t="s">
        <v>31</v>
      </c>
    </row>
    <row r="73" spans="1:13" x14ac:dyDescent="0.25">
      <c r="A73" t="s">
        <v>621</v>
      </c>
      <c r="B73" t="s">
        <v>622</v>
      </c>
      <c r="C73" t="s">
        <v>623</v>
      </c>
      <c r="D73" t="s">
        <v>404</v>
      </c>
      <c r="E73" t="s">
        <v>3261</v>
      </c>
      <c r="F73" t="s">
        <v>244</v>
      </c>
      <c r="G73" s="11">
        <v>2</v>
      </c>
      <c r="H73" s="11">
        <v>8</v>
      </c>
      <c r="I73" s="11">
        <v>14</v>
      </c>
      <c r="J73" s="14">
        <v>3.54</v>
      </c>
      <c r="K73" s="14">
        <v>6.96</v>
      </c>
      <c r="L73" t="s">
        <v>31</v>
      </c>
      <c r="M73" t="s">
        <v>31</v>
      </c>
    </row>
    <row r="74" spans="1:13" x14ac:dyDescent="0.25">
      <c r="A74" t="s">
        <v>624</v>
      </c>
      <c r="B74" t="s">
        <v>625</v>
      </c>
      <c r="C74" t="s">
        <v>626</v>
      </c>
      <c r="D74" t="s">
        <v>404</v>
      </c>
      <c r="E74" t="s">
        <v>3261</v>
      </c>
      <c r="F74" t="s">
        <v>367</v>
      </c>
      <c r="G74" s="11">
        <v>2</v>
      </c>
      <c r="H74" s="11">
        <v>8</v>
      </c>
      <c r="I74" s="11">
        <v>30</v>
      </c>
      <c r="J74" s="14">
        <v>3.81</v>
      </c>
      <c r="K74" s="14">
        <v>6.89</v>
      </c>
      <c r="L74" t="s">
        <v>15</v>
      </c>
      <c r="M74" t="s">
        <v>31</v>
      </c>
    </row>
    <row r="75" spans="1:13" x14ac:dyDescent="0.25">
      <c r="A75" t="s">
        <v>627</v>
      </c>
      <c r="B75" t="s">
        <v>628</v>
      </c>
      <c r="C75" t="s">
        <v>629</v>
      </c>
      <c r="D75" t="s">
        <v>400</v>
      </c>
      <c r="E75" t="s">
        <v>3260</v>
      </c>
      <c r="F75" t="s">
        <v>196</v>
      </c>
      <c r="G75" s="11">
        <v>4</v>
      </c>
      <c r="H75" s="11">
        <v>8</v>
      </c>
      <c r="I75" s="11">
        <v>30</v>
      </c>
      <c r="J75" s="14">
        <v>3.26</v>
      </c>
      <c r="K75" s="14">
        <v>4.58</v>
      </c>
      <c r="L75" t="s">
        <v>31</v>
      </c>
      <c r="M75" t="s">
        <v>31</v>
      </c>
    </row>
    <row r="76" spans="1:13" x14ac:dyDescent="0.25">
      <c r="A76" t="s">
        <v>630</v>
      </c>
      <c r="B76" t="s">
        <v>631</v>
      </c>
      <c r="C76" t="s">
        <v>632</v>
      </c>
      <c r="D76" t="s">
        <v>400</v>
      </c>
      <c r="E76" t="s">
        <v>3260</v>
      </c>
      <c r="F76" t="s">
        <v>288</v>
      </c>
      <c r="G76" s="11">
        <v>4</v>
      </c>
      <c r="H76" s="11">
        <v>8</v>
      </c>
      <c r="I76" s="11">
        <v>30</v>
      </c>
      <c r="J76" s="14">
        <v>12.15</v>
      </c>
      <c r="K76" s="14">
        <v>23.13</v>
      </c>
      <c r="L76" t="s">
        <v>31</v>
      </c>
      <c r="M76" t="s">
        <v>31</v>
      </c>
    </row>
    <row r="77" spans="1:13" x14ac:dyDescent="0.25">
      <c r="A77" t="s">
        <v>633</v>
      </c>
      <c r="B77" t="s">
        <v>634</v>
      </c>
      <c r="C77" t="s">
        <v>635</v>
      </c>
      <c r="D77" t="s">
        <v>412</v>
      </c>
      <c r="E77" t="s">
        <v>3263</v>
      </c>
      <c r="F77" t="s">
        <v>379</v>
      </c>
      <c r="G77" s="11">
        <v>0</v>
      </c>
      <c r="H77" s="11">
        <v>5</v>
      </c>
      <c r="I77" s="11">
        <v>90</v>
      </c>
      <c r="J77" s="14">
        <v>12.66</v>
      </c>
      <c r="K77" s="14">
        <v>31</v>
      </c>
      <c r="L77" t="s">
        <v>31</v>
      </c>
      <c r="M77" t="s">
        <v>31</v>
      </c>
    </row>
    <row r="78" spans="1:13" x14ac:dyDescent="0.25">
      <c r="A78" t="s">
        <v>636</v>
      </c>
      <c r="B78" t="s">
        <v>637</v>
      </c>
      <c r="C78" t="s">
        <v>638</v>
      </c>
      <c r="D78" t="s">
        <v>416</v>
      </c>
      <c r="E78" t="s">
        <v>3261</v>
      </c>
      <c r="F78" t="s">
        <v>128</v>
      </c>
      <c r="G78" s="11">
        <v>-2</v>
      </c>
      <c r="H78" s="11">
        <v>4</v>
      </c>
      <c r="I78" s="11">
        <v>60</v>
      </c>
      <c r="J78" s="14">
        <v>3.28</v>
      </c>
      <c r="K78" s="14">
        <v>7.37</v>
      </c>
      <c r="L78" t="s">
        <v>31</v>
      </c>
      <c r="M78" t="s">
        <v>31</v>
      </c>
    </row>
    <row r="79" spans="1:13" x14ac:dyDescent="0.25">
      <c r="A79" t="s">
        <v>639</v>
      </c>
      <c r="B79" t="s">
        <v>640</v>
      </c>
      <c r="C79" t="s">
        <v>641</v>
      </c>
      <c r="D79" t="s">
        <v>426</v>
      </c>
      <c r="E79" t="s">
        <v>3261</v>
      </c>
      <c r="F79" t="s">
        <v>116</v>
      </c>
      <c r="G79" s="11">
        <v>2</v>
      </c>
      <c r="H79" s="11">
        <v>6</v>
      </c>
      <c r="I79" s="11">
        <v>90</v>
      </c>
      <c r="J79" s="14">
        <v>14.38</v>
      </c>
      <c r="K79" s="14">
        <v>24.52</v>
      </c>
      <c r="L79" t="s">
        <v>31</v>
      </c>
      <c r="M79" t="s">
        <v>31</v>
      </c>
    </row>
    <row r="80" spans="1:13" x14ac:dyDescent="0.25">
      <c r="A80" t="s">
        <v>642</v>
      </c>
      <c r="B80" t="s">
        <v>643</v>
      </c>
      <c r="C80" t="s">
        <v>644</v>
      </c>
      <c r="D80" t="s">
        <v>412</v>
      </c>
      <c r="E80" t="s">
        <v>3263</v>
      </c>
      <c r="F80" t="s">
        <v>309</v>
      </c>
      <c r="G80" s="11">
        <v>0</v>
      </c>
      <c r="H80" s="11">
        <v>5</v>
      </c>
      <c r="I80" s="11">
        <v>60</v>
      </c>
      <c r="J80" s="14">
        <v>8.31</v>
      </c>
      <c r="K80" s="14">
        <v>13.16</v>
      </c>
      <c r="L80" t="s">
        <v>31</v>
      </c>
      <c r="M80" t="s">
        <v>31</v>
      </c>
    </row>
    <row r="81" spans="1:13" x14ac:dyDescent="0.25">
      <c r="A81" t="s">
        <v>645</v>
      </c>
      <c r="B81" t="s">
        <v>646</v>
      </c>
      <c r="C81" t="s">
        <v>647</v>
      </c>
      <c r="D81" t="s">
        <v>404</v>
      </c>
      <c r="E81" t="s">
        <v>3261</v>
      </c>
      <c r="F81" t="s">
        <v>22</v>
      </c>
      <c r="G81" s="11">
        <v>2</v>
      </c>
      <c r="H81" s="11">
        <v>8</v>
      </c>
      <c r="I81" s="11">
        <v>120</v>
      </c>
      <c r="J81" s="14">
        <v>6.61</v>
      </c>
      <c r="K81" s="14">
        <v>15.23</v>
      </c>
      <c r="L81" t="s">
        <v>31</v>
      </c>
      <c r="M81" t="s">
        <v>15</v>
      </c>
    </row>
    <row r="82" spans="1:13" x14ac:dyDescent="0.25">
      <c r="A82" t="s">
        <v>648</v>
      </c>
      <c r="B82" t="s">
        <v>649</v>
      </c>
      <c r="C82" t="s">
        <v>650</v>
      </c>
      <c r="D82" t="s">
        <v>416</v>
      </c>
      <c r="E82" t="s">
        <v>3261</v>
      </c>
      <c r="F82" t="s">
        <v>17</v>
      </c>
      <c r="G82" s="11">
        <v>-2</v>
      </c>
      <c r="H82" s="11">
        <v>4</v>
      </c>
      <c r="I82" s="11">
        <v>120</v>
      </c>
      <c r="J82" s="14">
        <v>9.6999999999999993</v>
      </c>
      <c r="K82" s="14">
        <v>23.6</v>
      </c>
      <c r="L82" t="s">
        <v>31</v>
      </c>
      <c r="M82" t="s">
        <v>31</v>
      </c>
    </row>
    <row r="83" spans="1:13" x14ac:dyDescent="0.25">
      <c r="A83" t="s">
        <v>651</v>
      </c>
      <c r="B83" t="s">
        <v>652</v>
      </c>
      <c r="C83" t="s">
        <v>653</v>
      </c>
      <c r="D83" t="s">
        <v>412</v>
      </c>
      <c r="E83" t="s">
        <v>3263</v>
      </c>
      <c r="F83" t="s">
        <v>122</v>
      </c>
      <c r="G83" s="11">
        <v>0</v>
      </c>
      <c r="H83" s="11">
        <v>5</v>
      </c>
      <c r="I83" s="11">
        <v>14</v>
      </c>
      <c r="J83" s="14">
        <v>10.210000000000001</v>
      </c>
      <c r="K83" s="14">
        <v>15.32</v>
      </c>
      <c r="L83" t="s">
        <v>31</v>
      </c>
      <c r="M83" t="s">
        <v>31</v>
      </c>
    </row>
    <row r="84" spans="1:13" x14ac:dyDescent="0.25">
      <c r="A84" t="s">
        <v>654</v>
      </c>
      <c r="B84" t="s">
        <v>655</v>
      </c>
      <c r="C84" t="s">
        <v>656</v>
      </c>
      <c r="D84" t="s">
        <v>408</v>
      </c>
      <c r="E84" t="s">
        <v>3262</v>
      </c>
      <c r="F84" t="s">
        <v>181</v>
      </c>
      <c r="G84" s="11">
        <v>1</v>
      </c>
      <c r="H84" s="11">
        <v>6</v>
      </c>
      <c r="I84" s="11">
        <v>90</v>
      </c>
      <c r="J84" s="14">
        <v>2.0499999999999998</v>
      </c>
      <c r="K84" s="14">
        <v>4.0599999999999996</v>
      </c>
      <c r="L84" t="s">
        <v>31</v>
      </c>
      <c r="M84" t="s">
        <v>31</v>
      </c>
    </row>
    <row r="85" spans="1:13" x14ac:dyDescent="0.25">
      <c r="A85" t="s">
        <v>657</v>
      </c>
      <c r="B85" t="s">
        <v>658</v>
      </c>
      <c r="C85" t="s">
        <v>659</v>
      </c>
      <c r="D85" t="s">
        <v>563</v>
      </c>
      <c r="E85" t="s">
        <v>3267</v>
      </c>
      <c r="F85" t="s">
        <v>330</v>
      </c>
      <c r="G85" s="11">
        <v>-18</v>
      </c>
      <c r="H85" s="11">
        <v>-10</v>
      </c>
      <c r="I85" s="11">
        <v>7</v>
      </c>
      <c r="J85" s="14">
        <v>15.48</v>
      </c>
      <c r="K85" s="14">
        <v>35.22</v>
      </c>
      <c r="L85" t="s">
        <v>15</v>
      </c>
      <c r="M85" t="s">
        <v>31</v>
      </c>
    </row>
    <row r="86" spans="1:13" x14ac:dyDescent="0.25">
      <c r="A86" t="s">
        <v>660</v>
      </c>
      <c r="B86" t="s">
        <v>661</v>
      </c>
      <c r="C86" t="s">
        <v>662</v>
      </c>
      <c r="D86" t="s">
        <v>436</v>
      </c>
      <c r="E86" t="s">
        <v>3264</v>
      </c>
      <c r="F86" t="s">
        <v>164</v>
      </c>
      <c r="G86" s="11">
        <v>2</v>
      </c>
      <c r="H86" s="11">
        <v>8</v>
      </c>
      <c r="I86" s="11">
        <v>120</v>
      </c>
      <c r="J86" s="14">
        <v>13.56</v>
      </c>
      <c r="K86" s="14">
        <v>30.99</v>
      </c>
      <c r="L86" t="s">
        <v>31</v>
      </c>
      <c r="M86" t="s">
        <v>15</v>
      </c>
    </row>
    <row r="87" spans="1:13" x14ac:dyDescent="0.25">
      <c r="A87" t="s">
        <v>663</v>
      </c>
      <c r="B87" t="s">
        <v>664</v>
      </c>
      <c r="C87" t="s">
        <v>665</v>
      </c>
      <c r="D87" t="s">
        <v>404</v>
      </c>
      <c r="E87" t="s">
        <v>3261</v>
      </c>
      <c r="F87" t="s">
        <v>344</v>
      </c>
      <c r="G87" s="11">
        <v>2</v>
      </c>
      <c r="H87" s="11">
        <v>8</v>
      </c>
      <c r="I87" s="11">
        <v>45</v>
      </c>
      <c r="J87" s="14">
        <v>5.84</v>
      </c>
      <c r="K87" s="14">
        <v>9.2899999999999991</v>
      </c>
      <c r="L87" t="s">
        <v>31</v>
      </c>
      <c r="M87" t="s">
        <v>15</v>
      </c>
    </row>
    <row r="88" spans="1:13" x14ac:dyDescent="0.25">
      <c r="A88" t="s">
        <v>666</v>
      </c>
      <c r="B88" t="s">
        <v>667</v>
      </c>
      <c r="C88" t="s">
        <v>668</v>
      </c>
      <c r="D88" t="s">
        <v>436</v>
      </c>
      <c r="E88" t="s">
        <v>3264</v>
      </c>
      <c r="F88" t="s">
        <v>382</v>
      </c>
      <c r="G88" s="11">
        <v>2</v>
      </c>
      <c r="H88" s="11">
        <v>8</v>
      </c>
      <c r="I88" s="11">
        <v>60</v>
      </c>
      <c r="J88" s="14">
        <v>13.88</v>
      </c>
      <c r="K88" s="14">
        <v>25.53</v>
      </c>
      <c r="L88" t="s">
        <v>31</v>
      </c>
      <c r="M88" t="s">
        <v>15</v>
      </c>
    </row>
    <row r="89" spans="1:13" x14ac:dyDescent="0.25">
      <c r="A89" t="s">
        <v>669</v>
      </c>
      <c r="B89" t="s">
        <v>670</v>
      </c>
      <c r="C89" t="s">
        <v>671</v>
      </c>
      <c r="D89" t="s">
        <v>404</v>
      </c>
      <c r="E89" t="s">
        <v>3261</v>
      </c>
      <c r="F89" t="s">
        <v>217</v>
      </c>
      <c r="G89" s="11">
        <v>2</v>
      </c>
      <c r="H89" s="11">
        <v>8</v>
      </c>
      <c r="I89" s="11">
        <v>7</v>
      </c>
      <c r="J89" s="14">
        <v>12.29</v>
      </c>
      <c r="K89" s="14">
        <v>28.71</v>
      </c>
      <c r="L89" t="s">
        <v>31</v>
      </c>
      <c r="M89" t="s">
        <v>15</v>
      </c>
    </row>
    <row r="90" spans="1:13" x14ac:dyDescent="0.25">
      <c r="A90" t="s">
        <v>672</v>
      </c>
      <c r="B90" t="s">
        <v>673</v>
      </c>
      <c r="C90" t="s">
        <v>674</v>
      </c>
      <c r="D90" t="s">
        <v>459</v>
      </c>
      <c r="E90" t="s">
        <v>3266</v>
      </c>
      <c r="F90" t="s">
        <v>102</v>
      </c>
      <c r="G90" s="11">
        <v>0</v>
      </c>
      <c r="H90" s="11">
        <v>4</v>
      </c>
      <c r="I90" s="11">
        <v>120</v>
      </c>
      <c r="J90" s="14">
        <v>10.25</v>
      </c>
      <c r="K90" s="14">
        <v>17.829999999999998</v>
      </c>
      <c r="L90" t="s">
        <v>31</v>
      </c>
      <c r="M90" t="s">
        <v>31</v>
      </c>
    </row>
    <row r="91" spans="1:13" x14ac:dyDescent="0.25">
      <c r="A91" t="s">
        <v>675</v>
      </c>
      <c r="B91" t="s">
        <v>676</v>
      </c>
      <c r="C91" t="s">
        <v>677</v>
      </c>
      <c r="D91" t="s">
        <v>459</v>
      </c>
      <c r="E91" t="s">
        <v>3266</v>
      </c>
      <c r="F91" t="s">
        <v>318</v>
      </c>
      <c r="G91" s="11">
        <v>0</v>
      </c>
      <c r="H91" s="11">
        <v>4</v>
      </c>
      <c r="I91" s="11">
        <v>30</v>
      </c>
      <c r="J91" s="14">
        <v>6.57</v>
      </c>
      <c r="K91" s="14">
        <v>15.98</v>
      </c>
      <c r="L91" t="s">
        <v>15</v>
      </c>
      <c r="M91" t="s">
        <v>31</v>
      </c>
    </row>
    <row r="92" spans="1:13" x14ac:dyDescent="0.25">
      <c r="A92" t="s">
        <v>678</v>
      </c>
      <c r="B92" t="s">
        <v>679</v>
      </c>
      <c r="C92" t="s">
        <v>680</v>
      </c>
      <c r="D92" t="s">
        <v>563</v>
      </c>
      <c r="E92" t="s">
        <v>3267</v>
      </c>
      <c r="F92" t="s">
        <v>187</v>
      </c>
      <c r="G92" s="11">
        <v>-18</v>
      </c>
      <c r="H92" s="11">
        <v>-10</v>
      </c>
      <c r="I92" s="11">
        <v>30</v>
      </c>
      <c r="J92" s="14">
        <v>13.06</v>
      </c>
      <c r="K92" s="14">
        <v>26.51</v>
      </c>
      <c r="L92" t="s">
        <v>31</v>
      </c>
      <c r="M92" t="s">
        <v>15</v>
      </c>
    </row>
    <row r="93" spans="1:13" x14ac:dyDescent="0.25">
      <c r="A93" t="s">
        <v>681</v>
      </c>
      <c r="B93" t="s">
        <v>682</v>
      </c>
      <c r="C93" t="s">
        <v>683</v>
      </c>
      <c r="D93" t="s">
        <v>455</v>
      </c>
      <c r="E93" t="s">
        <v>3265</v>
      </c>
      <c r="F93" t="s">
        <v>179</v>
      </c>
      <c r="G93" s="11">
        <v>1</v>
      </c>
      <c r="H93" s="11">
        <v>6</v>
      </c>
      <c r="I93" s="11">
        <v>45</v>
      </c>
      <c r="J93" s="14">
        <v>4.38</v>
      </c>
      <c r="K93" s="14">
        <v>10.43</v>
      </c>
      <c r="L93" t="s">
        <v>31</v>
      </c>
      <c r="M93" t="s">
        <v>31</v>
      </c>
    </row>
    <row r="94" spans="1:13" x14ac:dyDescent="0.25">
      <c r="A94" t="s">
        <v>684</v>
      </c>
      <c r="B94" t="s">
        <v>685</v>
      </c>
      <c r="C94" t="s">
        <v>686</v>
      </c>
      <c r="D94" t="s">
        <v>416</v>
      </c>
      <c r="E94" t="s">
        <v>3261</v>
      </c>
      <c r="F94" t="s">
        <v>223</v>
      </c>
      <c r="G94" s="11">
        <v>-2</v>
      </c>
      <c r="H94" s="11">
        <v>4</v>
      </c>
      <c r="I94" s="11">
        <v>90</v>
      </c>
      <c r="J94" s="14">
        <v>14.28</v>
      </c>
      <c r="K94" s="14">
        <v>31.4</v>
      </c>
      <c r="L94" t="s">
        <v>15</v>
      </c>
      <c r="M94" t="s">
        <v>31</v>
      </c>
    </row>
    <row r="95" spans="1:13" x14ac:dyDescent="0.25">
      <c r="A95" t="s">
        <v>687</v>
      </c>
      <c r="B95" t="s">
        <v>688</v>
      </c>
      <c r="C95" t="s">
        <v>689</v>
      </c>
      <c r="D95" t="s">
        <v>416</v>
      </c>
      <c r="E95" t="s">
        <v>3261</v>
      </c>
      <c r="F95" t="s">
        <v>164</v>
      </c>
      <c r="G95" s="11">
        <v>-2</v>
      </c>
      <c r="H95" s="11">
        <v>4</v>
      </c>
      <c r="I95" s="11">
        <v>21</v>
      </c>
      <c r="J95" s="14">
        <v>15.97</v>
      </c>
      <c r="K95" s="14">
        <v>24.96</v>
      </c>
      <c r="L95" t="s">
        <v>31</v>
      </c>
      <c r="M95" t="s">
        <v>31</v>
      </c>
    </row>
    <row r="96" spans="1:13" x14ac:dyDescent="0.25">
      <c r="A96" t="s">
        <v>690</v>
      </c>
      <c r="B96" t="s">
        <v>691</v>
      </c>
      <c r="C96" t="s">
        <v>692</v>
      </c>
      <c r="D96" t="s">
        <v>426</v>
      </c>
      <c r="E96" t="s">
        <v>3261</v>
      </c>
      <c r="F96" t="s">
        <v>352</v>
      </c>
      <c r="G96" s="11">
        <v>2</v>
      </c>
      <c r="H96" s="11">
        <v>6</v>
      </c>
      <c r="I96" s="11">
        <v>90</v>
      </c>
      <c r="J96" s="14">
        <v>6.21</v>
      </c>
      <c r="K96" s="14">
        <v>15.09</v>
      </c>
      <c r="L96" t="s">
        <v>15</v>
      </c>
      <c r="M96" t="s">
        <v>15</v>
      </c>
    </row>
    <row r="97" spans="1:13" x14ac:dyDescent="0.25">
      <c r="A97" t="s">
        <v>693</v>
      </c>
      <c r="B97" t="s">
        <v>694</v>
      </c>
      <c r="C97" t="s">
        <v>695</v>
      </c>
      <c r="D97" t="s">
        <v>408</v>
      </c>
      <c r="E97" t="s">
        <v>3262</v>
      </c>
      <c r="F97" t="s">
        <v>309</v>
      </c>
      <c r="G97" s="11">
        <v>1</v>
      </c>
      <c r="H97" s="11">
        <v>6</v>
      </c>
      <c r="I97" s="11">
        <v>60</v>
      </c>
      <c r="J97" s="14">
        <v>15.56</v>
      </c>
      <c r="K97" s="14">
        <v>31.95</v>
      </c>
      <c r="L97" t="s">
        <v>31</v>
      </c>
      <c r="M97" t="s">
        <v>31</v>
      </c>
    </row>
    <row r="98" spans="1:13" x14ac:dyDescent="0.25">
      <c r="A98" t="s">
        <v>696</v>
      </c>
      <c r="B98" t="s">
        <v>697</v>
      </c>
      <c r="C98" t="s">
        <v>698</v>
      </c>
      <c r="D98" t="s">
        <v>400</v>
      </c>
      <c r="E98" t="s">
        <v>3260</v>
      </c>
      <c r="F98" t="s">
        <v>146</v>
      </c>
      <c r="G98" s="11">
        <v>4</v>
      </c>
      <c r="H98" s="11">
        <v>8</v>
      </c>
      <c r="I98" s="11">
        <v>14</v>
      </c>
      <c r="J98" s="14">
        <v>4.99</v>
      </c>
      <c r="K98" s="14">
        <v>11.9</v>
      </c>
      <c r="L98" t="s">
        <v>15</v>
      </c>
      <c r="M98" t="s">
        <v>15</v>
      </c>
    </row>
    <row r="99" spans="1:13" x14ac:dyDescent="0.25">
      <c r="A99" t="s">
        <v>699</v>
      </c>
      <c r="B99" t="s">
        <v>700</v>
      </c>
      <c r="C99" t="s">
        <v>701</v>
      </c>
      <c r="D99" t="s">
        <v>404</v>
      </c>
      <c r="E99" t="s">
        <v>3261</v>
      </c>
      <c r="F99" t="s">
        <v>90</v>
      </c>
      <c r="G99" s="11">
        <v>2</v>
      </c>
      <c r="H99" s="11">
        <v>8</v>
      </c>
      <c r="I99" s="11">
        <v>90</v>
      </c>
      <c r="J99" s="14">
        <v>1.8</v>
      </c>
      <c r="K99" s="14">
        <v>2.87</v>
      </c>
      <c r="L99" t="s">
        <v>31</v>
      </c>
      <c r="M99" t="s">
        <v>31</v>
      </c>
    </row>
    <row r="100" spans="1:13" x14ac:dyDescent="0.25">
      <c r="A100" t="s">
        <v>702</v>
      </c>
      <c r="B100" t="s">
        <v>703</v>
      </c>
      <c r="C100" t="s">
        <v>704</v>
      </c>
      <c r="D100" t="s">
        <v>408</v>
      </c>
      <c r="E100" t="s">
        <v>3262</v>
      </c>
      <c r="F100" t="s">
        <v>220</v>
      </c>
      <c r="G100" s="11">
        <v>1</v>
      </c>
      <c r="H100" s="11">
        <v>6</v>
      </c>
      <c r="I100" s="11">
        <v>120</v>
      </c>
      <c r="J100" s="14">
        <v>12.58</v>
      </c>
      <c r="K100" s="14">
        <v>24.61</v>
      </c>
      <c r="L100" t="s">
        <v>31</v>
      </c>
      <c r="M100" t="s">
        <v>31</v>
      </c>
    </row>
    <row r="101" spans="1:13" x14ac:dyDescent="0.25">
      <c r="A101" t="s">
        <v>705</v>
      </c>
      <c r="B101" t="s">
        <v>706</v>
      </c>
      <c r="C101" t="s">
        <v>707</v>
      </c>
      <c r="D101" t="s">
        <v>459</v>
      </c>
      <c r="E101" t="s">
        <v>3266</v>
      </c>
      <c r="F101" t="s">
        <v>122</v>
      </c>
      <c r="G101" s="11">
        <v>0</v>
      </c>
      <c r="H101" s="11">
        <v>4</v>
      </c>
      <c r="I101" s="11">
        <v>7</v>
      </c>
      <c r="J101" s="14">
        <v>12.41</v>
      </c>
      <c r="K101" s="14">
        <v>28.58</v>
      </c>
      <c r="L101" t="s">
        <v>31</v>
      </c>
      <c r="M101" t="s">
        <v>31</v>
      </c>
    </row>
    <row r="102" spans="1:13" x14ac:dyDescent="0.25">
      <c r="A102" t="s">
        <v>708</v>
      </c>
      <c r="B102" t="s">
        <v>709</v>
      </c>
      <c r="C102" t="s">
        <v>710</v>
      </c>
      <c r="D102" t="s">
        <v>404</v>
      </c>
      <c r="E102" t="s">
        <v>3261</v>
      </c>
      <c r="F102" t="s">
        <v>214</v>
      </c>
      <c r="G102" s="11">
        <v>2</v>
      </c>
      <c r="H102" s="11">
        <v>8</v>
      </c>
      <c r="I102" s="11">
        <v>21</v>
      </c>
      <c r="J102" s="14">
        <v>10.130000000000001</v>
      </c>
      <c r="K102" s="14">
        <v>18.07</v>
      </c>
      <c r="L102" t="s">
        <v>31</v>
      </c>
      <c r="M102" t="s">
        <v>31</v>
      </c>
    </row>
    <row r="103" spans="1:13" x14ac:dyDescent="0.25">
      <c r="A103" t="s">
        <v>711</v>
      </c>
      <c r="B103" t="s">
        <v>712</v>
      </c>
      <c r="C103" t="s">
        <v>713</v>
      </c>
      <c r="D103" t="s">
        <v>412</v>
      </c>
      <c r="E103" t="s">
        <v>3263</v>
      </c>
      <c r="F103" t="s">
        <v>238</v>
      </c>
      <c r="G103" s="11">
        <v>0</v>
      </c>
      <c r="H103" s="11">
        <v>5</v>
      </c>
      <c r="I103" s="11">
        <v>60</v>
      </c>
      <c r="J103" s="14">
        <v>11.26</v>
      </c>
      <c r="K103" s="14">
        <v>21.85</v>
      </c>
      <c r="L103" t="s">
        <v>31</v>
      </c>
      <c r="M103" t="s">
        <v>15</v>
      </c>
    </row>
    <row r="104" spans="1:13" x14ac:dyDescent="0.25">
      <c r="A104" t="s">
        <v>714</v>
      </c>
      <c r="B104" t="s">
        <v>715</v>
      </c>
      <c r="C104" t="s">
        <v>716</v>
      </c>
      <c r="D104" t="s">
        <v>400</v>
      </c>
      <c r="E104" t="s">
        <v>3260</v>
      </c>
      <c r="F104" t="s">
        <v>274</v>
      </c>
      <c r="G104" s="11">
        <v>4</v>
      </c>
      <c r="H104" s="11">
        <v>8</v>
      </c>
      <c r="I104" s="11">
        <v>90</v>
      </c>
      <c r="J104" s="14">
        <v>8.02</v>
      </c>
      <c r="K104" s="14">
        <v>15.64</v>
      </c>
      <c r="L104" t="s">
        <v>15</v>
      </c>
      <c r="M104" t="s">
        <v>31</v>
      </c>
    </row>
    <row r="105" spans="1:13" x14ac:dyDescent="0.25">
      <c r="A105" t="s">
        <v>717</v>
      </c>
      <c r="B105" t="s">
        <v>718</v>
      </c>
      <c r="C105" t="s">
        <v>719</v>
      </c>
      <c r="D105" t="s">
        <v>400</v>
      </c>
      <c r="E105" t="s">
        <v>3260</v>
      </c>
      <c r="F105" t="s">
        <v>122</v>
      </c>
      <c r="G105" s="11">
        <v>4</v>
      </c>
      <c r="H105" s="11">
        <v>8</v>
      </c>
      <c r="I105" s="11">
        <v>7</v>
      </c>
      <c r="J105" s="14">
        <v>13.79</v>
      </c>
      <c r="K105" s="14">
        <v>25.01</v>
      </c>
      <c r="L105" t="s">
        <v>31</v>
      </c>
      <c r="M105" t="s">
        <v>31</v>
      </c>
    </row>
    <row r="106" spans="1:13" x14ac:dyDescent="0.25">
      <c r="A106" t="s">
        <v>720</v>
      </c>
      <c r="B106" t="s">
        <v>721</v>
      </c>
      <c r="C106" t="s">
        <v>722</v>
      </c>
      <c r="D106" t="s">
        <v>459</v>
      </c>
      <c r="E106" t="s">
        <v>3266</v>
      </c>
      <c r="F106" t="s">
        <v>276</v>
      </c>
      <c r="G106" s="11">
        <v>0</v>
      </c>
      <c r="H106" s="11">
        <v>4</v>
      </c>
      <c r="I106" s="11">
        <v>90</v>
      </c>
      <c r="J106" s="14">
        <v>8.34</v>
      </c>
      <c r="K106" s="14">
        <v>19.28</v>
      </c>
      <c r="L106" t="s">
        <v>31</v>
      </c>
      <c r="M106" t="s">
        <v>31</v>
      </c>
    </row>
    <row r="107" spans="1:13" x14ac:dyDescent="0.25">
      <c r="A107" t="s">
        <v>723</v>
      </c>
      <c r="B107" t="s">
        <v>724</v>
      </c>
      <c r="C107" t="s">
        <v>725</v>
      </c>
      <c r="D107" t="s">
        <v>412</v>
      </c>
      <c r="E107" t="s">
        <v>3263</v>
      </c>
      <c r="F107" t="s">
        <v>259</v>
      </c>
      <c r="G107" s="11">
        <v>0</v>
      </c>
      <c r="H107" s="11">
        <v>5</v>
      </c>
      <c r="I107" s="11">
        <v>90</v>
      </c>
      <c r="J107" s="14">
        <v>8.09</v>
      </c>
      <c r="K107" s="14">
        <v>14.53</v>
      </c>
      <c r="L107" t="s">
        <v>31</v>
      </c>
      <c r="M107" t="s">
        <v>31</v>
      </c>
    </row>
    <row r="108" spans="1:13" x14ac:dyDescent="0.25">
      <c r="A108" t="s">
        <v>726</v>
      </c>
      <c r="B108" t="s">
        <v>727</v>
      </c>
      <c r="C108" t="s">
        <v>728</v>
      </c>
      <c r="D108" t="s">
        <v>426</v>
      </c>
      <c r="E108" t="s">
        <v>3261</v>
      </c>
      <c r="F108" t="s">
        <v>247</v>
      </c>
      <c r="G108" s="11">
        <v>2</v>
      </c>
      <c r="H108" s="11">
        <v>6</v>
      </c>
      <c r="I108" s="11">
        <v>7</v>
      </c>
      <c r="J108" s="14">
        <v>10.86</v>
      </c>
      <c r="K108" s="14">
        <v>16.05</v>
      </c>
      <c r="L108" t="s">
        <v>31</v>
      </c>
      <c r="M108" t="s">
        <v>31</v>
      </c>
    </row>
    <row r="109" spans="1:13" x14ac:dyDescent="0.25">
      <c r="A109" t="s">
        <v>729</v>
      </c>
      <c r="B109" t="s">
        <v>730</v>
      </c>
      <c r="C109" t="s">
        <v>731</v>
      </c>
      <c r="D109" t="s">
        <v>426</v>
      </c>
      <c r="E109" t="s">
        <v>3261</v>
      </c>
      <c r="F109" t="s">
        <v>342</v>
      </c>
      <c r="G109" s="11">
        <v>2</v>
      </c>
      <c r="H109" s="11">
        <v>6</v>
      </c>
      <c r="I109" s="11">
        <v>90</v>
      </c>
      <c r="J109" s="14">
        <v>12.72</v>
      </c>
      <c r="K109" s="14">
        <v>18.48</v>
      </c>
      <c r="L109" t="s">
        <v>31</v>
      </c>
      <c r="M109" t="s">
        <v>31</v>
      </c>
    </row>
    <row r="110" spans="1:13" x14ac:dyDescent="0.25">
      <c r="A110" t="s">
        <v>732</v>
      </c>
      <c r="B110" t="s">
        <v>733</v>
      </c>
      <c r="C110" t="s">
        <v>734</v>
      </c>
      <c r="D110" t="s">
        <v>412</v>
      </c>
      <c r="E110" t="s">
        <v>3263</v>
      </c>
      <c r="F110" t="s">
        <v>106</v>
      </c>
      <c r="G110" s="11">
        <v>0</v>
      </c>
      <c r="H110" s="11">
        <v>5</v>
      </c>
      <c r="I110" s="11">
        <v>21</v>
      </c>
      <c r="J110" s="14">
        <v>4.7</v>
      </c>
      <c r="K110" s="14">
        <v>7.63</v>
      </c>
      <c r="L110" t="s">
        <v>15</v>
      </c>
      <c r="M110" t="s">
        <v>31</v>
      </c>
    </row>
    <row r="111" spans="1:13" x14ac:dyDescent="0.25">
      <c r="A111" t="s">
        <v>735</v>
      </c>
      <c r="B111" t="s">
        <v>736</v>
      </c>
      <c r="C111" t="s">
        <v>737</v>
      </c>
      <c r="D111" t="s">
        <v>404</v>
      </c>
      <c r="E111" t="s">
        <v>3261</v>
      </c>
      <c r="F111" t="s">
        <v>344</v>
      </c>
      <c r="G111" s="11">
        <v>2</v>
      </c>
      <c r="H111" s="11">
        <v>8</v>
      </c>
      <c r="I111" s="11">
        <v>45</v>
      </c>
      <c r="J111" s="14">
        <v>6.22</v>
      </c>
      <c r="K111" s="14">
        <v>14.88</v>
      </c>
      <c r="L111" t="s">
        <v>31</v>
      </c>
      <c r="M111" t="s">
        <v>15</v>
      </c>
    </row>
    <row r="112" spans="1:13" x14ac:dyDescent="0.25">
      <c r="A112" t="s">
        <v>738</v>
      </c>
      <c r="B112" t="s">
        <v>739</v>
      </c>
      <c r="C112" t="s">
        <v>740</v>
      </c>
      <c r="D112" t="s">
        <v>436</v>
      </c>
      <c r="E112" t="s">
        <v>3264</v>
      </c>
      <c r="F112" t="s">
        <v>361</v>
      </c>
      <c r="G112" s="11">
        <v>2</v>
      </c>
      <c r="H112" s="11">
        <v>8</v>
      </c>
      <c r="I112" s="11">
        <v>10</v>
      </c>
      <c r="J112" s="14">
        <v>12.41</v>
      </c>
      <c r="K112" s="14">
        <v>26.96</v>
      </c>
      <c r="L112" t="s">
        <v>31</v>
      </c>
      <c r="M112" t="s">
        <v>31</v>
      </c>
    </row>
    <row r="113" spans="1:13" x14ac:dyDescent="0.25">
      <c r="A113" t="s">
        <v>741</v>
      </c>
      <c r="B113" t="s">
        <v>742</v>
      </c>
      <c r="C113" t="s">
        <v>743</v>
      </c>
      <c r="D113" t="s">
        <v>416</v>
      </c>
      <c r="E113" t="s">
        <v>3261</v>
      </c>
      <c r="F113" t="s">
        <v>241</v>
      </c>
      <c r="G113" s="11">
        <v>-2</v>
      </c>
      <c r="H113" s="11">
        <v>4</v>
      </c>
      <c r="I113" s="11">
        <v>45</v>
      </c>
      <c r="J113" s="14">
        <v>9.08</v>
      </c>
      <c r="K113" s="14">
        <v>16.86</v>
      </c>
      <c r="L113" t="s">
        <v>31</v>
      </c>
      <c r="M113" t="s">
        <v>31</v>
      </c>
    </row>
    <row r="114" spans="1:13" x14ac:dyDescent="0.25">
      <c r="A114" t="s">
        <v>744</v>
      </c>
      <c r="B114" t="s">
        <v>745</v>
      </c>
      <c r="C114" t="s">
        <v>746</v>
      </c>
      <c r="D114" t="s">
        <v>426</v>
      </c>
      <c r="E114" t="s">
        <v>3261</v>
      </c>
      <c r="F114" t="s">
        <v>173</v>
      </c>
      <c r="G114" s="11">
        <v>2</v>
      </c>
      <c r="H114" s="11">
        <v>6</v>
      </c>
      <c r="I114" s="11">
        <v>45</v>
      </c>
      <c r="J114" s="14">
        <v>5.39</v>
      </c>
      <c r="K114" s="14">
        <v>11.27</v>
      </c>
      <c r="L114" t="s">
        <v>31</v>
      </c>
      <c r="M114" t="s">
        <v>31</v>
      </c>
    </row>
    <row r="115" spans="1:13" x14ac:dyDescent="0.25">
      <c r="A115" t="s">
        <v>747</v>
      </c>
      <c r="B115" t="s">
        <v>748</v>
      </c>
      <c r="C115" t="s">
        <v>749</v>
      </c>
      <c r="D115" t="s">
        <v>459</v>
      </c>
      <c r="E115" t="s">
        <v>3266</v>
      </c>
      <c r="F115" t="s">
        <v>339</v>
      </c>
      <c r="G115" s="11">
        <v>0</v>
      </c>
      <c r="H115" s="11">
        <v>4</v>
      </c>
      <c r="I115" s="11">
        <v>21</v>
      </c>
      <c r="J115" s="14">
        <v>15.57</v>
      </c>
      <c r="K115" s="14">
        <v>21.76</v>
      </c>
      <c r="L115" t="s">
        <v>3268</v>
      </c>
      <c r="M115" t="s">
        <v>15</v>
      </c>
    </row>
    <row r="116" spans="1:13" x14ac:dyDescent="0.25">
      <c r="A116" t="s">
        <v>750</v>
      </c>
      <c r="B116" t="s">
        <v>751</v>
      </c>
      <c r="C116" t="s">
        <v>752</v>
      </c>
      <c r="D116" t="s">
        <v>404</v>
      </c>
      <c r="E116" t="s">
        <v>3261</v>
      </c>
      <c r="F116" t="s">
        <v>271</v>
      </c>
      <c r="G116" s="11">
        <v>2</v>
      </c>
      <c r="H116" s="11">
        <v>8</v>
      </c>
      <c r="I116" s="11">
        <v>90</v>
      </c>
      <c r="J116" s="14">
        <v>13.92</v>
      </c>
      <c r="K116" s="14">
        <v>19.13</v>
      </c>
      <c r="L116" t="s">
        <v>31</v>
      </c>
      <c r="M116" t="s">
        <v>15</v>
      </c>
    </row>
    <row r="117" spans="1:13" x14ac:dyDescent="0.25">
      <c r="A117" t="s">
        <v>753</v>
      </c>
      <c r="B117" t="s">
        <v>754</v>
      </c>
      <c r="C117" t="s">
        <v>755</v>
      </c>
      <c r="D117" t="s">
        <v>412</v>
      </c>
      <c r="E117" t="s">
        <v>3263</v>
      </c>
      <c r="F117" t="s">
        <v>217</v>
      </c>
      <c r="G117" s="11">
        <v>0</v>
      </c>
      <c r="H117" s="11">
        <v>5</v>
      </c>
      <c r="I117" s="11">
        <v>45</v>
      </c>
      <c r="J117" s="14">
        <v>2.29</v>
      </c>
      <c r="K117" s="14">
        <v>3.18</v>
      </c>
      <c r="L117" t="s">
        <v>31</v>
      </c>
      <c r="M117" t="s">
        <v>31</v>
      </c>
    </row>
    <row r="118" spans="1:13" x14ac:dyDescent="0.25">
      <c r="A118" t="s">
        <v>756</v>
      </c>
      <c r="B118" t="s">
        <v>757</v>
      </c>
      <c r="C118" t="s">
        <v>758</v>
      </c>
      <c r="D118" t="s">
        <v>404</v>
      </c>
      <c r="E118" t="s">
        <v>3261</v>
      </c>
      <c r="F118" t="s">
        <v>80</v>
      </c>
      <c r="G118" s="11">
        <v>2</v>
      </c>
      <c r="H118" s="11">
        <v>8</v>
      </c>
      <c r="I118" s="11">
        <v>90</v>
      </c>
      <c r="J118" s="14">
        <v>6</v>
      </c>
      <c r="K118" s="14">
        <v>10.79</v>
      </c>
      <c r="L118" t="s">
        <v>31</v>
      </c>
      <c r="M118" t="s">
        <v>31</v>
      </c>
    </row>
    <row r="119" spans="1:13" x14ac:dyDescent="0.25">
      <c r="A119" t="s">
        <v>759</v>
      </c>
      <c r="B119" t="s">
        <v>760</v>
      </c>
      <c r="C119" t="s">
        <v>761</v>
      </c>
      <c r="D119" t="s">
        <v>404</v>
      </c>
      <c r="E119" t="s">
        <v>3261</v>
      </c>
      <c r="F119" t="s">
        <v>276</v>
      </c>
      <c r="G119" s="11">
        <v>2</v>
      </c>
      <c r="H119" s="11">
        <v>8</v>
      </c>
      <c r="I119" s="11">
        <v>120</v>
      </c>
      <c r="J119" s="14">
        <v>11.21</v>
      </c>
      <c r="K119" s="14">
        <v>19.22</v>
      </c>
      <c r="L119" t="s">
        <v>15</v>
      </c>
      <c r="M119" t="s">
        <v>31</v>
      </c>
    </row>
    <row r="120" spans="1:13" x14ac:dyDescent="0.25">
      <c r="A120" t="s">
        <v>762</v>
      </c>
      <c r="B120" t="s">
        <v>763</v>
      </c>
      <c r="C120" t="s">
        <v>764</v>
      </c>
      <c r="D120" t="s">
        <v>408</v>
      </c>
      <c r="E120" t="s">
        <v>3262</v>
      </c>
      <c r="F120" t="s">
        <v>238</v>
      </c>
      <c r="G120" s="11">
        <v>1</v>
      </c>
      <c r="H120" s="11">
        <v>6</v>
      </c>
      <c r="I120" s="11">
        <v>30</v>
      </c>
      <c r="J120" s="14">
        <v>8.8699999999999992</v>
      </c>
      <c r="K120" s="14">
        <v>14.9</v>
      </c>
      <c r="L120" t="s">
        <v>31</v>
      </c>
      <c r="M120" t="s">
        <v>31</v>
      </c>
    </row>
    <row r="121" spans="1:13" x14ac:dyDescent="0.25">
      <c r="A121" t="s">
        <v>765</v>
      </c>
      <c r="B121" t="s">
        <v>766</v>
      </c>
      <c r="C121" t="s">
        <v>767</v>
      </c>
      <c r="D121" t="s">
        <v>436</v>
      </c>
      <c r="E121" t="s">
        <v>3264</v>
      </c>
      <c r="F121" t="s">
        <v>71</v>
      </c>
      <c r="G121" s="11">
        <v>2</v>
      </c>
      <c r="H121" s="11">
        <v>8</v>
      </c>
      <c r="I121" s="11">
        <v>120</v>
      </c>
      <c r="J121" s="14">
        <v>8.41</v>
      </c>
      <c r="K121" s="14">
        <v>19.350000000000001</v>
      </c>
      <c r="L121" t="s">
        <v>31</v>
      </c>
      <c r="M121" t="s">
        <v>31</v>
      </c>
    </row>
    <row r="122" spans="1:13" x14ac:dyDescent="0.25">
      <c r="A122" t="s">
        <v>768</v>
      </c>
      <c r="B122" t="s">
        <v>769</v>
      </c>
      <c r="C122" t="s">
        <v>770</v>
      </c>
      <c r="D122" t="s">
        <v>400</v>
      </c>
      <c r="E122" t="s">
        <v>3260</v>
      </c>
      <c r="F122" t="s">
        <v>253</v>
      </c>
      <c r="G122" s="11">
        <v>4</v>
      </c>
      <c r="H122" s="11">
        <v>8</v>
      </c>
      <c r="I122" s="11">
        <v>21</v>
      </c>
      <c r="J122" s="14">
        <v>11</v>
      </c>
      <c r="K122" s="14">
        <v>17.170000000000002</v>
      </c>
      <c r="L122" t="s">
        <v>31</v>
      </c>
      <c r="M122" t="s">
        <v>31</v>
      </c>
    </row>
    <row r="123" spans="1:13" x14ac:dyDescent="0.25">
      <c r="A123" t="s">
        <v>771</v>
      </c>
      <c r="B123" t="s">
        <v>772</v>
      </c>
      <c r="C123" t="s">
        <v>773</v>
      </c>
      <c r="D123" t="s">
        <v>426</v>
      </c>
      <c r="E123" t="s">
        <v>3261</v>
      </c>
      <c r="F123" t="s">
        <v>176</v>
      </c>
      <c r="G123" s="11">
        <v>2</v>
      </c>
      <c r="H123" s="11">
        <v>6</v>
      </c>
      <c r="I123" s="11">
        <v>21</v>
      </c>
      <c r="J123" s="14">
        <v>3.82</v>
      </c>
      <c r="K123" s="14">
        <v>6.24</v>
      </c>
      <c r="L123" t="s">
        <v>15</v>
      </c>
      <c r="M123" t="s">
        <v>31</v>
      </c>
    </row>
    <row r="124" spans="1:13" x14ac:dyDescent="0.25">
      <c r="A124" t="s">
        <v>774</v>
      </c>
      <c r="B124" t="s">
        <v>775</v>
      </c>
      <c r="C124" t="s">
        <v>776</v>
      </c>
      <c r="D124" t="s">
        <v>412</v>
      </c>
      <c r="E124" t="s">
        <v>3263</v>
      </c>
      <c r="F124" t="s">
        <v>181</v>
      </c>
      <c r="G124" s="11">
        <v>0</v>
      </c>
      <c r="H124" s="11">
        <v>5</v>
      </c>
      <c r="I124" s="11">
        <v>120</v>
      </c>
      <c r="J124" s="14">
        <v>6.42</v>
      </c>
      <c r="K124" s="14">
        <v>12.64</v>
      </c>
      <c r="L124" t="s">
        <v>31</v>
      </c>
      <c r="M124" t="s">
        <v>31</v>
      </c>
    </row>
    <row r="125" spans="1:13" x14ac:dyDescent="0.25">
      <c r="A125" t="s">
        <v>777</v>
      </c>
      <c r="B125" t="s">
        <v>778</v>
      </c>
      <c r="C125" t="s">
        <v>779</v>
      </c>
      <c r="D125" t="s">
        <v>426</v>
      </c>
      <c r="E125" t="s">
        <v>3261</v>
      </c>
      <c r="F125" t="s">
        <v>346</v>
      </c>
      <c r="G125" s="11">
        <v>2</v>
      </c>
      <c r="H125" s="11">
        <v>6</v>
      </c>
      <c r="I125" s="11">
        <v>7</v>
      </c>
      <c r="J125" s="14">
        <v>15.46</v>
      </c>
      <c r="K125" s="14">
        <v>22.99</v>
      </c>
      <c r="L125" t="s">
        <v>31</v>
      </c>
      <c r="M125" t="s">
        <v>31</v>
      </c>
    </row>
    <row r="126" spans="1:13" x14ac:dyDescent="0.25">
      <c r="A126" t="s">
        <v>780</v>
      </c>
      <c r="B126" t="s">
        <v>781</v>
      </c>
      <c r="C126" t="s">
        <v>782</v>
      </c>
      <c r="D126" t="s">
        <v>563</v>
      </c>
      <c r="E126" t="s">
        <v>3267</v>
      </c>
      <c r="F126" t="s">
        <v>41</v>
      </c>
      <c r="G126" s="11">
        <v>-18</v>
      </c>
      <c r="H126" s="11">
        <v>-10</v>
      </c>
      <c r="I126" s="11">
        <v>21</v>
      </c>
      <c r="J126" s="14">
        <v>15.68</v>
      </c>
      <c r="K126" s="14">
        <v>29.97</v>
      </c>
      <c r="L126" t="s">
        <v>31</v>
      </c>
      <c r="M126" t="s">
        <v>31</v>
      </c>
    </row>
    <row r="127" spans="1:13" x14ac:dyDescent="0.25">
      <c r="A127" t="s">
        <v>783</v>
      </c>
      <c r="B127" t="s">
        <v>784</v>
      </c>
      <c r="C127" t="s">
        <v>785</v>
      </c>
      <c r="D127" t="s">
        <v>408</v>
      </c>
      <c r="E127" t="s">
        <v>3262</v>
      </c>
      <c r="F127" t="s">
        <v>229</v>
      </c>
      <c r="G127" s="11">
        <v>1</v>
      </c>
      <c r="H127" s="11">
        <v>6</v>
      </c>
      <c r="I127" s="11">
        <v>60</v>
      </c>
      <c r="J127" s="14">
        <v>2.25</v>
      </c>
      <c r="K127" s="14">
        <v>4.4000000000000004</v>
      </c>
      <c r="L127" t="s">
        <v>31</v>
      </c>
      <c r="M127" t="s">
        <v>31</v>
      </c>
    </row>
    <row r="128" spans="1:13" x14ac:dyDescent="0.25">
      <c r="A128" t="s">
        <v>786</v>
      </c>
      <c r="B128" t="s">
        <v>787</v>
      </c>
      <c r="C128" t="s">
        <v>788</v>
      </c>
      <c r="D128" t="s">
        <v>459</v>
      </c>
      <c r="E128" t="s">
        <v>3266</v>
      </c>
      <c r="F128" t="s">
        <v>140</v>
      </c>
      <c r="G128" s="11">
        <v>0</v>
      </c>
      <c r="H128" s="11">
        <v>4</v>
      </c>
      <c r="I128" s="11">
        <v>10</v>
      </c>
      <c r="J128" s="14">
        <v>3.45</v>
      </c>
      <c r="K128" s="14">
        <v>8.02</v>
      </c>
      <c r="L128" t="s">
        <v>31</v>
      </c>
      <c r="M128" t="s">
        <v>31</v>
      </c>
    </row>
    <row r="129" spans="1:13" x14ac:dyDescent="0.25">
      <c r="A129" t="s">
        <v>789</v>
      </c>
      <c r="B129" t="s">
        <v>790</v>
      </c>
      <c r="C129" t="s">
        <v>791</v>
      </c>
      <c r="D129" t="s">
        <v>400</v>
      </c>
      <c r="E129" t="s">
        <v>3260</v>
      </c>
      <c r="F129" t="s">
        <v>196</v>
      </c>
      <c r="G129" s="11">
        <v>4</v>
      </c>
      <c r="H129" s="11">
        <v>8</v>
      </c>
      <c r="I129" s="11">
        <v>7</v>
      </c>
      <c r="J129" s="14">
        <v>12.89</v>
      </c>
      <c r="K129" s="14">
        <v>30.71</v>
      </c>
      <c r="L129" t="s">
        <v>31</v>
      </c>
      <c r="M129" t="s">
        <v>15</v>
      </c>
    </row>
    <row r="130" spans="1:13" x14ac:dyDescent="0.25">
      <c r="A130" t="s">
        <v>792</v>
      </c>
      <c r="B130" t="s">
        <v>793</v>
      </c>
      <c r="C130" t="s">
        <v>794</v>
      </c>
      <c r="D130" t="s">
        <v>563</v>
      </c>
      <c r="E130" t="s">
        <v>3267</v>
      </c>
      <c r="F130" t="s">
        <v>256</v>
      </c>
      <c r="G130" s="11">
        <v>-18</v>
      </c>
      <c r="H130" s="11">
        <v>-10</v>
      </c>
      <c r="I130" s="11">
        <v>120</v>
      </c>
      <c r="J130" s="14">
        <v>4.3099999999999996</v>
      </c>
      <c r="K130" s="14">
        <v>6.98</v>
      </c>
      <c r="L130" t="s">
        <v>15</v>
      </c>
      <c r="M130" t="s">
        <v>15</v>
      </c>
    </row>
    <row r="131" spans="1:13" x14ac:dyDescent="0.25">
      <c r="A131" t="s">
        <v>795</v>
      </c>
      <c r="B131" t="s">
        <v>796</v>
      </c>
      <c r="C131" t="s">
        <v>797</v>
      </c>
      <c r="D131" t="s">
        <v>408</v>
      </c>
      <c r="E131" t="s">
        <v>3262</v>
      </c>
      <c r="F131" t="s">
        <v>223</v>
      </c>
      <c r="G131" s="11">
        <v>1</v>
      </c>
      <c r="H131" s="11">
        <v>6</v>
      </c>
      <c r="I131" s="11">
        <v>14</v>
      </c>
      <c r="J131" s="14">
        <v>7.32</v>
      </c>
      <c r="K131" s="14">
        <v>11.31</v>
      </c>
      <c r="L131" t="s">
        <v>15</v>
      </c>
      <c r="M131" t="s">
        <v>31</v>
      </c>
    </row>
    <row r="132" spans="1:13" x14ac:dyDescent="0.25">
      <c r="A132" t="s">
        <v>798</v>
      </c>
      <c r="B132" t="s">
        <v>799</v>
      </c>
      <c r="C132" t="s">
        <v>800</v>
      </c>
      <c r="D132" t="s">
        <v>426</v>
      </c>
      <c r="E132" t="s">
        <v>3261</v>
      </c>
      <c r="F132" t="s">
        <v>344</v>
      </c>
      <c r="G132" s="11">
        <v>2</v>
      </c>
      <c r="H132" s="11">
        <v>6</v>
      </c>
      <c r="I132" s="11">
        <v>21</v>
      </c>
      <c r="J132" s="14">
        <v>17.04</v>
      </c>
      <c r="K132" s="14">
        <v>32.5</v>
      </c>
      <c r="L132" t="s">
        <v>15</v>
      </c>
      <c r="M132" t="s">
        <v>31</v>
      </c>
    </row>
    <row r="133" spans="1:13" x14ac:dyDescent="0.25">
      <c r="A133" t="s">
        <v>801</v>
      </c>
      <c r="B133" t="s">
        <v>802</v>
      </c>
      <c r="C133" t="s">
        <v>803</v>
      </c>
      <c r="D133" t="s">
        <v>436</v>
      </c>
      <c r="E133" t="s">
        <v>3264</v>
      </c>
      <c r="F133" t="s">
        <v>220</v>
      </c>
      <c r="G133" s="11">
        <v>2</v>
      </c>
      <c r="H133" s="11">
        <v>8</v>
      </c>
      <c r="I133" s="11">
        <v>10</v>
      </c>
      <c r="J133" s="14">
        <v>5.67</v>
      </c>
      <c r="K133" s="14">
        <v>12.39</v>
      </c>
      <c r="L133" t="s">
        <v>31</v>
      </c>
      <c r="M133" t="s">
        <v>31</v>
      </c>
    </row>
    <row r="134" spans="1:13" x14ac:dyDescent="0.25">
      <c r="A134" t="s">
        <v>804</v>
      </c>
      <c r="B134" t="s">
        <v>805</v>
      </c>
      <c r="C134" t="s">
        <v>806</v>
      </c>
      <c r="D134" t="s">
        <v>436</v>
      </c>
      <c r="E134" t="s">
        <v>3264</v>
      </c>
      <c r="F134" t="s">
        <v>71</v>
      </c>
      <c r="G134" s="11">
        <v>2</v>
      </c>
      <c r="H134" s="11">
        <v>8</v>
      </c>
      <c r="I134" s="11">
        <v>14</v>
      </c>
      <c r="J134" s="14">
        <v>16.989999999999998</v>
      </c>
      <c r="K134" s="14">
        <v>31.37</v>
      </c>
      <c r="L134" t="s">
        <v>15</v>
      </c>
      <c r="M134" t="s">
        <v>15</v>
      </c>
    </row>
    <row r="135" spans="1:13" x14ac:dyDescent="0.25">
      <c r="A135" t="s">
        <v>807</v>
      </c>
      <c r="B135" t="s">
        <v>808</v>
      </c>
      <c r="C135" t="s">
        <v>809</v>
      </c>
      <c r="D135" t="s">
        <v>412</v>
      </c>
      <c r="E135" t="s">
        <v>3263</v>
      </c>
      <c r="F135" t="s">
        <v>184</v>
      </c>
      <c r="G135" s="11">
        <v>0</v>
      </c>
      <c r="H135" s="11">
        <v>5</v>
      </c>
      <c r="I135" s="11">
        <v>60</v>
      </c>
      <c r="J135" s="14">
        <v>13.57</v>
      </c>
      <c r="K135" s="14">
        <v>20.85</v>
      </c>
      <c r="L135" t="s">
        <v>31</v>
      </c>
      <c r="M135" t="s">
        <v>31</v>
      </c>
    </row>
    <row r="136" spans="1:13" x14ac:dyDescent="0.25">
      <c r="A136" t="s">
        <v>810</v>
      </c>
      <c r="B136" t="s">
        <v>811</v>
      </c>
      <c r="C136" t="s">
        <v>812</v>
      </c>
      <c r="D136" t="s">
        <v>416</v>
      </c>
      <c r="E136" t="s">
        <v>3261</v>
      </c>
      <c r="F136" t="s">
        <v>52</v>
      </c>
      <c r="G136" s="11">
        <v>-2</v>
      </c>
      <c r="H136" s="11">
        <v>4</v>
      </c>
      <c r="I136" s="11">
        <v>90</v>
      </c>
      <c r="J136" s="14">
        <v>11.96</v>
      </c>
      <c r="K136" s="14">
        <v>25.52</v>
      </c>
      <c r="L136" t="s">
        <v>31</v>
      </c>
      <c r="M136" t="s">
        <v>31</v>
      </c>
    </row>
    <row r="137" spans="1:13" x14ac:dyDescent="0.25">
      <c r="A137" t="s">
        <v>813</v>
      </c>
      <c r="B137" t="s">
        <v>814</v>
      </c>
      <c r="C137" t="s">
        <v>815</v>
      </c>
      <c r="D137" t="s">
        <v>455</v>
      </c>
      <c r="E137" t="s">
        <v>3265</v>
      </c>
      <c r="F137" t="s">
        <v>232</v>
      </c>
      <c r="G137" s="11">
        <v>1</v>
      </c>
      <c r="H137" s="11">
        <v>6</v>
      </c>
      <c r="I137" s="11">
        <v>10</v>
      </c>
      <c r="J137" s="14">
        <v>5.94</v>
      </c>
      <c r="K137" s="14">
        <v>10.57</v>
      </c>
      <c r="L137" t="s">
        <v>31</v>
      </c>
      <c r="M137" t="s">
        <v>31</v>
      </c>
    </row>
    <row r="138" spans="1:13" x14ac:dyDescent="0.25">
      <c r="A138" t="s">
        <v>816</v>
      </c>
      <c r="B138" t="s">
        <v>817</v>
      </c>
      <c r="C138" t="s">
        <v>818</v>
      </c>
      <c r="D138" t="s">
        <v>459</v>
      </c>
      <c r="E138" t="s">
        <v>3266</v>
      </c>
      <c r="F138" t="s">
        <v>80</v>
      </c>
      <c r="G138" s="11">
        <v>0</v>
      </c>
      <c r="H138" s="11">
        <v>4</v>
      </c>
      <c r="I138" s="11">
        <v>30</v>
      </c>
      <c r="J138" s="14">
        <v>11.03</v>
      </c>
      <c r="K138" s="14">
        <v>22.27</v>
      </c>
      <c r="L138" t="s">
        <v>31</v>
      </c>
      <c r="M138" t="s">
        <v>15</v>
      </c>
    </row>
    <row r="139" spans="1:13" x14ac:dyDescent="0.25">
      <c r="A139" t="s">
        <v>819</v>
      </c>
      <c r="B139" t="s">
        <v>820</v>
      </c>
      <c r="C139" t="s">
        <v>821</v>
      </c>
      <c r="D139" t="s">
        <v>404</v>
      </c>
      <c r="E139" t="s">
        <v>3261</v>
      </c>
      <c r="F139" t="s">
        <v>77</v>
      </c>
      <c r="G139" s="11">
        <v>2</v>
      </c>
      <c r="H139" s="11">
        <v>8</v>
      </c>
      <c r="I139" s="11">
        <v>14</v>
      </c>
      <c r="J139" s="14">
        <v>10.66</v>
      </c>
      <c r="K139" s="14">
        <v>17.97</v>
      </c>
      <c r="L139" t="s">
        <v>15</v>
      </c>
      <c r="M139" t="s">
        <v>31</v>
      </c>
    </row>
    <row r="140" spans="1:13" x14ac:dyDescent="0.25">
      <c r="A140" t="s">
        <v>822</v>
      </c>
      <c r="B140" t="s">
        <v>823</v>
      </c>
      <c r="C140" t="s">
        <v>824</v>
      </c>
      <c r="D140" t="s">
        <v>408</v>
      </c>
      <c r="E140" t="s">
        <v>3262</v>
      </c>
      <c r="F140" t="s">
        <v>297</v>
      </c>
      <c r="G140" s="11">
        <v>1</v>
      </c>
      <c r="H140" s="11">
        <v>6</v>
      </c>
      <c r="I140" s="11">
        <v>120</v>
      </c>
      <c r="J140" s="14">
        <v>9.2799999999999994</v>
      </c>
      <c r="K140" s="14">
        <v>21.11</v>
      </c>
      <c r="L140" t="s">
        <v>31</v>
      </c>
      <c r="M140" t="s">
        <v>31</v>
      </c>
    </row>
    <row r="141" spans="1:13" x14ac:dyDescent="0.25">
      <c r="A141" t="s">
        <v>825</v>
      </c>
      <c r="B141" t="s">
        <v>826</v>
      </c>
      <c r="C141" t="s">
        <v>827</v>
      </c>
      <c r="D141" t="s">
        <v>404</v>
      </c>
      <c r="E141" t="s">
        <v>3261</v>
      </c>
      <c r="F141" t="s">
        <v>74</v>
      </c>
      <c r="G141" s="11">
        <v>2</v>
      </c>
      <c r="H141" s="11">
        <v>8</v>
      </c>
      <c r="I141" s="11">
        <v>7</v>
      </c>
      <c r="J141" s="14">
        <v>16.13</v>
      </c>
      <c r="K141" s="14">
        <v>26.7</v>
      </c>
      <c r="L141" t="s">
        <v>31</v>
      </c>
      <c r="M141" t="s">
        <v>31</v>
      </c>
    </row>
    <row r="142" spans="1:13" x14ac:dyDescent="0.25">
      <c r="A142" t="s">
        <v>828</v>
      </c>
      <c r="B142" t="s">
        <v>829</v>
      </c>
      <c r="C142" t="s">
        <v>830</v>
      </c>
      <c r="D142" t="s">
        <v>404</v>
      </c>
      <c r="E142" t="s">
        <v>3261</v>
      </c>
      <c r="F142" t="s">
        <v>112</v>
      </c>
      <c r="G142" s="11">
        <v>2</v>
      </c>
      <c r="H142" s="11">
        <v>8</v>
      </c>
      <c r="I142" s="11">
        <v>10</v>
      </c>
      <c r="J142" s="14">
        <v>10.050000000000001</v>
      </c>
      <c r="K142" s="14">
        <v>17.78</v>
      </c>
      <c r="L142" t="s">
        <v>15</v>
      </c>
      <c r="M142" t="s">
        <v>15</v>
      </c>
    </row>
    <row r="143" spans="1:13" x14ac:dyDescent="0.25">
      <c r="A143" t="s">
        <v>831</v>
      </c>
      <c r="B143" t="s">
        <v>832</v>
      </c>
      <c r="C143" t="s">
        <v>833</v>
      </c>
      <c r="D143" t="s">
        <v>436</v>
      </c>
      <c r="E143" t="s">
        <v>3264</v>
      </c>
      <c r="F143" t="s">
        <v>253</v>
      </c>
      <c r="G143" s="11">
        <v>2</v>
      </c>
      <c r="H143" s="11">
        <v>8</v>
      </c>
      <c r="I143" s="11">
        <v>21</v>
      </c>
      <c r="J143" s="14">
        <v>16.78</v>
      </c>
      <c r="K143" s="14">
        <v>34.909999999999997</v>
      </c>
      <c r="L143" t="s">
        <v>15</v>
      </c>
      <c r="M143" t="s">
        <v>15</v>
      </c>
    </row>
    <row r="144" spans="1:13" x14ac:dyDescent="0.25">
      <c r="A144" t="s">
        <v>834</v>
      </c>
      <c r="B144" t="s">
        <v>835</v>
      </c>
      <c r="C144" t="s">
        <v>836</v>
      </c>
      <c r="D144" t="s">
        <v>400</v>
      </c>
      <c r="E144" t="s">
        <v>3260</v>
      </c>
      <c r="F144" t="s">
        <v>241</v>
      </c>
      <c r="G144" s="11">
        <v>4</v>
      </c>
      <c r="H144" s="11">
        <v>8</v>
      </c>
      <c r="I144" s="11">
        <v>30</v>
      </c>
      <c r="J144" s="14">
        <v>13.54</v>
      </c>
      <c r="K144" s="14">
        <v>28.51</v>
      </c>
      <c r="L144" t="s">
        <v>15</v>
      </c>
      <c r="M144" t="s">
        <v>31</v>
      </c>
    </row>
    <row r="145" spans="1:13" x14ac:dyDescent="0.25">
      <c r="A145" t="s">
        <v>837</v>
      </c>
      <c r="B145" t="s">
        <v>838</v>
      </c>
      <c r="C145" t="s">
        <v>839</v>
      </c>
      <c r="D145" t="s">
        <v>459</v>
      </c>
      <c r="E145" t="s">
        <v>3266</v>
      </c>
      <c r="F145" t="s">
        <v>294</v>
      </c>
      <c r="G145" s="11">
        <v>0</v>
      </c>
      <c r="H145" s="11">
        <v>4</v>
      </c>
      <c r="I145" s="11">
        <v>7</v>
      </c>
      <c r="J145" s="14">
        <v>13.41</v>
      </c>
      <c r="K145" s="14">
        <v>32.270000000000003</v>
      </c>
      <c r="L145" t="s">
        <v>31</v>
      </c>
      <c r="M145" t="s">
        <v>31</v>
      </c>
    </row>
    <row r="146" spans="1:13" x14ac:dyDescent="0.25">
      <c r="A146" t="s">
        <v>840</v>
      </c>
      <c r="B146" t="s">
        <v>841</v>
      </c>
      <c r="C146" t="s">
        <v>842</v>
      </c>
      <c r="D146" t="s">
        <v>436</v>
      </c>
      <c r="E146" t="s">
        <v>3264</v>
      </c>
      <c r="F146" t="s">
        <v>96</v>
      </c>
      <c r="G146" s="11">
        <v>2</v>
      </c>
      <c r="H146" s="11">
        <v>8</v>
      </c>
      <c r="I146" s="11">
        <v>30</v>
      </c>
      <c r="J146" s="14">
        <v>3.17</v>
      </c>
      <c r="K146" s="14">
        <v>7.26</v>
      </c>
      <c r="L146" t="s">
        <v>31</v>
      </c>
      <c r="M146" t="s">
        <v>31</v>
      </c>
    </row>
    <row r="147" spans="1:13" x14ac:dyDescent="0.25">
      <c r="A147" t="s">
        <v>843</v>
      </c>
      <c r="B147" t="s">
        <v>844</v>
      </c>
      <c r="C147" t="s">
        <v>845</v>
      </c>
      <c r="D147" t="s">
        <v>408</v>
      </c>
      <c r="E147" t="s">
        <v>3262</v>
      </c>
      <c r="F147" t="s">
        <v>349</v>
      </c>
      <c r="G147" s="11">
        <v>1</v>
      </c>
      <c r="H147" s="11">
        <v>6</v>
      </c>
      <c r="I147" s="11">
        <v>21</v>
      </c>
      <c r="J147" s="14">
        <v>8.1300000000000008</v>
      </c>
      <c r="K147" s="14">
        <v>17.559999999999999</v>
      </c>
      <c r="L147" t="s">
        <v>15</v>
      </c>
      <c r="M147" t="s">
        <v>31</v>
      </c>
    </row>
    <row r="148" spans="1:13" x14ac:dyDescent="0.25">
      <c r="A148" t="s">
        <v>846</v>
      </c>
      <c r="B148" t="s">
        <v>847</v>
      </c>
      <c r="C148" t="s">
        <v>848</v>
      </c>
      <c r="D148" t="s">
        <v>400</v>
      </c>
      <c r="E148" t="s">
        <v>3260</v>
      </c>
      <c r="F148" t="s">
        <v>285</v>
      </c>
      <c r="G148" s="11">
        <v>4</v>
      </c>
      <c r="H148" s="11">
        <v>8</v>
      </c>
      <c r="I148" s="11">
        <v>7</v>
      </c>
      <c r="J148" s="14">
        <v>15.39</v>
      </c>
      <c r="K148" s="14">
        <v>26.3</v>
      </c>
      <c r="L148" t="s">
        <v>31</v>
      </c>
      <c r="M148" t="s">
        <v>31</v>
      </c>
    </row>
    <row r="149" spans="1:13" x14ac:dyDescent="0.25">
      <c r="A149" t="s">
        <v>849</v>
      </c>
      <c r="B149" t="s">
        <v>850</v>
      </c>
      <c r="C149" t="s">
        <v>851</v>
      </c>
      <c r="D149" t="s">
        <v>416</v>
      </c>
      <c r="E149" t="s">
        <v>3261</v>
      </c>
      <c r="F149" t="s">
        <v>339</v>
      </c>
      <c r="G149" s="11">
        <v>-2</v>
      </c>
      <c r="H149" s="11">
        <v>4</v>
      </c>
      <c r="I149" s="11">
        <v>21</v>
      </c>
      <c r="J149" s="14">
        <v>6.15</v>
      </c>
      <c r="K149" s="14">
        <v>12.66</v>
      </c>
      <c r="L149" t="s">
        <v>31</v>
      </c>
      <c r="M149" t="s">
        <v>31</v>
      </c>
    </row>
    <row r="150" spans="1:13" x14ac:dyDescent="0.25">
      <c r="A150" t="s">
        <v>852</v>
      </c>
      <c r="B150" t="s">
        <v>853</v>
      </c>
      <c r="C150" t="s">
        <v>854</v>
      </c>
      <c r="D150" t="s">
        <v>416</v>
      </c>
      <c r="E150" t="s">
        <v>3261</v>
      </c>
      <c r="F150" t="s">
        <v>285</v>
      </c>
      <c r="G150" s="11">
        <v>-2</v>
      </c>
      <c r="H150" s="11">
        <v>4</v>
      </c>
      <c r="I150" s="11">
        <v>21</v>
      </c>
      <c r="J150" s="14">
        <v>1.55</v>
      </c>
      <c r="K150" s="14">
        <v>2.35</v>
      </c>
      <c r="L150" t="s">
        <v>31</v>
      </c>
      <c r="M150" t="s">
        <v>31</v>
      </c>
    </row>
    <row r="151" spans="1:13" x14ac:dyDescent="0.25">
      <c r="A151" t="s">
        <v>855</v>
      </c>
      <c r="B151" t="s">
        <v>856</v>
      </c>
      <c r="C151" t="s">
        <v>857</v>
      </c>
      <c r="D151" t="s">
        <v>459</v>
      </c>
      <c r="E151" t="s">
        <v>3266</v>
      </c>
      <c r="F151" t="s">
        <v>93</v>
      </c>
      <c r="G151" s="11">
        <v>0</v>
      </c>
      <c r="H151" s="11">
        <v>4</v>
      </c>
      <c r="I151" s="11">
        <v>120</v>
      </c>
      <c r="J151" s="14">
        <v>13.7</v>
      </c>
      <c r="K151" s="14">
        <v>19.37</v>
      </c>
      <c r="L151" t="s">
        <v>31</v>
      </c>
      <c r="M151" t="s">
        <v>31</v>
      </c>
    </row>
    <row r="152" spans="1:13" x14ac:dyDescent="0.25">
      <c r="A152" t="s">
        <v>858</v>
      </c>
      <c r="B152" t="s">
        <v>859</v>
      </c>
      <c r="C152" t="s">
        <v>860</v>
      </c>
      <c r="D152" t="s">
        <v>416</v>
      </c>
      <c r="E152" t="s">
        <v>3261</v>
      </c>
      <c r="F152" t="s">
        <v>333</v>
      </c>
      <c r="G152" s="11">
        <v>-2</v>
      </c>
      <c r="H152" s="11">
        <v>4</v>
      </c>
      <c r="I152" s="11">
        <v>30</v>
      </c>
      <c r="J152" s="14">
        <v>5.99</v>
      </c>
      <c r="K152" s="14">
        <v>9.2200000000000006</v>
      </c>
      <c r="L152" t="s">
        <v>31</v>
      </c>
      <c r="M152" t="s">
        <v>31</v>
      </c>
    </row>
    <row r="153" spans="1:13" x14ac:dyDescent="0.25">
      <c r="A153" t="s">
        <v>861</v>
      </c>
      <c r="B153" t="s">
        <v>862</v>
      </c>
      <c r="C153" t="s">
        <v>863</v>
      </c>
      <c r="D153" t="s">
        <v>416</v>
      </c>
      <c r="E153" t="s">
        <v>3261</v>
      </c>
      <c r="F153" t="s">
        <v>190</v>
      </c>
      <c r="G153" s="11">
        <v>-2</v>
      </c>
      <c r="H153" s="11">
        <v>4</v>
      </c>
      <c r="I153" s="11">
        <v>14</v>
      </c>
      <c r="J153" s="14">
        <v>8.2200000000000006</v>
      </c>
      <c r="K153" s="14">
        <v>15.33</v>
      </c>
      <c r="L153" t="s">
        <v>31</v>
      </c>
      <c r="M153" t="s">
        <v>31</v>
      </c>
    </row>
    <row r="154" spans="1:13" x14ac:dyDescent="0.25">
      <c r="A154" t="s">
        <v>864</v>
      </c>
      <c r="B154" t="s">
        <v>865</v>
      </c>
      <c r="C154" t="s">
        <v>866</v>
      </c>
      <c r="D154" t="s">
        <v>426</v>
      </c>
      <c r="E154" t="s">
        <v>3261</v>
      </c>
      <c r="F154" t="s">
        <v>125</v>
      </c>
      <c r="G154" s="11">
        <v>2</v>
      </c>
      <c r="H154" s="11">
        <v>6</v>
      </c>
      <c r="I154" s="11">
        <v>45</v>
      </c>
      <c r="J154" s="14">
        <v>6.26</v>
      </c>
      <c r="K154" s="14">
        <v>11.05</v>
      </c>
      <c r="L154" t="s">
        <v>31</v>
      </c>
      <c r="M154" t="s">
        <v>15</v>
      </c>
    </row>
    <row r="155" spans="1:13" x14ac:dyDescent="0.25">
      <c r="A155" t="s">
        <v>867</v>
      </c>
      <c r="B155" t="s">
        <v>868</v>
      </c>
      <c r="C155" t="s">
        <v>869</v>
      </c>
      <c r="D155" t="s">
        <v>412</v>
      </c>
      <c r="E155" t="s">
        <v>3263</v>
      </c>
      <c r="F155" t="s">
        <v>303</v>
      </c>
      <c r="G155" s="11">
        <v>0</v>
      </c>
      <c r="H155" s="11">
        <v>5</v>
      </c>
      <c r="I155" s="11">
        <v>60</v>
      </c>
      <c r="J155" s="14">
        <v>15.63</v>
      </c>
      <c r="K155" s="14">
        <v>26.25</v>
      </c>
      <c r="L155" t="s">
        <v>31</v>
      </c>
      <c r="M155" t="s">
        <v>31</v>
      </c>
    </row>
    <row r="156" spans="1:13" x14ac:dyDescent="0.25">
      <c r="A156" t="s">
        <v>870</v>
      </c>
      <c r="B156" t="s">
        <v>871</v>
      </c>
      <c r="C156" t="s">
        <v>872</v>
      </c>
      <c r="D156" t="s">
        <v>459</v>
      </c>
      <c r="E156" t="s">
        <v>3266</v>
      </c>
      <c r="F156" t="s">
        <v>321</v>
      </c>
      <c r="G156" s="11">
        <v>0</v>
      </c>
      <c r="H156" s="11">
        <v>4</v>
      </c>
      <c r="I156" s="11">
        <v>7</v>
      </c>
      <c r="J156" s="14">
        <v>14.15</v>
      </c>
      <c r="K156" s="14">
        <v>21.24</v>
      </c>
      <c r="L156" t="s">
        <v>31</v>
      </c>
      <c r="M156" t="s">
        <v>15</v>
      </c>
    </row>
    <row r="157" spans="1:13" x14ac:dyDescent="0.25">
      <c r="A157" t="s">
        <v>873</v>
      </c>
      <c r="B157" t="s">
        <v>874</v>
      </c>
      <c r="C157" t="s">
        <v>875</v>
      </c>
      <c r="D157" t="s">
        <v>412</v>
      </c>
      <c r="E157" t="s">
        <v>3263</v>
      </c>
      <c r="F157" t="s">
        <v>68</v>
      </c>
      <c r="G157" s="11">
        <v>0</v>
      </c>
      <c r="H157" s="11">
        <v>5</v>
      </c>
      <c r="I157" s="11">
        <v>120</v>
      </c>
      <c r="J157" s="14">
        <v>16.399999999999999</v>
      </c>
      <c r="K157" s="14">
        <v>22.72</v>
      </c>
      <c r="L157" t="s">
        <v>31</v>
      </c>
      <c r="M157" t="s">
        <v>31</v>
      </c>
    </row>
    <row r="158" spans="1:13" x14ac:dyDescent="0.25">
      <c r="A158" t="s">
        <v>876</v>
      </c>
      <c r="B158" t="s">
        <v>877</v>
      </c>
      <c r="C158" t="s">
        <v>878</v>
      </c>
      <c r="D158" t="s">
        <v>459</v>
      </c>
      <c r="E158" t="s">
        <v>3266</v>
      </c>
      <c r="F158" t="s">
        <v>17</v>
      </c>
      <c r="G158" s="11">
        <v>0</v>
      </c>
      <c r="H158" s="11">
        <v>4</v>
      </c>
      <c r="I158" s="11">
        <v>45</v>
      </c>
      <c r="J158" s="14">
        <v>5.78</v>
      </c>
      <c r="K158" s="14">
        <v>11.27</v>
      </c>
      <c r="L158" t="s">
        <v>31</v>
      </c>
      <c r="M158" t="s">
        <v>15</v>
      </c>
    </row>
    <row r="159" spans="1:13" x14ac:dyDescent="0.25">
      <c r="A159" t="s">
        <v>879</v>
      </c>
      <c r="B159" t="s">
        <v>880</v>
      </c>
      <c r="C159" t="s">
        <v>881</v>
      </c>
      <c r="D159" t="s">
        <v>455</v>
      </c>
      <c r="E159" t="s">
        <v>3265</v>
      </c>
      <c r="F159" t="s">
        <v>244</v>
      </c>
      <c r="G159" s="11">
        <v>1</v>
      </c>
      <c r="H159" s="11">
        <v>6</v>
      </c>
      <c r="I159" s="11">
        <v>30</v>
      </c>
      <c r="J159" s="14">
        <v>14.17</v>
      </c>
      <c r="K159" s="14">
        <v>23.1</v>
      </c>
      <c r="L159" t="s">
        <v>15</v>
      </c>
      <c r="M159" t="s">
        <v>31</v>
      </c>
    </row>
    <row r="160" spans="1:13" x14ac:dyDescent="0.25">
      <c r="A160" t="s">
        <v>882</v>
      </c>
      <c r="B160" t="s">
        <v>883</v>
      </c>
      <c r="C160" t="s">
        <v>884</v>
      </c>
      <c r="D160" t="s">
        <v>455</v>
      </c>
      <c r="E160" t="s">
        <v>3265</v>
      </c>
      <c r="F160" t="s">
        <v>217</v>
      </c>
      <c r="G160" s="11">
        <v>1</v>
      </c>
      <c r="H160" s="11">
        <v>6</v>
      </c>
      <c r="I160" s="11">
        <v>90</v>
      </c>
      <c r="J160" s="14">
        <v>3.49</v>
      </c>
      <c r="K160" s="14">
        <v>8.1</v>
      </c>
      <c r="L160" t="s">
        <v>31</v>
      </c>
      <c r="M160" t="s">
        <v>15</v>
      </c>
    </row>
    <row r="161" spans="1:13" x14ac:dyDescent="0.25">
      <c r="A161" t="s">
        <v>885</v>
      </c>
      <c r="B161" t="s">
        <v>886</v>
      </c>
      <c r="C161" t="s">
        <v>887</v>
      </c>
      <c r="D161" t="s">
        <v>416</v>
      </c>
      <c r="E161" t="s">
        <v>3261</v>
      </c>
      <c r="F161" t="s">
        <v>241</v>
      </c>
      <c r="G161" s="11">
        <v>-2</v>
      </c>
      <c r="H161" s="11">
        <v>4</v>
      </c>
      <c r="I161" s="11">
        <v>45</v>
      </c>
      <c r="J161" s="14">
        <v>16.3</v>
      </c>
      <c r="K161" s="14">
        <v>35.39</v>
      </c>
      <c r="L161" t="s">
        <v>31</v>
      </c>
      <c r="M161" t="s">
        <v>15</v>
      </c>
    </row>
    <row r="162" spans="1:13" x14ac:dyDescent="0.25">
      <c r="A162" t="s">
        <v>888</v>
      </c>
      <c r="B162" t="s">
        <v>889</v>
      </c>
      <c r="C162" t="s">
        <v>890</v>
      </c>
      <c r="D162" t="s">
        <v>455</v>
      </c>
      <c r="E162" t="s">
        <v>3265</v>
      </c>
      <c r="F162" t="s">
        <v>208</v>
      </c>
      <c r="G162" s="11">
        <v>1</v>
      </c>
      <c r="H162" s="11">
        <v>6</v>
      </c>
      <c r="I162" s="11">
        <v>60</v>
      </c>
      <c r="J162" s="14">
        <v>3.81</v>
      </c>
      <c r="K162" s="14">
        <v>7.33</v>
      </c>
      <c r="L162" t="s">
        <v>31</v>
      </c>
      <c r="M162" t="s">
        <v>31</v>
      </c>
    </row>
    <row r="163" spans="1:13" x14ac:dyDescent="0.25">
      <c r="A163" t="s">
        <v>891</v>
      </c>
      <c r="B163" t="s">
        <v>892</v>
      </c>
      <c r="C163" t="s">
        <v>893</v>
      </c>
      <c r="D163" t="s">
        <v>455</v>
      </c>
      <c r="E163" t="s">
        <v>3265</v>
      </c>
      <c r="F163" t="s">
        <v>190</v>
      </c>
      <c r="G163" s="11">
        <v>1</v>
      </c>
      <c r="H163" s="11">
        <v>6</v>
      </c>
      <c r="I163" s="11">
        <v>7</v>
      </c>
      <c r="J163" s="14">
        <v>9.61</v>
      </c>
      <c r="K163" s="14">
        <v>20.85</v>
      </c>
      <c r="L163" t="s">
        <v>31</v>
      </c>
      <c r="M163" t="s">
        <v>15</v>
      </c>
    </row>
    <row r="164" spans="1:13" x14ac:dyDescent="0.25">
      <c r="A164" t="s">
        <v>894</v>
      </c>
      <c r="B164" t="s">
        <v>895</v>
      </c>
      <c r="C164" t="s">
        <v>896</v>
      </c>
      <c r="D164" t="s">
        <v>436</v>
      </c>
      <c r="E164" t="s">
        <v>3264</v>
      </c>
      <c r="F164" t="s">
        <v>297</v>
      </c>
      <c r="G164" s="11">
        <v>2</v>
      </c>
      <c r="H164" s="11">
        <v>8</v>
      </c>
      <c r="I164" s="11">
        <v>7</v>
      </c>
      <c r="J164" s="14">
        <v>8.67</v>
      </c>
      <c r="K164" s="14">
        <v>13.67</v>
      </c>
      <c r="L164" t="s">
        <v>31</v>
      </c>
      <c r="M164" t="s">
        <v>15</v>
      </c>
    </row>
    <row r="165" spans="1:13" x14ac:dyDescent="0.25">
      <c r="A165" t="s">
        <v>897</v>
      </c>
      <c r="B165" t="s">
        <v>898</v>
      </c>
      <c r="C165" t="s">
        <v>899</v>
      </c>
      <c r="D165" t="s">
        <v>563</v>
      </c>
      <c r="E165" t="s">
        <v>3267</v>
      </c>
      <c r="F165" t="s">
        <v>149</v>
      </c>
      <c r="G165" s="11">
        <v>-18</v>
      </c>
      <c r="H165" s="11">
        <v>-10</v>
      </c>
      <c r="I165" s="11">
        <v>45</v>
      </c>
      <c r="J165" s="14">
        <v>7.92</v>
      </c>
      <c r="K165" s="14">
        <v>16.059999999999999</v>
      </c>
      <c r="L165" t="s">
        <v>31</v>
      </c>
      <c r="M165" t="s">
        <v>31</v>
      </c>
    </row>
    <row r="166" spans="1:13" x14ac:dyDescent="0.25">
      <c r="A166" t="s">
        <v>900</v>
      </c>
      <c r="B166" t="s">
        <v>901</v>
      </c>
      <c r="C166" t="s">
        <v>902</v>
      </c>
      <c r="D166" t="s">
        <v>408</v>
      </c>
      <c r="E166" t="s">
        <v>3262</v>
      </c>
      <c r="F166" t="s">
        <v>71</v>
      </c>
      <c r="G166" s="11">
        <v>1</v>
      </c>
      <c r="H166" s="11">
        <v>6</v>
      </c>
      <c r="I166" s="11">
        <v>60</v>
      </c>
      <c r="J166" s="14">
        <v>16.18</v>
      </c>
      <c r="K166" s="14">
        <v>29.35</v>
      </c>
      <c r="L166" t="s">
        <v>15</v>
      </c>
      <c r="M166" t="s">
        <v>31</v>
      </c>
    </row>
    <row r="167" spans="1:13" x14ac:dyDescent="0.25">
      <c r="A167" t="s">
        <v>903</v>
      </c>
      <c r="B167" t="s">
        <v>904</v>
      </c>
      <c r="C167" t="s">
        <v>905</v>
      </c>
      <c r="D167" t="s">
        <v>563</v>
      </c>
      <c r="E167" t="s">
        <v>3267</v>
      </c>
      <c r="F167" t="s">
        <v>41</v>
      </c>
      <c r="G167" s="11">
        <v>-18</v>
      </c>
      <c r="H167" s="11">
        <v>-10</v>
      </c>
      <c r="I167" s="11">
        <v>120</v>
      </c>
      <c r="J167" s="14">
        <v>14.29</v>
      </c>
      <c r="K167" s="14">
        <v>27.66</v>
      </c>
      <c r="L167" t="s">
        <v>31</v>
      </c>
      <c r="M167" t="s">
        <v>31</v>
      </c>
    </row>
    <row r="168" spans="1:13" x14ac:dyDescent="0.25">
      <c r="A168" t="s">
        <v>906</v>
      </c>
      <c r="B168" t="s">
        <v>907</v>
      </c>
      <c r="C168" t="s">
        <v>908</v>
      </c>
      <c r="D168" t="s">
        <v>455</v>
      </c>
      <c r="E168" t="s">
        <v>3265</v>
      </c>
      <c r="F168" t="s">
        <v>176</v>
      </c>
      <c r="G168" s="11">
        <v>1</v>
      </c>
      <c r="H168" s="11">
        <v>6</v>
      </c>
      <c r="I168" s="11">
        <v>90</v>
      </c>
      <c r="J168" s="14">
        <v>6.14</v>
      </c>
      <c r="K168" s="14">
        <v>14.23</v>
      </c>
      <c r="L168" t="s">
        <v>31</v>
      </c>
      <c r="M168" t="s">
        <v>31</v>
      </c>
    </row>
    <row r="169" spans="1:13" x14ac:dyDescent="0.25">
      <c r="A169" t="s">
        <v>909</v>
      </c>
      <c r="B169" t="s">
        <v>910</v>
      </c>
      <c r="C169" t="s">
        <v>911</v>
      </c>
      <c r="D169" t="s">
        <v>412</v>
      </c>
      <c r="E169" t="s">
        <v>3263</v>
      </c>
      <c r="F169" t="s">
        <v>220</v>
      </c>
      <c r="G169" s="11">
        <v>0</v>
      </c>
      <c r="H169" s="11">
        <v>5</v>
      </c>
      <c r="I169" s="11">
        <v>60</v>
      </c>
      <c r="J169" s="14">
        <v>15.97</v>
      </c>
      <c r="K169" s="14">
        <v>22.95</v>
      </c>
      <c r="L169" t="s">
        <v>31</v>
      </c>
      <c r="M169" t="s">
        <v>31</v>
      </c>
    </row>
    <row r="170" spans="1:13" x14ac:dyDescent="0.25">
      <c r="A170" t="s">
        <v>912</v>
      </c>
      <c r="B170" t="s">
        <v>913</v>
      </c>
      <c r="C170" t="s">
        <v>914</v>
      </c>
      <c r="D170" t="s">
        <v>455</v>
      </c>
      <c r="E170" t="s">
        <v>3265</v>
      </c>
      <c r="F170" t="s">
        <v>22</v>
      </c>
      <c r="G170" s="11">
        <v>1</v>
      </c>
      <c r="H170" s="11">
        <v>6</v>
      </c>
      <c r="I170" s="11">
        <v>60</v>
      </c>
      <c r="J170" s="14">
        <v>11.22</v>
      </c>
      <c r="K170" s="14">
        <v>23.38</v>
      </c>
      <c r="L170" t="s">
        <v>31</v>
      </c>
      <c r="M170" t="s">
        <v>31</v>
      </c>
    </row>
    <row r="171" spans="1:13" x14ac:dyDescent="0.25">
      <c r="A171" t="s">
        <v>915</v>
      </c>
      <c r="B171" t="s">
        <v>916</v>
      </c>
      <c r="C171" t="s">
        <v>917</v>
      </c>
      <c r="D171" t="s">
        <v>455</v>
      </c>
      <c r="E171" t="s">
        <v>3265</v>
      </c>
      <c r="F171" t="s">
        <v>202</v>
      </c>
      <c r="G171" s="11">
        <v>1</v>
      </c>
      <c r="H171" s="11">
        <v>6</v>
      </c>
      <c r="I171" s="11">
        <v>21</v>
      </c>
      <c r="J171" s="14">
        <v>10.3</v>
      </c>
      <c r="K171" s="14">
        <v>21.23</v>
      </c>
      <c r="L171" t="s">
        <v>31</v>
      </c>
      <c r="M171" t="s">
        <v>31</v>
      </c>
    </row>
    <row r="172" spans="1:13" x14ac:dyDescent="0.25">
      <c r="A172" t="s">
        <v>918</v>
      </c>
      <c r="B172" t="s">
        <v>919</v>
      </c>
      <c r="C172" t="s">
        <v>920</v>
      </c>
      <c r="D172" t="s">
        <v>459</v>
      </c>
      <c r="E172" t="s">
        <v>3266</v>
      </c>
      <c r="F172" t="s">
        <v>102</v>
      </c>
      <c r="G172" s="11">
        <v>0</v>
      </c>
      <c r="H172" s="11">
        <v>4</v>
      </c>
      <c r="I172" s="11">
        <v>60</v>
      </c>
      <c r="J172" s="14">
        <v>15.73</v>
      </c>
      <c r="K172" s="14">
        <v>37.82</v>
      </c>
      <c r="L172" t="s">
        <v>31</v>
      </c>
      <c r="M172" t="s">
        <v>31</v>
      </c>
    </row>
    <row r="173" spans="1:13" x14ac:dyDescent="0.25">
      <c r="A173" t="s">
        <v>921</v>
      </c>
      <c r="B173" t="s">
        <v>922</v>
      </c>
      <c r="C173" t="s">
        <v>923</v>
      </c>
      <c r="D173" t="s">
        <v>408</v>
      </c>
      <c r="E173" t="s">
        <v>3262</v>
      </c>
      <c r="F173" t="s">
        <v>17</v>
      </c>
      <c r="G173" s="11">
        <v>1</v>
      </c>
      <c r="H173" s="11">
        <v>6</v>
      </c>
      <c r="I173" s="11">
        <v>10</v>
      </c>
      <c r="J173" s="14">
        <v>16.47</v>
      </c>
      <c r="K173" s="14">
        <v>23.33</v>
      </c>
      <c r="L173" t="s">
        <v>31</v>
      </c>
      <c r="M173" t="s">
        <v>31</v>
      </c>
    </row>
    <row r="174" spans="1:13" x14ac:dyDescent="0.25">
      <c r="A174" t="s">
        <v>924</v>
      </c>
      <c r="B174" t="s">
        <v>925</v>
      </c>
      <c r="C174" t="s">
        <v>926</v>
      </c>
      <c r="D174" t="s">
        <v>455</v>
      </c>
      <c r="E174" t="s">
        <v>3265</v>
      </c>
      <c r="F174" t="s">
        <v>176</v>
      </c>
      <c r="G174" s="11">
        <v>1</v>
      </c>
      <c r="H174" s="11">
        <v>6</v>
      </c>
      <c r="I174" s="11">
        <v>120</v>
      </c>
      <c r="J174" s="14">
        <v>4.3499999999999996</v>
      </c>
      <c r="K174" s="14">
        <v>9.85</v>
      </c>
      <c r="L174" t="s">
        <v>31</v>
      </c>
      <c r="M174" t="s">
        <v>31</v>
      </c>
    </row>
    <row r="175" spans="1:13" x14ac:dyDescent="0.25">
      <c r="A175" t="s">
        <v>927</v>
      </c>
      <c r="B175" t="s">
        <v>928</v>
      </c>
      <c r="C175" t="s">
        <v>929</v>
      </c>
      <c r="D175" t="s">
        <v>563</v>
      </c>
      <c r="E175" t="s">
        <v>3267</v>
      </c>
      <c r="F175" t="s">
        <v>128</v>
      </c>
      <c r="G175" s="11">
        <v>-18</v>
      </c>
      <c r="H175" s="11">
        <v>-10</v>
      </c>
      <c r="I175" s="11">
        <v>21</v>
      </c>
      <c r="J175" s="14">
        <v>9.01</v>
      </c>
      <c r="K175" s="14">
        <v>17.940000000000001</v>
      </c>
      <c r="L175" t="s">
        <v>31</v>
      </c>
      <c r="M175" t="s">
        <v>31</v>
      </c>
    </row>
    <row r="176" spans="1:13" x14ac:dyDescent="0.25">
      <c r="A176" t="s">
        <v>930</v>
      </c>
      <c r="B176" t="s">
        <v>931</v>
      </c>
      <c r="C176" t="s">
        <v>932</v>
      </c>
      <c r="D176" t="s">
        <v>416</v>
      </c>
      <c r="E176" t="s">
        <v>3261</v>
      </c>
      <c r="F176" t="s">
        <v>143</v>
      </c>
      <c r="G176" s="11">
        <v>-2</v>
      </c>
      <c r="H176" s="11">
        <v>4</v>
      </c>
      <c r="I176" s="11">
        <v>120</v>
      </c>
      <c r="J176" s="14">
        <v>6.51</v>
      </c>
      <c r="K176" s="14">
        <v>11.35</v>
      </c>
      <c r="L176" t="s">
        <v>15</v>
      </c>
      <c r="M176" t="s">
        <v>31</v>
      </c>
    </row>
    <row r="177" spans="1:13" x14ac:dyDescent="0.25">
      <c r="A177" t="s">
        <v>933</v>
      </c>
      <c r="B177" t="s">
        <v>934</v>
      </c>
      <c r="C177" t="s">
        <v>935</v>
      </c>
      <c r="D177" t="s">
        <v>416</v>
      </c>
      <c r="E177" t="s">
        <v>3261</v>
      </c>
      <c r="F177" t="s">
        <v>306</v>
      </c>
      <c r="G177" s="11">
        <v>-2</v>
      </c>
      <c r="H177" s="11">
        <v>4</v>
      </c>
      <c r="I177" s="11">
        <v>10</v>
      </c>
      <c r="J177" s="14">
        <v>4.8600000000000003</v>
      </c>
      <c r="K177" s="14">
        <v>11.34</v>
      </c>
      <c r="L177" t="s">
        <v>31</v>
      </c>
      <c r="M177" t="s">
        <v>15</v>
      </c>
    </row>
    <row r="178" spans="1:13" x14ac:dyDescent="0.25">
      <c r="A178" t="s">
        <v>936</v>
      </c>
      <c r="B178" t="s">
        <v>937</v>
      </c>
      <c r="C178" t="s">
        <v>938</v>
      </c>
      <c r="D178" t="s">
        <v>563</v>
      </c>
      <c r="E178" t="s">
        <v>3267</v>
      </c>
      <c r="F178" t="s">
        <v>382</v>
      </c>
      <c r="G178" s="11">
        <v>-18</v>
      </c>
      <c r="H178" s="11">
        <v>-10</v>
      </c>
      <c r="I178" s="11">
        <v>14</v>
      </c>
      <c r="J178" s="14">
        <v>8.1</v>
      </c>
      <c r="K178" s="14">
        <v>18.260000000000002</v>
      </c>
      <c r="L178" t="s">
        <v>15</v>
      </c>
      <c r="M178" t="s">
        <v>31</v>
      </c>
    </row>
    <row r="179" spans="1:13" x14ac:dyDescent="0.25">
      <c r="A179" t="s">
        <v>939</v>
      </c>
      <c r="B179" t="s">
        <v>940</v>
      </c>
      <c r="C179" t="s">
        <v>941</v>
      </c>
      <c r="D179" t="s">
        <v>455</v>
      </c>
      <c r="E179" t="s">
        <v>3265</v>
      </c>
      <c r="F179" t="s">
        <v>291</v>
      </c>
      <c r="G179" s="11">
        <v>1</v>
      </c>
      <c r="H179" s="11">
        <v>6</v>
      </c>
      <c r="I179" s="11">
        <v>21</v>
      </c>
      <c r="J179" s="14">
        <v>4.25</v>
      </c>
      <c r="K179" s="14">
        <v>7.85</v>
      </c>
      <c r="L179" t="s">
        <v>31</v>
      </c>
      <c r="M179" t="s">
        <v>31</v>
      </c>
    </row>
    <row r="180" spans="1:13" x14ac:dyDescent="0.25">
      <c r="A180" t="s">
        <v>942</v>
      </c>
      <c r="B180" t="s">
        <v>943</v>
      </c>
      <c r="C180" t="s">
        <v>944</v>
      </c>
      <c r="D180" t="s">
        <v>416</v>
      </c>
      <c r="E180" t="s">
        <v>3261</v>
      </c>
      <c r="F180" t="s">
        <v>265</v>
      </c>
      <c r="G180" s="11">
        <v>-2</v>
      </c>
      <c r="H180" s="11">
        <v>4</v>
      </c>
      <c r="I180" s="11">
        <v>90</v>
      </c>
      <c r="J180" s="14">
        <v>8.2899999999999991</v>
      </c>
      <c r="K180" s="14">
        <v>13.58</v>
      </c>
      <c r="L180" t="s">
        <v>31</v>
      </c>
      <c r="M180" t="s">
        <v>31</v>
      </c>
    </row>
    <row r="181" spans="1:13" x14ac:dyDescent="0.25">
      <c r="A181" t="s">
        <v>945</v>
      </c>
      <c r="B181" t="s">
        <v>946</v>
      </c>
      <c r="C181" t="s">
        <v>947</v>
      </c>
      <c r="D181" t="s">
        <v>563</v>
      </c>
      <c r="E181" t="s">
        <v>3267</v>
      </c>
      <c r="F181" t="s">
        <v>352</v>
      </c>
      <c r="G181" s="11">
        <v>-18</v>
      </c>
      <c r="H181" s="11">
        <v>-10</v>
      </c>
      <c r="I181" s="11">
        <v>10</v>
      </c>
      <c r="J181" s="14">
        <v>14.43</v>
      </c>
      <c r="K181" s="14">
        <v>34.18</v>
      </c>
      <c r="L181" t="s">
        <v>31</v>
      </c>
      <c r="M181" t="s">
        <v>31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D60A-333E-4E38-937B-F546BEA0D69B}">
  <sheetPr>
    <tabColor theme="9" tint="0.39997558519241921"/>
  </sheetPr>
  <dimension ref="A1:K151"/>
  <sheetViews>
    <sheetView workbookViewId="0">
      <selection activeCell="J2" sqref="J2:J151"/>
    </sheetView>
  </sheetViews>
  <sheetFormatPr defaultRowHeight="15" x14ac:dyDescent="0.25"/>
  <cols>
    <col min="1" max="1" width="9.5703125" bestFit="1" customWidth="1"/>
    <col min="2" max="2" width="13.28515625" bestFit="1" customWidth="1"/>
    <col min="3" max="3" width="16" bestFit="1" customWidth="1"/>
    <col min="4" max="4" width="21.5703125" bestFit="1" customWidth="1"/>
    <col min="5" max="5" width="14.85546875" bestFit="1" customWidth="1"/>
    <col min="6" max="6" width="25.28515625" bestFit="1" customWidth="1"/>
    <col min="7" max="7" width="9.7109375" bestFit="1" customWidth="1"/>
    <col min="8" max="8" width="13.5703125" bestFit="1" customWidth="1"/>
    <col min="9" max="9" width="10.85546875" bestFit="1" customWidth="1"/>
    <col min="10" max="10" width="15.5703125" bestFit="1" customWidth="1"/>
    <col min="11" max="11" width="9.85546875" bestFit="1" customWidth="1"/>
  </cols>
  <sheetData>
    <row r="1" spans="1:11" x14ac:dyDescent="0.25">
      <c r="A1" t="s">
        <v>948</v>
      </c>
      <c r="B1" t="s">
        <v>0</v>
      </c>
      <c r="C1" t="s">
        <v>949</v>
      </c>
      <c r="D1" t="s">
        <v>950</v>
      </c>
      <c r="E1" t="s">
        <v>951</v>
      </c>
      <c r="F1" t="s">
        <v>952</v>
      </c>
      <c r="G1" t="s">
        <v>953</v>
      </c>
      <c r="H1" t="s">
        <v>954</v>
      </c>
      <c r="I1" t="s">
        <v>955</v>
      </c>
      <c r="J1" t="s">
        <v>956</v>
      </c>
      <c r="K1" t="s">
        <v>957</v>
      </c>
    </row>
    <row r="2" spans="1:11" x14ac:dyDescent="0.25">
      <c r="A2" t="s">
        <v>958</v>
      </c>
      <c r="B2" t="s">
        <v>208</v>
      </c>
      <c r="C2" t="s">
        <v>959</v>
      </c>
      <c r="D2" t="s">
        <v>960</v>
      </c>
      <c r="E2" s="1">
        <v>45685.254861111112</v>
      </c>
      <c r="F2" s="1">
        <v>45690.254861111112</v>
      </c>
      <c r="G2" t="s">
        <v>3269</v>
      </c>
      <c r="H2" t="s">
        <v>961</v>
      </c>
      <c r="I2" t="s">
        <v>962</v>
      </c>
      <c r="J2" s="14">
        <v>52.81</v>
      </c>
      <c r="K2" t="s">
        <v>3270</v>
      </c>
    </row>
    <row r="3" spans="1:11" x14ac:dyDescent="0.25">
      <c r="A3" t="s">
        <v>963</v>
      </c>
      <c r="B3" t="s">
        <v>327</v>
      </c>
      <c r="C3" t="s">
        <v>964</v>
      </c>
      <c r="D3" t="s">
        <v>965</v>
      </c>
      <c r="E3" s="1">
        <v>45675.254861111112</v>
      </c>
      <c r="F3" s="1">
        <v>45677.254861111112</v>
      </c>
      <c r="G3" t="s">
        <v>1258</v>
      </c>
      <c r="H3" t="s">
        <v>966</v>
      </c>
      <c r="I3" t="s">
        <v>962</v>
      </c>
      <c r="J3" s="14">
        <v>170.13</v>
      </c>
      <c r="K3" t="s">
        <v>3270</v>
      </c>
    </row>
    <row r="4" spans="1:11" x14ac:dyDescent="0.25">
      <c r="A4" t="s">
        <v>967</v>
      </c>
      <c r="B4" t="s">
        <v>291</v>
      </c>
      <c r="C4" t="s">
        <v>968</v>
      </c>
      <c r="D4" t="s">
        <v>969</v>
      </c>
      <c r="E4" s="1">
        <v>45660.736805555556</v>
      </c>
      <c r="F4" s="1">
        <v>45668.736805555556</v>
      </c>
      <c r="G4" t="s">
        <v>3271</v>
      </c>
      <c r="H4" t="s">
        <v>966</v>
      </c>
      <c r="I4" t="s">
        <v>970</v>
      </c>
      <c r="J4" s="14">
        <v>175.86</v>
      </c>
      <c r="K4" t="s">
        <v>3270</v>
      </c>
    </row>
    <row r="5" spans="1:11" x14ac:dyDescent="0.25">
      <c r="A5" t="s">
        <v>971</v>
      </c>
      <c r="B5" t="s">
        <v>28</v>
      </c>
      <c r="C5" t="s">
        <v>972</v>
      </c>
      <c r="D5" t="s">
        <v>973</v>
      </c>
      <c r="E5" s="1">
        <v>45668.690972222219</v>
      </c>
      <c r="F5" s="1">
        <v>45686.690972222219</v>
      </c>
      <c r="G5" t="s">
        <v>3272</v>
      </c>
      <c r="H5" t="s">
        <v>974</v>
      </c>
      <c r="I5" t="s">
        <v>962</v>
      </c>
      <c r="J5" s="14">
        <v>159.19</v>
      </c>
      <c r="K5" t="s">
        <v>3270</v>
      </c>
    </row>
    <row r="6" spans="1:11" x14ac:dyDescent="0.25">
      <c r="A6" t="s">
        <v>975</v>
      </c>
      <c r="B6" t="s">
        <v>202</v>
      </c>
      <c r="C6" t="s">
        <v>976</v>
      </c>
      <c r="D6" t="s">
        <v>977</v>
      </c>
      <c r="E6" s="1">
        <v>45686.324999999997</v>
      </c>
      <c r="F6" s="1">
        <v>45691.324999999997</v>
      </c>
      <c r="G6" t="s">
        <v>3272</v>
      </c>
      <c r="H6" t="s">
        <v>978</v>
      </c>
      <c r="I6" t="s">
        <v>962</v>
      </c>
      <c r="J6" s="14">
        <v>298.77</v>
      </c>
      <c r="K6" t="s">
        <v>3270</v>
      </c>
    </row>
    <row r="7" spans="1:11" x14ac:dyDescent="0.25">
      <c r="A7" t="s">
        <v>979</v>
      </c>
      <c r="B7" t="s">
        <v>256</v>
      </c>
      <c r="C7" t="s">
        <v>980</v>
      </c>
      <c r="D7" t="s">
        <v>981</v>
      </c>
      <c r="E7" s="1">
        <v>45711.177083333336</v>
      </c>
      <c r="F7" s="1">
        <v>45722.177083333336</v>
      </c>
      <c r="G7" t="s">
        <v>3269</v>
      </c>
      <c r="H7" t="s">
        <v>982</v>
      </c>
      <c r="I7" t="s">
        <v>962</v>
      </c>
      <c r="J7" s="14">
        <v>191.67</v>
      </c>
      <c r="K7" t="s">
        <v>3270</v>
      </c>
    </row>
    <row r="8" spans="1:11" x14ac:dyDescent="0.25">
      <c r="A8" t="s">
        <v>983</v>
      </c>
      <c r="B8" t="s">
        <v>262</v>
      </c>
      <c r="C8" t="s">
        <v>959</v>
      </c>
      <c r="D8" t="s">
        <v>960</v>
      </c>
      <c r="E8" s="1">
        <v>45719.59097222222</v>
      </c>
      <c r="F8" s="1">
        <v>45731.59097222222</v>
      </c>
      <c r="G8" t="s">
        <v>3272</v>
      </c>
      <c r="H8" t="s">
        <v>961</v>
      </c>
      <c r="I8" t="s">
        <v>962</v>
      </c>
      <c r="J8" s="14">
        <v>176.05</v>
      </c>
      <c r="K8" t="s">
        <v>3273</v>
      </c>
    </row>
    <row r="9" spans="1:11" x14ac:dyDescent="0.25">
      <c r="A9" t="s">
        <v>984</v>
      </c>
      <c r="B9" t="s">
        <v>274</v>
      </c>
      <c r="C9" t="s">
        <v>959</v>
      </c>
      <c r="D9" t="s">
        <v>960</v>
      </c>
      <c r="E9" s="1">
        <v>45666.834722222222</v>
      </c>
      <c r="F9" s="1">
        <v>45684.834722222222</v>
      </c>
      <c r="G9" t="s">
        <v>3271</v>
      </c>
      <c r="H9" t="s">
        <v>982</v>
      </c>
      <c r="I9" t="s">
        <v>962</v>
      </c>
      <c r="J9" s="14">
        <v>88.26</v>
      </c>
      <c r="K9" t="s">
        <v>3270</v>
      </c>
    </row>
    <row r="10" spans="1:11" x14ac:dyDescent="0.25">
      <c r="A10" t="s">
        <v>985</v>
      </c>
      <c r="B10" t="s">
        <v>179</v>
      </c>
      <c r="C10" t="s">
        <v>964</v>
      </c>
      <c r="D10" t="s">
        <v>965</v>
      </c>
      <c r="E10" s="1">
        <v>45659.463888888888</v>
      </c>
      <c r="F10" s="1">
        <v>45679.463888888888</v>
      </c>
      <c r="G10" t="s">
        <v>3272</v>
      </c>
      <c r="H10" t="s">
        <v>966</v>
      </c>
      <c r="I10" t="s">
        <v>970</v>
      </c>
      <c r="J10" s="14">
        <v>165.31</v>
      </c>
      <c r="K10" t="s">
        <v>3273</v>
      </c>
    </row>
    <row r="11" spans="1:11" x14ac:dyDescent="0.25">
      <c r="A11" t="s">
        <v>986</v>
      </c>
      <c r="B11" t="s">
        <v>170</v>
      </c>
      <c r="C11" t="s">
        <v>987</v>
      </c>
      <c r="D11" t="s">
        <v>988</v>
      </c>
      <c r="E11" s="1">
        <v>45667.773611111108</v>
      </c>
      <c r="F11" s="1">
        <v>45675.773611111108</v>
      </c>
      <c r="G11" t="s">
        <v>3272</v>
      </c>
      <c r="H11" t="s">
        <v>974</v>
      </c>
      <c r="I11" t="s">
        <v>962</v>
      </c>
      <c r="J11" s="14">
        <v>275.54000000000002</v>
      </c>
      <c r="K11" t="s">
        <v>3270</v>
      </c>
    </row>
    <row r="12" spans="1:11" x14ac:dyDescent="0.25">
      <c r="A12" t="s">
        <v>989</v>
      </c>
      <c r="B12" t="s">
        <v>155</v>
      </c>
      <c r="C12" t="s">
        <v>990</v>
      </c>
      <c r="D12" t="s">
        <v>991</v>
      </c>
      <c r="E12" s="1">
        <v>45700.061111111114</v>
      </c>
      <c r="F12" s="1">
        <v>45705.061111111114</v>
      </c>
      <c r="G12" t="s">
        <v>1258</v>
      </c>
      <c r="H12" t="s">
        <v>978</v>
      </c>
      <c r="I12" t="s">
        <v>962</v>
      </c>
      <c r="J12" s="14">
        <v>239.87</v>
      </c>
      <c r="K12" t="s">
        <v>3273</v>
      </c>
    </row>
    <row r="13" spans="1:11" x14ac:dyDescent="0.25">
      <c r="A13" t="s">
        <v>992</v>
      </c>
      <c r="B13" t="s">
        <v>106</v>
      </c>
      <c r="C13" t="s">
        <v>959</v>
      </c>
      <c r="D13" t="s">
        <v>960</v>
      </c>
      <c r="E13" s="1">
        <v>45703.65625</v>
      </c>
      <c r="F13" s="1">
        <v>45707.65625</v>
      </c>
      <c r="G13" t="s">
        <v>3271</v>
      </c>
      <c r="H13" t="s">
        <v>982</v>
      </c>
      <c r="I13" t="s">
        <v>962</v>
      </c>
      <c r="J13" s="14">
        <v>157.83000000000001</v>
      </c>
      <c r="K13" t="s">
        <v>3273</v>
      </c>
    </row>
    <row r="14" spans="1:11" x14ac:dyDescent="0.25">
      <c r="A14" t="s">
        <v>993</v>
      </c>
      <c r="B14" t="s">
        <v>294</v>
      </c>
      <c r="C14" t="s">
        <v>972</v>
      </c>
      <c r="D14" t="s">
        <v>973</v>
      </c>
      <c r="E14" s="1">
        <v>45688.370833333334</v>
      </c>
      <c r="F14" s="1">
        <v>45692.370833333334</v>
      </c>
      <c r="G14" t="s">
        <v>3271</v>
      </c>
      <c r="H14" t="s">
        <v>978</v>
      </c>
      <c r="I14" t="s">
        <v>970</v>
      </c>
      <c r="J14" s="14">
        <v>91.95</v>
      </c>
      <c r="K14" t="s">
        <v>3270</v>
      </c>
    </row>
    <row r="15" spans="1:11" x14ac:dyDescent="0.25">
      <c r="A15" t="s">
        <v>994</v>
      </c>
      <c r="B15" t="s">
        <v>17</v>
      </c>
      <c r="C15" t="s">
        <v>980</v>
      </c>
      <c r="D15" t="s">
        <v>981</v>
      </c>
      <c r="E15" s="1">
        <v>45707.792361111111</v>
      </c>
      <c r="F15" s="1">
        <v>45716.792361111111</v>
      </c>
      <c r="G15" t="s">
        <v>3269</v>
      </c>
      <c r="H15" t="s">
        <v>961</v>
      </c>
      <c r="I15" t="s">
        <v>962</v>
      </c>
      <c r="J15" s="14">
        <v>188.86</v>
      </c>
      <c r="K15" t="s">
        <v>3270</v>
      </c>
    </row>
    <row r="16" spans="1:11" x14ac:dyDescent="0.25">
      <c r="A16" t="s">
        <v>995</v>
      </c>
      <c r="B16" t="s">
        <v>318</v>
      </c>
      <c r="C16" t="s">
        <v>996</v>
      </c>
      <c r="D16" t="s">
        <v>997</v>
      </c>
      <c r="E16" s="1">
        <v>45658.009027777778</v>
      </c>
      <c r="F16" s="1">
        <v>45667.009027777778</v>
      </c>
      <c r="G16" t="s">
        <v>1258</v>
      </c>
      <c r="H16" t="s">
        <v>978</v>
      </c>
      <c r="I16" t="s">
        <v>970</v>
      </c>
      <c r="J16" s="14">
        <v>238.23</v>
      </c>
      <c r="K16" t="s">
        <v>3270</v>
      </c>
    </row>
    <row r="17" spans="1:11" x14ac:dyDescent="0.25">
      <c r="A17" t="s">
        <v>998</v>
      </c>
      <c r="B17" t="s">
        <v>217</v>
      </c>
      <c r="C17" t="s">
        <v>999</v>
      </c>
      <c r="D17" t="s">
        <v>1000</v>
      </c>
      <c r="E17" s="1">
        <v>45708.214583333334</v>
      </c>
      <c r="F17" s="1">
        <v>45713.214583333334</v>
      </c>
      <c r="G17" t="s">
        <v>3269</v>
      </c>
      <c r="H17" t="s">
        <v>966</v>
      </c>
      <c r="I17" t="s">
        <v>962</v>
      </c>
      <c r="J17" s="14">
        <v>76.63</v>
      </c>
      <c r="K17" t="s">
        <v>3270</v>
      </c>
    </row>
    <row r="18" spans="1:11" x14ac:dyDescent="0.25">
      <c r="A18" t="s">
        <v>1001</v>
      </c>
      <c r="B18" t="s">
        <v>364</v>
      </c>
      <c r="C18" t="s">
        <v>959</v>
      </c>
      <c r="D18" t="s">
        <v>960</v>
      </c>
      <c r="E18" s="1">
        <v>45670.297222222223</v>
      </c>
      <c r="F18" s="1">
        <v>45680.297222222223</v>
      </c>
      <c r="G18" t="s">
        <v>3272</v>
      </c>
      <c r="H18" t="s">
        <v>982</v>
      </c>
      <c r="I18" t="s">
        <v>970</v>
      </c>
      <c r="J18" s="14">
        <v>282.77</v>
      </c>
      <c r="K18" t="s">
        <v>3273</v>
      </c>
    </row>
    <row r="19" spans="1:11" x14ac:dyDescent="0.25">
      <c r="A19" t="s">
        <v>1002</v>
      </c>
      <c r="B19" t="s">
        <v>214</v>
      </c>
      <c r="C19" t="s">
        <v>980</v>
      </c>
      <c r="D19" t="s">
        <v>981</v>
      </c>
      <c r="E19" s="1">
        <v>45718.099305555559</v>
      </c>
      <c r="F19" s="1">
        <v>45738.099305555559</v>
      </c>
      <c r="G19" t="s">
        <v>3272</v>
      </c>
      <c r="H19" t="s">
        <v>966</v>
      </c>
      <c r="I19" t="s">
        <v>962</v>
      </c>
      <c r="J19" s="14">
        <v>190.65</v>
      </c>
      <c r="K19" t="s">
        <v>3270</v>
      </c>
    </row>
    <row r="20" spans="1:11" x14ac:dyDescent="0.25">
      <c r="A20" t="s">
        <v>1003</v>
      </c>
      <c r="B20" t="s">
        <v>116</v>
      </c>
      <c r="C20" t="s">
        <v>964</v>
      </c>
      <c r="D20" t="s">
        <v>965</v>
      </c>
      <c r="E20" s="1">
        <v>45685.084027777775</v>
      </c>
      <c r="F20" s="1">
        <v>45695.084027777775</v>
      </c>
      <c r="G20" t="s">
        <v>3271</v>
      </c>
      <c r="H20" t="s">
        <v>982</v>
      </c>
      <c r="I20" t="s">
        <v>970</v>
      </c>
      <c r="J20" s="14">
        <v>259.95</v>
      </c>
      <c r="K20" t="s">
        <v>3270</v>
      </c>
    </row>
    <row r="21" spans="1:11" x14ac:dyDescent="0.25">
      <c r="A21" t="s">
        <v>1004</v>
      </c>
      <c r="B21" t="s">
        <v>28</v>
      </c>
      <c r="C21" t="s">
        <v>959</v>
      </c>
      <c r="D21" t="s">
        <v>960</v>
      </c>
      <c r="E21" s="1">
        <v>45696.43472222222</v>
      </c>
      <c r="F21" s="1">
        <v>45717.43472222222</v>
      </c>
      <c r="G21" t="s">
        <v>1248</v>
      </c>
      <c r="H21" t="s">
        <v>974</v>
      </c>
      <c r="I21" t="s">
        <v>962</v>
      </c>
      <c r="J21" s="14">
        <v>136.44</v>
      </c>
      <c r="K21" t="s">
        <v>3270</v>
      </c>
    </row>
    <row r="22" spans="1:11" x14ac:dyDescent="0.25">
      <c r="A22" t="s">
        <v>1005</v>
      </c>
      <c r="B22" t="s">
        <v>336</v>
      </c>
      <c r="C22" t="s">
        <v>990</v>
      </c>
      <c r="D22" t="s">
        <v>991</v>
      </c>
      <c r="E22" s="1">
        <v>45701.474999999999</v>
      </c>
      <c r="F22" s="1">
        <v>45720.474999999999</v>
      </c>
      <c r="G22" t="s">
        <v>3271</v>
      </c>
      <c r="H22" t="s">
        <v>966</v>
      </c>
      <c r="I22" t="s">
        <v>962</v>
      </c>
      <c r="J22" s="14">
        <v>44.31</v>
      </c>
      <c r="K22" t="s">
        <v>3270</v>
      </c>
    </row>
    <row r="23" spans="1:11" x14ac:dyDescent="0.25">
      <c r="A23" t="s">
        <v>1006</v>
      </c>
      <c r="B23" t="s">
        <v>346</v>
      </c>
      <c r="C23" t="s">
        <v>976</v>
      </c>
      <c r="D23" t="s">
        <v>977</v>
      </c>
      <c r="E23" s="1">
        <v>45694.382638888892</v>
      </c>
      <c r="F23" s="1">
        <v>45714.382638888892</v>
      </c>
      <c r="G23" t="s">
        <v>1258</v>
      </c>
      <c r="H23" t="s">
        <v>974</v>
      </c>
      <c r="I23" t="s">
        <v>970</v>
      </c>
      <c r="J23" s="14">
        <v>162.38</v>
      </c>
      <c r="K23" t="s">
        <v>3270</v>
      </c>
    </row>
    <row r="24" spans="1:11" x14ac:dyDescent="0.25">
      <c r="A24" t="s">
        <v>1007</v>
      </c>
      <c r="B24" t="s">
        <v>342</v>
      </c>
      <c r="C24" t="s">
        <v>968</v>
      </c>
      <c r="D24" t="s">
        <v>969</v>
      </c>
      <c r="E24" s="1">
        <v>45699.070138888892</v>
      </c>
      <c r="F24" s="1">
        <v>45712.070138888892</v>
      </c>
      <c r="G24" t="s">
        <v>1258</v>
      </c>
      <c r="H24" t="s">
        <v>982</v>
      </c>
      <c r="I24" t="s">
        <v>962</v>
      </c>
      <c r="J24" s="14">
        <v>223.36</v>
      </c>
      <c r="K24" t="s">
        <v>3273</v>
      </c>
    </row>
    <row r="25" spans="1:11" x14ac:dyDescent="0.25">
      <c r="A25" t="s">
        <v>1008</v>
      </c>
      <c r="B25" t="s">
        <v>330</v>
      </c>
      <c r="C25" t="s">
        <v>976</v>
      </c>
      <c r="D25" t="s">
        <v>977</v>
      </c>
      <c r="E25" s="1">
        <v>45720.807638888888</v>
      </c>
      <c r="F25" s="1">
        <v>45729.807638888888</v>
      </c>
      <c r="G25" t="s">
        <v>3272</v>
      </c>
      <c r="H25" t="s">
        <v>961</v>
      </c>
      <c r="I25" t="s">
        <v>962</v>
      </c>
      <c r="J25" s="14">
        <v>146.99</v>
      </c>
      <c r="K25" t="s">
        <v>3270</v>
      </c>
    </row>
    <row r="26" spans="1:11" x14ac:dyDescent="0.25">
      <c r="A26" t="s">
        <v>1009</v>
      </c>
      <c r="B26" t="s">
        <v>352</v>
      </c>
      <c r="C26" t="s">
        <v>972</v>
      </c>
      <c r="D26" t="s">
        <v>973</v>
      </c>
      <c r="E26" s="1">
        <v>45721.599305555559</v>
      </c>
      <c r="F26" s="1">
        <v>45728.599305555559</v>
      </c>
      <c r="G26" t="s">
        <v>1248</v>
      </c>
      <c r="H26" t="s">
        <v>974</v>
      </c>
      <c r="I26" t="s">
        <v>970</v>
      </c>
      <c r="J26" s="14">
        <v>268.89</v>
      </c>
      <c r="K26" t="s">
        <v>3270</v>
      </c>
    </row>
    <row r="27" spans="1:11" x14ac:dyDescent="0.25">
      <c r="A27" t="s">
        <v>1010</v>
      </c>
      <c r="B27" t="s">
        <v>202</v>
      </c>
      <c r="C27" t="s">
        <v>987</v>
      </c>
      <c r="D27" t="s">
        <v>988</v>
      </c>
      <c r="E27" s="1">
        <v>45717.691666666666</v>
      </c>
      <c r="F27" s="1">
        <v>45723.691666666666</v>
      </c>
      <c r="G27" t="s">
        <v>3272</v>
      </c>
      <c r="H27" t="s">
        <v>966</v>
      </c>
      <c r="I27" t="s">
        <v>970</v>
      </c>
      <c r="J27" s="14">
        <v>113.1</v>
      </c>
      <c r="K27" t="s">
        <v>3273</v>
      </c>
    </row>
    <row r="28" spans="1:11" x14ac:dyDescent="0.25">
      <c r="A28" t="s">
        <v>1011</v>
      </c>
      <c r="B28" t="s">
        <v>59</v>
      </c>
      <c r="C28" t="s">
        <v>999</v>
      </c>
      <c r="D28" t="s">
        <v>1000</v>
      </c>
      <c r="E28" s="1">
        <v>45727.642361111109</v>
      </c>
      <c r="F28" s="1">
        <v>45730.642361111109</v>
      </c>
      <c r="G28" t="s">
        <v>1248</v>
      </c>
      <c r="H28" t="s">
        <v>966</v>
      </c>
      <c r="I28" t="s">
        <v>962</v>
      </c>
      <c r="J28" s="14">
        <v>72.42</v>
      </c>
      <c r="K28" t="s">
        <v>3273</v>
      </c>
    </row>
    <row r="29" spans="1:11" x14ac:dyDescent="0.25">
      <c r="A29" t="s">
        <v>1012</v>
      </c>
      <c r="B29" t="s">
        <v>344</v>
      </c>
      <c r="C29" t="s">
        <v>987</v>
      </c>
      <c r="D29" t="s">
        <v>988</v>
      </c>
      <c r="E29" s="1">
        <v>45669.17291666667</v>
      </c>
      <c r="F29" s="1">
        <v>45673.17291666667</v>
      </c>
      <c r="G29" t="s">
        <v>1248</v>
      </c>
      <c r="H29" t="s">
        <v>978</v>
      </c>
      <c r="I29" t="s">
        <v>970</v>
      </c>
      <c r="J29" s="14">
        <v>54.87</v>
      </c>
      <c r="K29" t="s">
        <v>3273</v>
      </c>
    </row>
    <row r="30" spans="1:11" x14ac:dyDescent="0.25">
      <c r="A30" t="s">
        <v>1013</v>
      </c>
      <c r="B30" t="s">
        <v>184</v>
      </c>
      <c r="C30" t="s">
        <v>972</v>
      </c>
      <c r="D30" t="s">
        <v>973</v>
      </c>
      <c r="E30" s="1">
        <v>45688.429861111108</v>
      </c>
      <c r="F30" s="1">
        <v>45707.429861111108</v>
      </c>
      <c r="G30" t="s">
        <v>3271</v>
      </c>
      <c r="H30" t="s">
        <v>974</v>
      </c>
      <c r="I30" t="s">
        <v>962</v>
      </c>
      <c r="J30" s="14">
        <v>109.08</v>
      </c>
      <c r="K30" t="s">
        <v>3273</v>
      </c>
    </row>
    <row r="31" spans="1:11" x14ac:dyDescent="0.25">
      <c r="A31" t="s">
        <v>1014</v>
      </c>
      <c r="B31" t="s">
        <v>268</v>
      </c>
      <c r="C31" t="s">
        <v>964</v>
      </c>
      <c r="D31" t="s">
        <v>965</v>
      </c>
      <c r="E31" s="1">
        <v>45691.331250000003</v>
      </c>
      <c r="F31" s="1">
        <v>45700.331250000003</v>
      </c>
      <c r="G31" t="s">
        <v>1258</v>
      </c>
      <c r="H31" t="s">
        <v>982</v>
      </c>
      <c r="I31" t="s">
        <v>970</v>
      </c>
      <c r="J31" s="14">
        <v>58.66</v>
      </c>
      <c r="K31" t="s">
        <v>3270</v>
      </c>
    </row>
    <row r="32" spans="1:11" x14ac:dyDescent="0.25">
      <c r="A32" t="s">
        <v>1015</v>
      </c>
      <c r="B32" t="s">
        <v>235</v>
      </c>
      <c r="C32" t="s">
        <v>980</v>
      </c>
      <c r="D32" t="s">
        <v>981</v>
      </c>
      <c r="E32" s="1">
        <v>45718.775000000001</v>
      </c>
      <c r="F32" s="1">
        <v>45723.775000000001</v>
      </c>
      <c r="G32" t="s">
        <v>3271</v>
      </c>
      <c r="H32" t="s">
        <v>978</v>
      </c>
      <c r="I32" t="s">
        <v>970</v>
      </c>
      <c r="J32" s="14">
        <v>217.98</v>
      </c>
      <c r="K32" t="s">
        <v>3273</v>
      </c>
    </row>
    <row r="33" spans="1:11" x14ac:dyDescent="0.25">
      <c r="A33" t="s">
        <v>1016</v>
      </c>
      <c r="B33" t="s">
        <v>49</v>
      </c>
      <c r="C33" t="s">
        <v>999</v>
      </c>
      <c r="D33" t="s">
        <v>1000</v>
      </c>
      <c r="E33" s="1">
        <v>45714.055555555555</v>
      </c>
      <c r="F33" s="1">
        <v>45723.055555555555</v>
      </c>
      <c r="G33" t="s">
        <v>3272</v>
      </c>
      <c r="H33" t="s">
        <v>982</v>
      </c>
      <c r="I33" t="s">
        <v>962</v>
      </c>
      <c r="J33" s="14">
        <v>142.55000000000001</v>
      </c>
      <c r="K33" t="s">
        <v>3270</v>
      </c>
    </row>
    <row r="34" spans="1:11" x14ac:dyDescent="0.25">
      <c r="A34" t="s">
        <v>1017</v>
      </c>
      <c r="B34" t="s">
        <v>309</v>
      </c>
      <c r="C34" t="s">
        <v>990</v>
      </c>
      <c r="D34" t="s">
        <v>991</v>
      </c>
      <c r="E34" s="1">
        <v>45698.164583333331</v>
      </c>
      <c r="F34" s="1">
        <v>45713.164583333331</v>
      </c>
      <c r="G34" t="s">
        <v>3269</v>
      </c>
      <c r="H34" t="s">
        <v>982</v>
      </c>
      <c r="I34" t="s">
        <v>962</v>
      </c>
      <c r="J34" s="14">
        <v>141.88</v>
      </c>
      <c r="K34" t="s">
        <v>3270</v>
      </c>
    </row>
    <row r="35" spans="1:11" x14ac:dyDescent="0.25">
      <c r="A35" t="s">
        <v>1018</v>
      </c>
      <c r="B35" t="s">
        <v>155</v>
      </c>
      <c r="C35" t="s">
        <v>964</v>
      </c>
      <c r="D35" t="s">
        <v>965</v>
      </c>
      <c r="E35" s="1">
        <v>45721.220833333333</v>
      </c>
      <c r="F35" s="1">
        <v>45726.220833333333</v>
      </c>
      <c r="G35" t="s">
        <v>3269</v>
      </c>
      <c r="H35" t="s">
        <v>978</v>
      </c>
      <c r="I35" t="s">
        <v>962</v>
      </c>
      <c r="J35" s="14">
        <v>108.12</v>
      </c>
      <c r="K35" t="s">
        <v>3270</v>
      </c>
    </row>
    <row r="36" spans="1:11" x14ac:dyDescent="0.25">
      <c r="A36" t="s">
        <v>1019</v>
      </c>
      <c r="B36" t="s">
        <v>312</v>
      </c>
      <c r="C36" t="s">
        <v>990</v>
      </c>
      <c r="D36" t="s">
        <v>991</v>
      </c>
      <c r="E36" s="1">
        <v>45719.09097222222</v>
      </c>
      <c r="F36" s="1">
        <v>45726.09097222222</v>
      </c>
      <c r="G36" t="s">
        <v>3272</v>
      </c>
      <c r="H36" t="s">
        <v>982</v>
      </c>
      <c r="I36" t="s">
        <v>970</v>
      </c>
      <c r="J36" s="14">
        <v>22.74</v>
      </c>
      <c r="K36" t="s">
        <v>3273</v>
      </c>
    </row>
    <row r="37" spans="1:11" x14ac:dyDescent="0.25">
      <c r="A37" t="s">
        <v>1020</v>
      </c>
      <c r="B37" t="s">
        <v>303</v>
      </c>
      <c r="C37" t="s">
        <v>987</v>
      </c>
      <c r="D37" t="s">
        <v>988</v>
      </c>
      <c r="E37" s="1">
        <v>45722.276388888888</v>
      </c>
      <c r="F37" s="1">
        <v>45740.276388888888</v>
      </c>
      <c r="G37" t="s">
        <v>3272</v>
      </c>
      <c r="H37" t="s">
        <v>982</v>
      </c>
      <c r="I37" t="s">
        <v>962</v>
      </c>
      <c r="J37" s="14">
        <v>154.84</v>
      </c>
      <c r="K37" t="s">
        <v>3270</v>
      </c>
    </row>
    <row r="38" spans="1:11" x14ac:dyDescent="0.25">
      <c r="A38" t="s">
        <v>1021</v>
      </c>
      <c r="B38" t="s">
        <v>56</v>
      </c>
      <c r="C38" t="s">
        <v>976</v>
      </c>
      <c r="D38" t="s">
        <v>977</v>
      </c>
      <c r="E38" s="1">
        <v>45693.822222222225</v>
      </c>
      <c r="F38" s="1">
        <v>45713.822222222225</v>
      </c>
      <c r="G38" t="s">
        <v>1258</v>
      </c>
      <c r="H38" t="s">
        <v>974</v>
      </c>
      <c r="I38" t="s">
        <v>962</v>
      </c>
      <c r="J38" s="14">
        <v>250.75</v>
      </c>
      <c r="K38" t="s">
        <v>3270</v>
      </c>
    </row>
    <row r="39" spans="1:11" x14ac:dyDescent="0.25">
      <c r="A39" t="s">
        <v>1022</v>
      </c>
      <c r="B39" t="s">
        <v>300</v>
      </c>
      <c r="C39" t="s">
        <v>999</v>
      </c>
      <c r="D39" t="s">
        <v>1000</v>
      </c>
      <c r="E39" s="1">
        <v>45708.060416666667</v>
      </c>
      <c r="F39" s="1">
        <v>45711.060416666667</v>
      </c>
      <c r="G39" t="s">
        <v>1258</v>
      </c>
      <c r="H39" t="s">
        <v>961</v>
      </c>
      <c r="I39" t="s">
        <v>970</v>
      </c>
      <c r="J39" s="14">
        <v>139.71</v>
      </c>
      <c r="K39" t="s">
        <v>3273</v>
      </c>
    </row>
    <row r="40" spans="1:11" x14ac:dyDescent="0.25">
      <c r="A40" t="s">
        <v>1023</v>
      </c>
      <c r="B40" t="s">
        <v>244</v>
      </c>
      <c r="C40" t="s">
        <v>987</v>
      </c>
      <c r="D40" t="s">
        <v>988</v>
      </c>
      <c r="E40" s="1">
        <v>45659.640972222223</v>
      </c>
      <c r="F40" s="1">
        <v>45664.640972222223</v>
      </c>
      <c r="G40" t="s">
        <v>3269</v>
      </c>
      <c r="H40" t="s">
        <v>978</v>
      </c>
      <c r="I40" t="s">
        <v>962</v>
      </c>
      <c r="J40" s="14">
        <v>122.24</v>
      </c>
      <c r="K40" t="s">
        <v>3270</v>
      </c>
    </row>
    <row r="41" spans="1:11" x14ac:dyDescent="0.25">
      <c r="A41" t="s">
        <v>1024</v>
      </c>
      <c r="B41" t="s">
        <v>131</v>
      </c>
      <c r="C41" t="s">
        <v>996</v>
      </c>
      <c r="D41" t="s">
        <v>997</v>
      </c>
      <c r="E41" s="1">
        <v>45696.796527777777</v>
      </c>
      <c r="F41" s="1">
        <v>45700.796527777777</v>
      </c>
      <c r="G41" t="s">
        <v>3269</v>
      </c>
      <c r="H41" t="s">
        <v>982</v>
      </c>
      <c r="I41" t="s">
        <v>962</v>
      </c>
      <c r="J41" s="14">
        <v>261.83999999999997</v>
      </c>
      <c r="K41" t="s">
        <v>3270</v>
      </c>
    </row>
    <row r="42" spans="1:11" x14ac:dyDescent="0.25">
      <c r="A42" t="s">
        <v>1025</v>
      </c>
      <c r="B42" t="s">
        <v>288</v>
      </c>
      <c r="C42" t="s">
        <v>976</v>
      </c>
      <c r="D42" t="s">
        <v>977</v>
      </c>
      <c r="E42" s="1">
        <v>45723.611111111109</v>
      </c>
      <c r="F42" s="1">
        <v>45731.611111111109</v>
      </c>
      <c r="G42" t="s">
        <v>3271</v>
      </c>
      <c r="H42" t="s">
        <v>982</v>
      </c>
      <c r="I42" t="s">
        <v>962</v>
      </c>
      <c r="J42" s="14">
        <v>273.64</v>
      </c>
      <c r="K42" t="s">
        <v>3270</v>
      </c>
    </row>
    <row r="43" spans="1:11" x14ac:dyDescent="0.25">
      <c r="A43" t="s">
        <v>1026</v>
      </c>
      <c r="B43" t="s">
        <v>232</v>
      </c>
      <c r="C43" t="s">
        <v>999</v>
      </c>
      <c r="D43" t="s">
        <v>1000</v>
      </c>
      <c r="E43" s="1">
        <v>45710.914583333331</v>
      </c>
      <c r="F43" s="1">
        <v>45726.914583333331</v>
      </c>
      <c r="G43" t="s">
        <v>1248</v>
      </c>
      <c r="H43" t="s">
        <v>974</v>
      </c>
      <c r="I43" t="s">
        <v>962</v>
      </c>
      <c r="J43" s="14">
        <v>223.89</v>
      </c>
      <c r="K43" t="s">
        <v>3273</v>
      </c>
    </row>
    <row r="44" spans="1:11" x14ac:dyDescent="0.25">
      <c r="A44" t="s">
        <v>1027</v>
      </c>
      <c r="B44" t="s">
        <v>342</v>
      </c>
      <c r="C44" t="s">
        <v>959</v>
      </c>
      <c r="D44" t="s">
        <v>960</v>
      </c>
      <c r="E44" s="1">
        <v>45719.808333333334</v>
      </c>
      <c r="F44" s="1">
        <v>45732.808333333334</v>
      </c>
      <c r="G44" t="s">
        <v>3272</v>
      </c>
      <c r="H44" t="s">
        <v>961</v>
      </c>
      <c r="I44" t="s">
        <v>962</v>
      </c>
      <c r="J44" s="14">
        <v>293.04000000000002</v>
      </c>
      <c r="K44" t="s">
        <v>3273</v>
      </c>
    </row>
    <row r="45" spans="1:11" x14ac:dyDescent="0.25">
      <c r="A45" t="s">
        <v>1028</v>
      </c>
      <c r="B45" t="s">
        <v>122</v>
      </c>
      <c r="C45" t="s">
        <v>990</v>
      </c>
      <c r="D45" t="s">
        <v>991</v>
      </c>
      <c r="E45" s="1">
        <v>45662.049305555556</v>
      </c>
      <c r="F45" s="1">
        <v>45677.049305555556</v>
      </c>
      <c r="G45" t="s">
        <v>1248</v>
      </c>
      <c r="H45" t="s">
        <v>966</v>
      </c>
      <c r="I45" t="s">
        <v>970</v>
      </c>
      <c r="J45" s="14">
        <v>128.11000000000001</v>
      </c>
      <c r="K45" t="s">
        <v>3270</v>
      </c>
    </row>
    <row r="46" spans="1:11" x14ac:dyDescent="0.25">
      <c r="A46" t="s">
        <v>1029</v>
      </c>
      <c r="B46" t="s">
        <v>232</v>
      </c>
      <c r="C46" t="s">
        <v>976</v>
      </c>
      <c r="D46" t="s">
        <v>977</v>
      </c>
      <c r="E46" s="1">
        <v>45691.363888888889</v>
      </c>
      <c r="F46" s="1">
        <v>45705.363888888889</v>
      </c>
      <c r="G46" t="s">
        <v>3272</v>
      </c>
      <c r="H46" t="s">
        <v>982</v>
      </c>
      <c r="I46" t="s">
        <v>962</v>
      </c>
      <c r="J46" s="14">
        <v>225.04</v>
      </c>
      <c r="K46" t="s">
        <v>3273</v>
      </c>
    </row>
    <row r="47" spans="1:11" x14ac:dyDescent="0.25">
      <c r="A47" t="s">
        <v>1030</v>
      </c>
      <c r="B47" t="s">
        <v>288</v>
      </c>
      <c r="C47" t="s">
        <v>968</v>
      </c>
      <c r="D47" t="s">
        <v>969</v>
      </c>
      <c r="E47" s="1">
        <v>45697.986111111109</v>
      </c>
      <c r="F47" s="1">
        <v>45705.986111111109</v>
      </c>
      <c r="G47" t="s">
        <v>3269</v>
      </c>
      <c r="H47" t="s">
        <v>974</v>
      </c>
      <c r="I47" t="s">
        <v>970</v>
      </c>
      <c r="J47" s="14">
        <v>129.29</v>
      </c>
      <c r="K47" t="s">
        <v>3273</v>
      </c>
    </row>
    <row r="48" spans="1:11" x14ac:dyDescent="0.25">
      <c r="A48" t="s">
        <v>1031</v>
      </c>
      <c r="B48" t="s">
        <v>208</v>
      </c>
      <c r="C48" t="s">
        <v>990</v>
      </c>
      <c r="D48" t="s">
        <v>991</v>
      </c>
      <c r="E48" s="1">
        <v>45711.592361111114</v>
      </c>
      <c r="F48" s="1">
        <v>45718.592361111114</v>
      </c>
      <c r="G48" t="s">
        <v>3269</v>
      </c>
      <c r="H48" t="s">
        <v>982</v>
      </c>
      <c r="I48" t="s">
        <v>962</v>
      </c>
      <c r="J48" s="14">
        <v>135.63999999999999</v>
      </c>
      <c r="K48" t="s">
        <v>3270</v>
      </c>
    </row>
    <row r="49" spans="1:11" x14ac:dyDescent="0.25">
      <c r="A49" t="s">
        <v>1032</v>
      </c>
      <c r="B49" t="s">
        <v>155</v>
      </c>
      <c r="C49" t="s">
        <v>980</v>
      </c>
      <c r="D49" t="s">
        <v>981</v>
      </c>
      <c r="E49" s="1">
        <v>45675.631249999999</v>
      </c>
      <c r="F49" s="1">
        <v>45678.631249999999</v>
      </c>
      <c r="G49" t="s">
        <v>3269</v>
      </c>
      <c r="H49" t="s">
        <v>974</v>
      </c>
      <c r="I49" t="s">
        <v>970</v>
      </c>
      <c r="J49" s="14">
        <v>40.06</v>
      </c>
      <c r="K49" t="s">
        <v>3273</v>
      </c>
    </row>
    <row r="50" spans="1:11" x14ac:dyDescent="0.25">
      <c r="A50" t="s">
        <v>1033</v>
      </c>
      <c r="B50" t="s">
        <v>62</v>
      </c>
      <c r="C50" t="s">
        <v>996</v>
      </c>
      <c r="D50" t="s">
        <v>997</v>
      </c>
      <c r="E50" s="1">
        <v>45681.994444444441</v>
      </c>
      <c r="F50" s="1">
        <v>45699.994444444441</v>
      </c>
      <c r="G50" t="s">
        <v>3272</v>
      </c>
      <c r="H50" t="s">
        <v>982</v>
      </c>
      <c r="I50" t="s">
        <v>962</v>
      </c>
      <c r="J50" s="14">
        <v>71.47</v>
      </c>
      <c r="K50" t="s">
        <v>3270</v>
      </c>
    </row>
    <row r="51" spans="1:11" x14ac:dyDescent="0.25">
      <c r="A51" t="s">
        <v>1034</v>
      </c>
      <c r="B51" t="s">
        <v>161</v>
      </c>
      <c r="C51" t="s">
        <v>996</v>
      </c>
      <c r="D51" t="s">
        <v>997</v>
      </c>
      <c r="E51" s="1">
        <v>45724.808333333334</v>
      </c>
      <c r="F51" s="1">
        <v>45730.808333333334</v>
      </c>
      <c r="G51" t="s">
        <v>3269</v>
      </c>
      <c r="H51" t="s">
        <v>961</v>
      </c>
      <c r="I51" t="s">
        <v>962</v>
      </c>
      <c r="J51" s="14">
        <v>237.29</v>
      </c>
      <c r="K51" t="s">
        <v>3273</v>
      </c>
    </row>
    <row r="52" spans="1:11" x14ac:dyDescent="0.25">
      <c r="A52" t="s">
        <v>1035</v>
      </c>
      <c r="B52" t="s">
        <v>90</v>
      </c>
      <c r="C52" t="s">
        <v>959</v>
      </c>
      <c r="D52" t="s">
        <v>960</v>
      </c>
      <c r="E52" s="1">
        <v>45662.824999999997</v>
      </c>
      <c r="F52" s="1">
        <v>45676.824999999997</v>
      </c>
      <c r="G52" t="s">
        <v>3269</v>
      </c>
      <c r="H52" t="s">
        <v>961</v>
      </c>
      <c r="I52" t="s">
        <v>962</v>
      </c>
      <c r="J52" s="14">
        <v>208</v>
      </c>
      <c r="K52" t="s">
        <v>3270</v>
      </c>
    </row>
    <row r="53" spans="1:11" x14ac:dyDescent="0.25">
      <c r="A53" t="s">
        <v>1036</v>
      </c>
      <c r="B53" t="s">
        <v>285</v>
      </c>
      <c r="C53" t="s">
        <v>990</v>
      </c>
      <c r="D53" t="s">
        <v>991</v>
      </c>
      <c r="E53" s="1">
        <v>45714.943055555559</v>
      </c>
      <c r="F53" s="1">
        <v>45731.943055555559</v>
      </c>
      <c r="G53" t="s">
        <v>3269</v>
      </c>
      <c r="H53" t="s">
        <v>974</v>
      </c>
      <c r="I53" t="s">
        <v>962</v>
      </c>
      <c r="J53" s="14">
        <v>66.91</v>
      </c>
      <c r="K53" t="s">
        <v>3273</v>
      </c>
    </row>
    <row r="54" spans="1:11" x14ac:dyDescent="0.25">
      <c r="A54" t="s">
        <v>1037</v>
      </c>
      <c r="B54" t="s">
        <v>62</v>
      </c>
      <c r="C54" t="s">
        <v>972</v>
      </c>
      <c r="D54" t="s">
        <v>973</v>
      </c>
      <c r="E54" s="1">
        <v>45671.751388888886</v>
      </c>
      <c r="F54" s="1">
        <v>45690.751388888886</v>
      </c>
      <c r="G54" t="s">
        <v>1248</v>
      </c>
      <c r="H54" t="s">
        <v>966</v>
      </c>
      <c r="I54" t="s">
        <v>970</v>
      </c>
      <c r="J54" s="14">
        <v>246.47</v>
      </c>
      <c r="K54" t="s">
        <v>3273</v>
      </c>
    </row>
    <row r="55" spans="1:11" x14ac:dyDescent="0.25">
      <c r="A55" t="s">
        <v>1038</v>
      </c>
      <c r="B55" t="s">
        <v>271</v>
      </c>
      <c r="C55" t="s">
        <v>987</v>
      </c>
      <c r="D55" t="s">
        <v>988</v>
      </c>
      <c r="E55" s="1">
        <v>45665.97152777778</v>
      </c>
      <c r="F55" s="1">
        <v>45668.97152777778</v>
      </c>
      <c r="G55" t="s">
        <v>1258</v>
      </c>
      <c r="H55" t="s">
        <v>982</v>
      </c>
      <c r="I55" t="s">
        <v>962</v>
      </c>
      <c r="J55" s="14">
        <v>224.44</v>
      </c>
      <c r="K55" t="s">
        <v>3273</v>
      </c>
    </row>
    <row r="56" spans="1:11" x14ac:dyDescent="0.25">
      <c r="A56" t="s">
        <v>1039</v>
      </c>
      <c r="B56" t="s">
        <v>211</v>
      </c>
      <c r="C56" t="s">
        <v>999</v>
      </c>
      <c r="D56" t="s">
        <v>1000</v>
      </c>
      <c r="E56" s="1">
        <v>45658.127083333333</v>
      </c>
      <c r="F56" s="1">
        <v>45665.127083333333</v>
      </c>
      <c r="G56" t="s">
        <v>3269</v>
      </c>
      <c r="H56" t="s">
        <v>978</v>
      </c>
      <c r="I56" t="s">
        <v>962</v>
      </c>
      <c r="J56" s="14">
        <v>171.73</v>
      </c>
      <c r="K56" t="s">
        <v>3273</v>
      </c>
    </row>
    <row r="57" spans="1:11" x14ac:dyDescent="0.25">
      <c r="A57" t="s">
        <v>1040</v>
      </c>
      <c r="B57" t="s">
        <v>161</v>
      </c>
      <c r="C57" t="s">
        <v>987</v>
      </c>
      <c r="D57" t="s">
        <v>988</v>
      </c>
      <c r="E57" s="1">
        <v>45705.129166666666</v>
      </c>
      <c r="F57" s="1">
        <v>45710.129166666666</v>
      </c>
      <c r="G57" t="s">
        <v>3272</v>
      </c>
      <c r="H57" t="s">
        <v>978</v>
      </c>
      <c r="I57" t="s">
        <v>970</v>
      </c>
      <c r="J57" s="14">
        <v>178.23</v>
      </c>
      <c r="K57" t="s">
        <v>3270</v>
      </c>
    </row>
    <row r="58" spans="1:11" x14ac:dyDescent="0.25">
      <c r="A58" t="s">
        <v>1041</v>
      </c>
      <c r="B58" t="s">
        <v>164</v>
      </c>
      <c r="C58" t="s">
        <v>968</v>
      </c>
      <c r="D58" t="s">
        <v>969</v>
      </c>
      <c r="E58" s="1">
        <v>45697.210416666669</v>
      </c>
      <c r="F58" s="1">
        <v>45715.210416666669</v>
      </c>
      <c r="G58" t="s">
        <v>1258</v>
      </c>
      <c r="H58" t="s">
        <v>982</v>
      </c>
      <c r="I58" t="s">
        <v>962</v>
      </c>
      <c r="J58" s="14">
        <v>256.2</v>
      </c>
      <c r="K58" t="s">
        <v>3270</v>
      </c>
    </row>
    <row r="59" spans="1:11" x14ac:dyDescent="0.25">
      <c r="A59" t="s">
        <v>1042</v>
      </c>
      <c r="B59" t="s">
        <v>324</v>
      </c>
      <c r="C59" t="s">
        <v>999</v>
      </c>
      <c r="D59" t="s">
        <v>1000</v>
      </c>
      <c r="E59" s="1">
        <v>45667.31527777778</v>
      </c>
      <c r="F59" s="1">
        <v>45677.31527777778</v>
      </c>
      <c r="G59" t="s">
        <v>1258</v>
      </c>
      <c r="H59" t="s">
        <v>974</v>
      </c>
      <c r="I59" t="s">
        <v>962</v>
      </c>
      <c r="J59" s="14">
        <v>200.46</v>
      </c>
      <c r="K59" t="s">
        <v>3273</v>
      </c>
    </row>
    <row r="60" spans="1:11" x14ac:dyDescent="0.25">
      <c r="A60" t="s">
        <v>1043</v>
      </c>
      <c r="B60" t="s">
        <v>344</v>
      </c>
      <c r="C60" t="s">
        <v>959</v>
      </c>
      <c r="D60" t="s">
        <v>960</v>
      </c>
      <c r="E60" s="1">
        <v>45659.486111111109</v>
      </c>
      <c r="F60" s="1">
        <v>45663.486111111109</v>
      </c>
      <c r="G60" t="s">
        <v>3272</v>
      </c>
      <c r="H60" t="s">
        <v>974</v>
      </c>
      <c r="I60" t="s">
        <v>962</v>
      </c>
      <c r="J60" s="14">
        <v>198.44</v>
      </c>
      <c r="K60" t="s">
        <v>3270</v>
      </c>
    </row>
    <row r="61" spans="1:11" x14ac:dyDescent="0.25">
      <c r="A61" t="s">
        <v>1044</v>
      </c>
      <c r="B61" t="s">
        <v>294</v>
      </c>
      <c r="C61" t="s">
        <v>990</v>
      </c>
      <c r="D61" t="s">
        <v>991</v>
      </c>
      <c r="E61" s="1">
        <v>45678.56527777778</v>
      </c>
      <c r="F61" s="1">
        <v>45682.56527777778</v>
      </c>
      <c r="G61" t="s">
        <v>1258</v>
      </c>
      <c r="H61" t="s">
        <v>974</v>
      </c>
      <c r="I61" t="s">
        <v>962</v>
      </c>
      <c r="J61" s="14">
        <v>145.69</v>
      </c>
      <c r="K61" t="s">
        <v>3270</v>
      </c>
    </row>
    <row r="62" spans="1:11" x14ac:dyDescent="0.25">
      <c r="A62" t="s">
        <v>1045</v>
      </c>
      <c r="B62" t="s">
        <v>125</v>
      </c>
      <c r="C62" t="s">
        <v>959</v>
      </c>
      <c r="D62" t="s">
        <v>960</v>
      </c>
      <c r="E62" s="1">
        <v>45711.321527777778</v>
      </c>
      <c r="F62" s="1">
        <v>45732.321527777778</v>
      </c>
      <c r="G62" t="s">
        <v>1258</v>
      </c>
      <c r="H62" t="s">
        <v>961</v>
      </c>
      <c r="I62" t="s">
        <v>962</v>
      </c>
      <c r="J62" s="14">
        <v>279.63</v>
      </c>
      <c r="K62" t="s">
        <v>3270</v>
      </c>
    </row>
    <row r="63" spans="1:11" x14ac:dyDescent="0.25">
      <c r="A63" t="s">
        <v>1046</v>
      </c>
      <c r="B63" t="s">
        <v>65</v>
      </c>
      <c r="C63" t="s">
        <v>964</v>
      </c>
      <c r="D63" t="s">
        <v>965</v>
      </c>
      <c r="E63" s="1">
        <v>45670.664583333331</v>
      </c>
      <c r="F63" s="1">
        <v>45683.664583333331</v>
      </c>
      <c r="G63" t="s">
        <v>3272</v>
      </c>
      <c r="H63" t="s">
        <v>978</v>
      </c>
      <c r="I63" t="s">
        <v>962</v>
      </c>
      <c r="J63" s="14">
        <v>144.97999999999999</v>
      </c>
      <c r="K63" t="s">
        <v>3273</v>
      </c>
    </row>
    <row r="64" spans="1:11" x14ac:dyDescent="0.25">
      <c r="A64" t="s">
        <v>1047</v>
      </c>
      <c r="B64" t="s">
        <v>17</v>
      </c>
      <c r="C64" t="s">
        <v>980</v>
      </c>
      <c r="D64" t="s">
        <v>981</v>
      </c>
      <c r="E64" s="1">
        <v>45671.92083333333</v>
      </c>
      <c r="F64" s="1">
        <v>45678.92083333333</v>
      </c>
      <c r="G64" t="s">
        <v>3272</v>
      </c>
      <c r="H64" t="s">
        <v>982</v>
      </c>
      <c r="I64" t="s">
        <v>962</v>
      </c>
      <c r="J64" s="14">
        <v>125.66</v>
      </c>
      <c r="K64" t="s">
        <v>3273</v>
      </c>
    </row>
    <row r="65" spans="1:11" x14ac:dyDescent="0.25">
      <c r="A65" t="s">
        <v>1048</v>
      </c>
      <c r="B65" t="s">
        <v>56</v>
      </c>
      <c r="C65" t="s">
        <v>972</v>
      </c>
      <c r="D65" t="s">
        <v>973</v>
      </c>
      <c r="E65" s="1">
        <v>45658.749305555553</v>
      </c>
      <c r="F65" s="1">
        <v>45677.749305555553</v>
      </c>
      <c r="G65" t="s">
        <v>3272</v>
      </c>
      <c r="H65" t="s">
        <v>982</v>
      </c>
      <c r="I65" t="s">
        <v>962</v>
      </c>
      <c r="J65" s="14">
        <v>110.12</v>
      </c>
      <c r="K65" t="s">
        <v>3270</v>
      </c>
    </row>
    <row r="66" spans="1:11" x14ac:dyDescent="0.25">
      <c r="A66" t="s">
        <v>1049</v>
      </c>
      <c r="B66" t="s">
        <v>349</v>
      </c>
      <c r="C66" t="s">
        <v>959</v>
      </c>
      <c r="D66" t="s">
        <v>960</v>
      </c>
      <c r="E66" s="1">
        <v>45717.265277777777</v>
      </c>
      <c r="F66" s="1">
        <v>45738.265277777777</v>
      </c>
      <c r="G66" t="s">
        <v>1258</v>
      </c>
      <c r="H66" t="s">
        <v>978</v>
      </c>
      <c r="I66" t="s">
        <v>962</v>
      </c>
      <c r="J66" s="14">
        <v>179.69</v>
      </c>
      <c r="K66" t="s">
        <v>3270</v>
      </c>
    </row>
    <row r="67" spans="1:11" x14ac:dyDescent="0.25">
      <c r="A67" t="s">
        <v>1050</v>
      </c>
      <c r="B67" t="s">
        <v>349</v>
      </c>
      <c r="C67" t="s">
        <v>980</v>
      </c>
      <c r="D67" t="s">
        <v>981</v>
      </c>
      <c r="E67" s="1">
        <v>45699.700694444444</v>
      </c>
      <c r="F67" s="1">
        <v>45720.700694444444</v>
      </c>
      <c r="G67" t="s">
        <v>1248</v>
      </c>
      <c r="H67" t="s">
        <v>974</v>
      </c>
      <c r="I67" t="s">
        <v>970</v>
      </c>
      <c r="J67" s="14">
        <v>66.16</v>
      </c>
      <c r="K67" t="s">
        <v>3270</v>
      </c>
    </row>
    <row r="68" spans="1:11" x14ac:dyDescent="0.25">
      <c r="A68" t="s">
        <v>1051</v>
      </c>
      <c r="B68" t="s">
        <v>68</v>
      </c>
      <c r="C68" t="s">
        <v>990</v>
      </c>
      <c r="D68" t="s">
        <v>991</v>
      </c>
      <c r="E68" s="1">
        <v>45719.078472222223</v>
      </c>
      <c r="F68" s="1">
        <v>45738.078472222223</v>
      </c>
      <c r="G68" t="s">
        <v>1258</v>
      </c>
      <c r="H68" t="s">
        <v>974</v>
      </c>
      <c r="I68" t="s">
        <v>962</v>
      </c>
      <c r="J68" s="14">
        <v>158.28</v>
      </c>
      <c r="K68" t="s">
        <v>3270</v>
      </c>
    </row>
    <row r="69" spans="1:11" x14ac:dyDescent="0.25">
      <c r="A69" t="s">
        <v>1052</v>
      </c>
      <c r="B69" t="s">
        <v>306</v>
      </c>
      <c r="C69" t="s">
        <v>987</v>
      </c>
      <c r="D69" t="s">
        <v>988</v>
      </c>
      <c r="E69" s="1">
        <v>45679.505555555559</v>
      </c>
      <c r="F69" s="1">
        <v>45684.505555555559</v>
      </c>
      <c r="G69" t="s">
        <v>3269</v>
      </c>
      <c r="H69" t="s">
        <v>974</v>
      </c>
      <c r="I69" t="s">
        <v>962</v>
      </c>
      <c r="J69" s="14">
        <v>258.08999999999997</v>
      </c>
      <c r="K69" t="s">
        <v>3273</v>
      </c>
    </row>
    <row r="70" spans="1:11" x14ac:dyDescent="0.25">
      <c r="A70" t="s">
        <v>1053</v>
      </c>
      <c r="B70" t="s">
        <v>28</v>
      </c>
      <c r="C70" t="s">
        <v>987</v>
      </c>
      <c r="D70" t="s">
        <v>988</v>
      </c>
      <c r="E70" s="1">
        <v>45681.527777777781</v>
      </c>
      <c r="F70" s="1">
        <v>45699.527777777781</v>
      </c>
      <c r="G70" t="s">
        <v>1248</v>
      </c>
      <c r="H70" t="s">
        <v>974</v>
      </c>
      <c r="I70" t="s">
        <v>962</v>
      </c>
      <c r="J70" s="14">
        <v>164.49</v>
      </c>
      <c r="K70" t="s">
        <v>3273</v>
      </c>
    </row>
    <row r="71" spans="1:11" x14ac:dyDescent="0.25">
      <c r="A71" t="s">
        <v>1054</v>
      </c>
      <c r="B71" t="s">
        <v>274</v>
      </c>
      <c r="C71" t="s">
        <v>972</v>
      </c>
      <c r="D71" t="s">
        <v>973</v>
      </c>
      <c r="E71" s="1">
        <v>45708.025000000001</v>
      </c>
      <c r="F71" s="1">
        <v>45729.025000000001</v>
      </c>
      <c r="G71" t="s">
        <v>3269</v>
      </c>
      <c r="H71" t="s">
        <v>966</v>
      </c>
      <c r="I71" t="s">
        <v>962</v>
      </c>
      <c r="J71" s="14">
        <v>199.84</v>
      </c>
      <c r="K71" t="s">
        <v>3273</v>
      </c>
    </row>
    <row r="72" spans="1:11" x14ac:dyDescent="0.25">
      <c r="A72" t="s">
        <v>1055</v>
      </c>
      <c r="B72" t="s">
        <v>346</v>
      </c>
      <c r="C72" t="s">
        <v>996</v>
      </c>
      <c r="D72" t="s">
        <v>997</v>
      </c>
      <c r="E72" s="1">
        <v>45717.859027777777</v>
      </c>
      <c r="F72" s="1">
        <v>45737.859027777777</v>
      </c>
      <c r="G72" t="s">
        <v>3271</v>
      </c>
      <c r="H72" t="s">
        <v>961</v>
      </c>
      <c r="I72" t="s">
        <v>970</v>
      </c>
      <c r="J72" s="14">
        <v>56.89</v>
      </c>
      <c r="K72" t="s">
        <v>3270</v>
      </c>
    </row>
    <row r="73" spans="1:11" x14ac:dyDescent="0.25">
      <c r="A73" t="s">
        <v>1056</v>
      </c>
      <c r="B73" t="s">
        <v>336</v>
      </c>
      <c r="C73" t="s">
        <v>972</v>
      </c>
      <c r="D73" t="s">
        <v>973</v>
      </c>
      <c r="E73" s="1">
        <v>45693.838888888888</v>
      </c>
      <c r="F73" s="1">
        <v>45711.838888888888</v>
      </c>
      <c r="G73" t="s">
        <v>3272</v>
      </c>
      <c r="H73" t="s">
        <v>978</v>
      </c>
      <c r="I73" t="s">
        <v>962</v>
      </c>
      <c r="J73" s="14">
        <v>210.55</v>
      </c>
      <c r="K73" t="s">
        <v>3270</v>
      </c>
    </row>
    <row r="74" spans="1:11" x14ac:dyDescent="0.25">
      <c r="A74" t="s">
        <v>1057</v>
      </c>
      <c r="B74" t="s">
        <v>382</v>
      </c>
      <c r="C74" t="s">
        <v>987</v>
      </c>
      <c r="D74" t="s">
        <v>988</v>
      </c>
      <c r="E74" s="1">
        <v>45703.220138888886</v>
      </c>
      <c r="F74" s="1">
        <v>45709.220138888886</v>
      </c>
      <c r="G74" t="s">
        <v>3271</v>
      </c>
      <c r="H74" t="s">
        <v>961</v>
      </c>
      <c r="I74" t="s">
        <v>970</v>
      </c>
      <c r="J74" s="14">
        <v>61.31</v>
      </c>
      <c r="K74" t="s">
        <v>3270</v>
      </c>
    </row>
    <row r="75" spans="1:11" x14ac:dyDescent="0.25">
      <c r="A75" t="s">
        <v>1058</v>
      </c>
      <c r="B75" t="s">
        <v>137</v>
      </c>
      <c r="C75" t="s">
        <v>996</v>
      </c>
      <c r="D75" t="s">
        <v>997</v>
      </c>
      <c r="E75" s="1">
        <v>45725.613194444442</v>
      </c>
      <c r="F75" s="1">
        <v>45746.613194444442</v>
      </c>
      <c r="G75" t="s">
        <v>1258</v>
      </c>
      <c r="H75" t="s">
        <v>961</v>
      </c>
      <c r="I75" t="s">
        <v>962</v>
      </c>
      <c r="J75" s="14">
        <v>248.59</v>
      </c>
      <c r="K75" t="s">
        <v>3270</v>
      </c>
    </row>
    <row r="76" spans="1:11" x14ac:dyDescent="0.25">
      <c r="A76" t="s">
        <v>1059</v>
      </c>
      <c r="B76" t="s">
        <v>83</v>
      </c>
      <c r="C76" t="s">
        <v>972</v>
      </c>
      <c r="D76" t="s">
        <v>973</v>
      </c>
      <c r="E76" s="1">
        <v>45708.27847222222</v>
      </c>
      <c r="F76" s="1">
        <v>45724.27847222222</v>
      </c>
      <c r="G76" t="s">
        <v>1258</v>
      </c>
      <c r="H76" t="s">
        <v>966</v>
      </c>
      <c r="I76" t="s">
        <v>962</v>
      </c>
      <c r="J76" s="14">
        <v>262</v>
      </c>
      <c r="K76" t="s">
        <v>3270</v>
      </c>
    </row>
    <row r="77" spans="1:11" x14ac:dyDescent="0.25">
      <c r="A77" t="s">
        <v>1060</v>
      </c>
      <c r="B77" t="s">
        <v>199</v>
      </c>
      <c r="C77" t="s">
        <v>968</v>
      </c>
      <c r="D77" t="s">
        <v>969</v>
      </c>
      <c r="E77" s="1">
        <v>45659.864583333336</v>
      </c>
      <c r="F77" s="1">
        <v>45664.864583333336</v>
      </c>
      <c r="G77" t="s">
        <v>3269</v>
      </c>
      <c r="H77" t="s">
        <v>982</v>
      </c>
      <c r="I77" t="s">
        <v>962</v>
      </c>
      <c r="J77" s="14">
        <v>294.94</v>
      </c>
      <c r="K77" t="s">
        <v>3270</v>
      </c>
    </row>
    <row r="78" spans="1:11" x14ac:dyDescent="0.25">
      <c r="A78" t="s">
        <v>1061</v>
      </c>
      <c r="B78" t="s">
        <v>376</v>
      </c>
      <c r="C78" t="s">
        <v>964</v>
      </c>
      <c r="D78" t="s">
        <v>965</v>
      </c>
      <c r="E78" s="1">
        <v>45659.629166666666</v>
      </c>
      <c r="F78" s="1">
        <v>45680.629166666666</v>
      </c>
      <c r="G78" t="s">
        <v>1258</v>
      </c>
      <c r="H78" t="s">
        <v>974</v>
      </c>
      <c r="I78" t="s">
        <v>970</v>
      </c>
      <c r="J78" s="14">
        <v>88.68</v>
      </c>
      <c r="K78" t="s">
        <v>3273</v>
      </c>
    </row>
    <row r="79" spans="1:11" x14ac:dyDescent="0.25">
      <c r="A79" t="s">
        <v>1062</v>
      </c>
      <c r="B79" t="s">
        <v>33</v>
      </c>
      <c r="C79" t="s">
        <v>959</v>
      </c>
      <c r="D79" t="s">
        <v>960</v>
      </c>
      <c r="E79" s="1">
        <v>45677.607638888891</v>
      </c>
      <c r="F79" s="1">
        <v>45684.607638888891</v>
      </c>
      <c r="G79" t="s">
        <v>1258</v>
      </c>
      <c r="H79" t="s">
        <v>982</v>
      </c>
      <c r="I79" t="s">
        <v>962</v>
      </c>
      <c r="J79" s="14">
        <v>240.34</v>
      </c>
      <c r="K79" t="s">
        <v>3270</v>
      </c>
    </row>
    <row r="80" spans="1:11" x14ac:dyDescent="0.25">
      <c r="A80" t="s">
        <v>1063</v>
      </c>
      <c r="B80" t="s">
        <v>93</v>
      </c>
      <c r="C80" t="s">
        <v>968</v>
      </c>
      <c r="D80" t="s">
        <v>969</v>
      </c>
      <c r="E80" s="1">
        <v>45724.838888888888</v>
      </c>
      <c r="F80" s="1">
        <v>45729.838888888888</v>
      </c>
      <c r="G80" t="s">
        <v>3269</v>
      </c>
      <c r="H80" t="s">
        <v>966</v>
      </c>
      <c r="I80" t="s">
        <v>970</v>
      </c>
      <c r="J80" s="14">
        <v>292.47000000000003</v>
      </c>
      <c r="K80" t="s">
        <v>3270</v>
      </c>
    </row>
    <row r="81" spans="1:11" x14ac:dyDescent="0.25">
      <c r="A81" t="s">
        <v>1064</v>
      </c>
      <c r="B81" t="s">
        <v>99</v>
      </c>
      <c r="C81" t="s">
        <v>999</v>
      </c>
      <c r="D81" t="s">
        <v>1000</v>
      </c>
      <c r="E81" s="1">
        <v>45679.802083333336</v>
      </c>
      <c r="F81" s="1">
        <v>45687.802083333336</v>
      </c>
      <c r="G81" t="s">
        <v>3272</v>
      </c>
      <c r="H81" t="s">
        <v>982</v>
      </c>
      <c r="I81" t="s">
        <v>962</v>
      </c>
      <c r="J81" s="14">
        <v>291.31</v>
      </c>
      <c r="K81" t="s">
        <v>3270</v>
      </c>
    </row>
    <row r="82" spans="1:11" x14ac:dyDescent="0.25">
      <c r="A82" t="s">
        <v>1065</v>
      </c>
      <c r="B82" t="s">
        <v>131</v>
      </c>
      <c r="C82" t="s">
        <v>972</v>
      </c>
      <c r="D82" t="s">
        <v>973</v>
      </c>
      <c r="E82" s="1">
        <v>45659.933333333334</v>
      </c>
      <c r="F82" s="1">
        <v>45664.933333333334</v>
      </c>
      <c r="G82" t="s">
        <v>3272</v>
      </c>
      <c r="H82" t="s">
        <v>978</v>
      </c>
      <c r="I82" t="s">
        <v>962</v>
      </c>
      <c r="J82" s="14">
        <v>77.56</v>
      </c>
      <c r="K82" t="s">
        <v>3270</v>
      </c>
    </row>
    <row r="83" spans="1:11" x14ac:dyDescent="0.25">
      <c r="A83" t="s">
        <v>1066</v>
      </c>
      <c r="B83" t="s">
        <v>327</v>
      </c>
      <c r="C83" t="s">
        <v>987</v>
      </c>
      <c r="D83" t="s">
        <v>988</v>
      </c>
      <c r="E83" s="1">
        <v>45665.081944444442</v>
      </c>
      <c r="F83" s="1">
        <v>45668.081944444442</v>
      </c>
      <c r="G83" t="s">
        <v>3271</v>
      </c>
      <c r="H83" t="s">
        <v>961</v>
      </c>
      <c r="I83" t="s">
        <v>970</v>
      </c>
      <c r="J83" s="14">
        <v>203.56</v>
      </c>
      <c r="K83" t="s">
        <v>3270</v>
      </c>
    </row>
    <row r="84" spans="1:11" x14ac:dyDescent="0.25">
      <c r="A84" t="s">
        <v>1067</v>
      </c>
      <c r="B84" t="s">
        <v>226</v>
      </c>
      <c r="C84" t="s">
        <v>990</v>
      </c>
      <c r="D84" t="s">
        <v>991</v>
      </c>
      <c r="E84" s="1">
        <v>45671.048611111109</v>
      </c>
      <c r="F84" s="1">
        <v>45692.048611111109</v>
      </c>
      <c r="G84" t="s">
        <v>3271</v>
      </c>
      <c r="H84" t="s">
        <v>974</v>
      </c>
      <c r="I84" t="s">
        <v>962</v>
      </c>
      <c r="J84" s="14">
        <v>125.99</v>
      </c>
      <c r="K84" t="s">
        <v>3270</v>
      </c>
    </row>
    <row r="85" spans="1:11" x14ac:dyDescent="0.25">
      <c r="A85" t="s">
        <v>1068</v>
      </c>
      <c r="B85" t="s">
        <v>202</v>
      </c>
      <c r="C85" t="s">
        <v>980</v>
      </c>
      <c r="D85" t="s">
        <v>981</v>
      </c>
      <c r="E85" s="1">
        <v>45697.084027777775</v>
      </c>
      <c r="F85" s="1">
        <v>45702.084027777775</v>
      </c>
      <c r="G85" t="s">
        <v>3272</v>
      </c>
      <c r="H85" t="s">
        <v>961</v>
      </c>
      <c r="I85" t="s">
        <v>962</v>
      </c>
      <c r="J85" s="14">
        <v>273.04000000000002</v>
      </c>
      <c r="K85" t="s">
        <v>3273</v>
      </c>
    </row>
    <row r="86" spans="1:11" x14ac:dyDescent="0.25">
      <c r="A86" t="s">
        <v>1069</v>
      </c>
      <c r="B86" t="s">
        <v>137</v>
      </c>
      <c r="C86" t="s">
        <v>987</v>
      </c>
      <c r="D86" t="s">
        <v>988</v>
      </c>
      <c r="E86" s="1">
        <v>45724.330555555556</v>
      </c>
      <c r="F86" s="1">
        <v>45745.330555555556</v>
      </c>
      <c r="G86" t="s">
        <v>3271</v>
      </c>
      <c r="H86" t="s">
        <v>966</v>
      </c>
      <c r="I86" t="s">
        <v>962</v>
      </c>
      <c r="J86" s="14">
        <v>188.86</v>
      </c>
      <c r="K86" t="s">
        <v>3270</v>
      </c>
    </row>
    <row r="87" spans="1:11" x14ac:dyDescent="0.25">
      <c r="A87" t="s">
        <v>1070</v>
      </c>
      <c r="B87" t="s">
        <v>93</v>
      </c>
      <c r="C87" t="s">
        <v>968</v>
      </c>
      <c r="D87" t="s">
        <v>969</v>
      </c>
      <c r="E87" s="1">
        <v>45696.052083333336</v>
      </c>
      <c r="F87" s="1">
        <v>45704.052083333336</v>
      </c>
      <c r="G87" t="s">
        <v>1248</v>
      </c>
      <c r="H87" t="s">
        <v>978</v>
      </c>
      <c r="I87" t="s">
        <v>962</v>
      </c>
      <c r="J87" s="14">
        <v>273.75</v>
      </c>
      <c r="K87" t="s">
        <v>3270</v>
      </c>
    </row>
    <row r="88" spans="1:11" x14ac:dyDescent="0.25">
      <c r="A88" t="s">
        <v>1071</v>
      </c>
      <c r="B88" t="s">
        <v>321</v>
      </c>
      <c r="C88" t="s">
        <v>999</v>
      </c>
      <c r="D88" t="s">
        <v>1000</v>
      </c>
      <c r="E88" s="1">
        <v>45713.490277777775</v>
      </c>
      <c r="F88" s="1">
        <v>45735.490277777775</v>
      </c>
      <c r="G88" t="s">
        <v>1248</v>
      </c>
      <c r="H88" t="s">
        <v>961</v>
      </c>
      <c r="I88" t="s">
        <v>970</v>
      </c>
      <c r="J88" s="14">
        <v>219.22</v>
      </c>
      <c r="K88" t="s">
        <v>3270</v>
      </c>
    </row>
    <row r="89" spans="1:11" x14ac:dyDescent="0.25">
      <c r="A89" t="s">
        <v>1072</v>
      </c>
      <c r="B89" t="s">
        <v>276</v>
      </c>
      <c r="C89" t="s">
        <v>990</v>
      </c>
      <c r="D89" t="s">
        <v>991</v>
      </c>
      <c r="E89" s="1">
        <v>45685.029166666667</v>
      </c>
      <c r="F89" s="1">
        <v>45704.029166666667</v>
      </c>
      <c r="G89" t="s">
        <v>1248</v>
      </c>
      <c r="H89" t="s">
        <v>961</v>
      </c>
      <c r="I89" t="s">
        <v>970</v>
      </c>
      <c r="J89" s="14">
        <v>108.43</v>
      </c>
      <c r="K89" t="s">
        <v>3270</v>
      </c>
    </row>
    <row r="90" spans="1:11" x14ac:dyDescent="0.25">
      <c r="A90" t="s">
        <v>1073</v>
      </c>
      <c r="B90" t="s">
        <v>279</v>
      </c>
      <c r="C90" t="s">
        <v>972</v>
      </c>
      <c r="D90" t="s">
        <v>973</v>
      </c>
      <c r="E90" s="1">
        <v>45702.611111111109</v>
      </c>
      <c r="F90" s="1">
        <v>45714.611111111109</v>
      </c>
      <c r="G90" t="s">
        <v>1248</v>
      </c>
      <c r="H90" t="s">
        <v>974</v>
      </c>
      <c r="I90" t="s">
        <v>962</v>
      </c>
      <c r="J90" s="14">
        <v>97.69</v>
      </c>
      <c r="K90" t="s">
        <v>3273</v>
      </c>
    </row>
    <row r="91" spans="1:11" x14ac:dyDescent="0.25">
      <c r="A91" t="s">
        <v>1074</v>
      </c>
      <c r="B91" t="s">
        <v>253</v>
      </c>
      <c r="C91" t="s">
        <v>990</v>
      </c>
      <c r="D91" t="s">
        <v>991</v>
      </c>
      <c r="E91" s="1">
        <v>45678.325694444444</v>
      </c>
      <c r="F91" s="1">
        <v>45699.325694444444</v>
      </c>
      <c r="G91" t="s">
        <v>1248</v>
      </c>
      <c r="H91" t="s">
        <v>978</v>
      </c>
      <c r="I91" t="s">
        <v>962</v>
      </c>
      <c r="J91" s="14">
        <v>74.8</v>
      </c>
      <c r="K91" t="s">
        <v>3273</v>
      </c>
    </row>
    <row r="92" spans="1:11" x14ac:dyDescent="0.25">
      <c r="A92" t="s">
        <v>1075</v>
      </c>
      <c r="B92" t="s">
        <v>376</v>
      </c>
      <c r="C92" t="s">
        <v>976</v>
      </c>
      <c r="D92" t="s">
        <v>977</v>
      </c>
      <c r="E92" s="1">
        <v>45728.963194444441</v>
      </c>
      <c r="F92" s="1">
        <v>45747.963194444441</v>
      </c>
      <c r="G92" t="s">
        <v>1258</v>
      </c>
      <c r="H92" t="s">
        <v>978</v>
      </c>
      <c r="I92" t="s">
        <v>970</v>
      </c>
      <c r="J92" s="14">
        <v>94.08</v>
      </c>
      <c r="K92" t="s">
        <v>3270</v>
      </c>
    </row>
    <row r="93" spans="1:11" x14ac:dyDescent="0.25">
      <c r="A93" t="s">
        <v>1076</v>
      </c>
      <c r="B93" t="s">
        <v>109</v>
      </c>
      <c r="C93" t="s">
        <v>976</v>
      </c>
      <c r="D93" t="s">
        <v>977</v>
      </c>
      <c r="E93" s="1">
        <v>45677.952777777777</v>
      </c>
      <c r="F93" s="1">
        <v>45698.952777777777</v>
      </c>
      <c r="G93" t="s">
        <v>1258</v>
      </c>
      <c r="H93" t="s">
        <v>978</v>
      </c>
      <c r="I93" t="s">
        <v>962</v>
      </c>
      <c r="J93" s="14">
        <v>78.540000000000006</v>
      </c>
      <c r="K93" t="s">
        <v>3273</v>
      </c>
    </row>
    <row r="94" spans="1:11" x14ac:dyDescent="0.25">
      <c r="A94" t="s">
        <v>1077</v>
      </c>
      <c r="B94" t="s">
        <v>10</v>
      </c>
      <c r="C94" t="s">
        <v>964</v>
      </c>
      <c r="D94" t="s">
        <v>965</v>
      </c>
      <c r="E94" s="1">
        <v>45727.822916666664</v>
      </c>
      <c r="F94" s="1">
        <v>45742.822916666664</v>
      </c>
      <c r="G94" t="s">
        <v>3269</v>
      </c>
      <c r="H94" t="s">
        <v>978</v>
      </c>
      <c r="I94" t="s">
        <v>970</v>
      </c>
      <c r="J94" s="14">
        <v>144.1</v>
      </c>
      <c r="K94" t="s">
        <v>3270</v>
      </c>
    </row>
    <row r="95" spans="1:11" x14ac:dyDescent="0.25">
      <c r="A95" t="s">
        <v>1078</v>
      </c>
      <c r="B95" t="s">
        <v>274</v>
      </c>
      <c r="C95" t="s">
        <v>968</v>
      </c>
      <c r="D95" t="s">
        <v>969</v>
      </c>
      <c r="E95" s="1">
        <v>45662.570138888892</v>
      </c>
      <c r="F95" s="1">
        <v>45684.570138888892</v>
      </c>
      <c r="G95" t="s">
        <v>1248</v>
      </c>
      <c r="H95" t="s">
        <v>974</v>
      </c>
      <c r="I95" t="s">
        <v>962</v>
      </c>
      <c r="J95" s="14">
        <v>218.63</v>
      </c>
      <c r="K95" t="s">
        <v>3270</v>
      </c>
    </row>
    <row r="96" spans="1:11" x14ac:dyDescent="0.25">
      <c r="A96" t="s">
        <v>1079</v>
      </c>
      <c r="B96" t="s">
        <v>146</v>
      </c>
      <c r="C96" t="s">
        <v>964</v>
      </c>
      <c r="D96" t="s">
        <v>965</v>
      </c>
      <c r="E96" s="1">
        <v>45722.723611111112</v>
      </c>
      <c r="F96" s="1">
        <v>45734.723611111112</v>
      </c>
      <c r="G96" t="s">
        <v>3271</v>
      </c>
      <c r="H96" t="s">
        <v>974</v>
      </c>
      <c r="I96" t="s">
        <v>970</v>
      </c>
      <c r="J96" s="14">
        <v>94.7</v>
      </c>
      <c r="K96" t="s">
        <v>3270</v>
      </c>
    </row>
    <row r="97" spans="1:11" x14ac:dyDescent="0.25">
      <c r="A97" t="s">
        <v>1080</v>
      </c>
      <c r="B97" t="s">
        <v>205</v>
      </c>
      <c r="C97" t="s">
        <v>964</v>
      </c>
      <c r="D97" t="s">
        <v>965</v>
      </c>
      <c r="E97" s="1">
        <v>45682.35</v>
      </c>
      <c r="F97" s="1">
        <v>45691.35</v>
      </c>
      <c r="G97" t="s">
        <v>3272</v>
      </c>
      <c r="H97" t="s">
        <v>966</v>
      </c>
      <c r="I97" t="s">
        <v>970</v>
      </c>
      <c r="J97" s="14">
        <v>243.39</v>
      </c>
      <c r="K97" t="s">
        <v>3273</v>
      </c>
    </row>
    <row r="98" spans="1:11" x14ac:dyDescent="0.25">
      <c r="A98" t="s">
        <v>1081</v>
      </c>
      <c r="B98" t="s">
        <v>223</v>
      </c>
      <c r="C98" t="s">
        <v>968</v>
      </c>
      <c r="D98" t="s">
        <v>969</v>
      </c>
      <c r="E98" s="1">
        <v>45710.276388888888</v>
      </c>
      <c r="F98" s="1">
        <v>45721.276388888888</v>
      </c>
      <c r="G98" t="s">
        <v>1248</v>
      </c>
      <c r="H98" t="s">
        <v>961</v>
      </c>
      <c r="I98" t="s">
        <v>970</v>
      </c>
      <c r="J98" s="14">
        <v>238.35</v>
      </c>
      <c r="K98" t="s">
        <v>3273</v>
      </c>
    </row>
    <row r="99" spans="1:11" x14ac:dyDescent="0.25">
      <c r="A99" t="s">
        <v>1082</v>
      </c>
      <c r="B99" t="s">
        <v>306</v>
      </c>
      <c r="C99" t="s">
        <v>980</v>
      </c>
      <c r="D99" t="s">
        <v>981</v>
      </c>
      <c r="E99" s="1">
        <v>45670.151388888888</v>
      </c>
      <c r="F99" s="1">
        <v>45673.151388888888</v>
      </c>
      <c r="G99" t="s">
        <v>3269</v>
      </c>
      <c r="H99" t="s">
        <v>982</v>
      </c>
      <c r="I99" t="s">
        <v>970</v>
      </c>
      <c r="J99" s="14">
        <v>197.5</v>
      </c>
      <c r="K99" t="s">
        <v>3270</v>
      </c>
    </row>
    <row r="100" spans="1:11" x14ac:dyDescent="0.25">
      <c r="A100" t="s">
        <v>1083</v>
      </c>
      <c r="B100" t="s">
        <v>90</v>
      </c>
      <c r="C100" t="s">
        <v>999</v>
      </c>
      <c r="D100" t="s">
        <v>1000</v>
      </c>
      <c r="E100" s="1">
        <v>45695.816666666666</v>
      </c>
      <c r="F100" s="1">
        <v>45710.816666666666</v>
      </c>
      <c r="G100" t="s">
        <v>1248</v>
      </c>
      <c r="H100" t="s">
        <v>974</v>
      </c>
      <c r="I100" t="s">
        <v>962</v>
      </c>
      <c r="J100" s="14">
        <v>276.73</v>
      </c>
      <c r="K100" t="s">
        <v>3270</v>
      </c>
    </row>
    <row r="101" spans="1:11" x14ac:dyDescent="0.25">
      <c r="A101" t="s">
        <v>1084</v>
      </c>
      <c r="B101" t="s">
        <v>173</v>
      </c>
      <c r="C101" t="s">
        <v>999</v>
      </c>
      <c r="D101" t="s">
        <v>1000</v>
      </c>
      <c r="E101" s="1">
        <v>45710.520138888889</v>
      </c>
      <c r="F101" s="1">
        <v>45716.520138888889</v>
      </c>
      <c r="G101" t="s">
        <v>3269</v>
      </c>
      <c r="H101" t="s">
        <v>966</v>
      </c>
      <c r="I101" t="s">
        <v>962</v>
      </c>
      <c r="J101" s="14">
        <v>268.61</v>
      </c>
      <c r="K101" t="s">
        <v>3270</v>
      </c>
    </row>
    <row r="102" spans="1:11" x14ac:dyDescent="0.25">
      <c r="A102" t="s">
        <v>1085</v>
      </c>
      <c r="B102" t="s">
        <v>80</v>
      </c>
      <c r="C102" t="s">
        <v>980</v>
      </c>
      <c r="D102" t="s">
        <v>981</v>
      </c>
      <c r="E102" s="1">
        <v>45694.631249999999</v>
      </c>
      <c r="F102" s="1">
        <v>45697.631249999999</v>
      </c>
      <c r="G102" t="s">
        <v>3271</v>
      </c>
      <c r="H102" t="s">
        <v>978</v>
      </c>
      <c r="I102" t="s">
        <v>962</v>
      </c>
      <c r="J102" s="14">
        <v>163.31</v>
      </c>
      <c r="K102" t="s">
        <v>3270</v>
      </c>
    </row>
    <row r="103" spans="1:11" x14ac:dyDescent="0.25">
      <c r="A103" t="s">
        <v>1086</v>
      </c>
      <c r="B103" t="s">
        <v>376</v>
      </c>
      <c r="C103" t="s">
        <v>968</v>
      </c>
      <c r="D103" t="s">
        <v>969</v>
      </c>
      <c r="E103" s="1">
        <v>45675.05</v>
      </c>
      <c r="F103" s="1">
        <v>45695.05</v>
      </c>
      <c r="G103" t="s">
        <v>1248</v>
      </c>
      <c r="H103" t="s">
        <v>974</v>
      </c>
      <c r="I103" t="s">
        <v>962</v>
      </c>
      <c r="J103" s="14">
        <v>88.8</v>
      </c>
      <c r="K103" t="s">
        <v>3270</v>
      </c>
    </row>
    <row r="104" spans="1:11" x14ac:dyDescent="0.25">
      <c r="A104" t="s">
        <v>1087</v>
      </c>
      <c r="B104" t="s">
        <v>247</v>
      </c>
      <c r="C104" t="s">
        <v>996</v>
      </c>
      <c r="D104" t="s">
        <v>997</v>
      </c>
      <c r="E104" s="1">
        <v>45689.352083333331</v>
      </c>
      <c r="F104" s="1">
        <v>45707.352083333331</v>
      </c>
      <c r="G104" t="s">
        <v>3269</v>
      </c>
      <c r="H104" t="s">
        <v>974</v>
      </c>
      <c r="I104" t="s">
        <v>962</v>
      </c>
      <c r="J104" s="14">
        <v>235.81</v>
      </c>
      <c r="K104" t="s">
        <v>3273</v>
      </c>
    </row>
    <row r="105" spans="1:11" x14ac:dyDescent="0.25">
      <c r="A105" t="s">
        <v>1088</v>
      </c>
      <c r="B105" t="s">
        <v>238</v>
      </c>
      <c r="C105" t="s">
        <v>996</v>
      </c>
      <c r="D105" t="s">
        <v>997</v>
      </c>
      <c r="E105" s="1">
        <v>45680.913194444445</v>
      </c>
      <c r="F105" s="1">
        <v>45685.913194444445</v>
      </c>
      <c r="G105" t="s">
        <v>3272</v>
      </c>
      <c r="H105" t="s">
        <v>966</v>
      </c>
      <c r="I105" t="s">
        <v>962</v>
      </c>
      <c r="J105" s="14">
        <v>36.96</v>
      </c>
      <c r="K105" t="s">
        <v>3270</v>
      </c>
    </row>
    <row r="106" spans="1:11" x14ac:dyDescent="0.25">
      <c r="A106" t="s">
        <v>1089</v>
      </c>
      <c r="B106" t="s">
        <v>87</v>
      </c>
      <c r="C106" t="s">
        <v>959</v>
      </c>
      <c r="D106" t="s">
        <v>960</v>
      </c>
      <c r="E106" s="1">
        <v>45659.636111111111</v>
      </c>
      <c r="F106" s="1">
        <v>45678.636111111111</v>
      </c>
      <c r="G106" t="s">
        <v>3269</v>
      </c>
      <c r="H106" t="s">
        <v>974</v>
      </c>
      <c r="I106" t="s">
        <v>970</v>
      </c>
      <c r="J106" s="14">
        <v>35.22</v>
      </c>
      <c r="K106" t="s">
        <v>3270</v>
      </c>
    </row>
    <row r="107" spans="1:11" x14ac:dyDescent="0.25">
      <c r="A107" t="s">
        <v>1090</v>
      </c>
      <c r="B107" t="s">
        <v>208</v>
      </c>
      <c r="C107" t="s">
        <v>999</v>
      </c>
      <c r="D107" t="s">
        <v>1000</v>
      </c>
      <c r="E107" s="1">
        <v>45703.444444444445</v>
      </c>
      <c r="F107" s="1">
        <v>45708.444444444445</v>
      </c>
      <c r="G107" t="s">
        <v>1248</v>
      </c>
      <c r="H107" t="s">
        <v>978</v>
      </c>
      <c r="I107" t="s">
        <v>962</v>
      </c>
      <c r="J107" s="14">
        <v>151.13999999999999</v>
      </c>
      <c r="K107" t="s">
        <v>3273</v>
      </c>
    </row>
    <row r="108" spans="1:11" x14ac:dyDescent="0.25">
      <c r="A108" t="s">
        <v>1091</v>
      </c>
      <c r="B108" t="s">
        <v>199</v>
      </c>
      <c r="C108" t="s">
        <v>996</v>
      </c>
      <c r="D108" t="s">
        <v>997</v>
      </c>
      <c r="E108" s="1">
        <v>45712.67083333333</v>
      </c>
      <c r="F108" s="1">
        <v>45719.67083333333</v>
      </c>
      <c r="G108" t="s">
        <v>3271</v>
      </c>
      <c r="H108" t="s">
        <v>966</v>
      </c>
      <c r="I108" t="s">
        <v>962</v>
      </c>
      <c r="J108" s="14">
        <v>250.77</v>
      </c>
      <c r="K108" t="s">
        <v>3270</v>
      </c>
    </row>
    <row r="109" spans="1:11" x14ac:dyDescent="0.25">
      <c r="A109" t="s">
        <v>1092</v>
      </c>
      <c r="B109" t="s">
        <v>190</v>
      </c>
      <c r="C109" t="s">
        <v>976</v>
      </c>
      <c r="D109" t="s">
        <v>977</v>
      </c>
      <c r="E109" s="1">
        <v>45701.683333333334</v>
      </c>
      <c r="F109" s="1">
        <v>45722.683333333334</v>
      </c>
      <c r="G109" t="s">
        <v>3272</v>
      </c>
      <c r="H109" t="s">
        <v>974</v>
      </c>
      <c r="I109" t="s">
        <v>970</v>
      </c>
      <c r="J109" s="14">
        <v>74.680000000000007</v>
      </c>
      <c r="K109" t="s">
        <v>3270</v>
      </c>
    </row>
    <row r="110" spans="1:11" x14ac:dyDescent="0.25">
      <c r="A110" t="s">
        <v>1093</v>
      </c>
      <c r="B110" t="s">
        <v>170</v>
      </c>
      <c r="C110" t="s">
        <v>959</v>
      </c>
      <c r="D110" t="s">
        <v>960</v>
      </c>
      <c r="E110" s="1">
        <v>45702.728472222225</v>
      </c>
      <c r="F110" s="1">
        <v>45706.728472222225</v>
      </c>
      <c r="G110" t="s">
        <v>1258</v>
      </c>
      <c r="H110" t="s">
        <v>961</v>
      </c>
      <c r="I110" t="s">
        <v>962</v>
      </c>
      <c r="J110" s="14">
        <v>152.07</v>
      </c>
      <c r="K110" t="s">
        <v>3273</v>
      </c>
    </row>
    <row r="111" spans="1:11" x14ac:dyDescent="0.25">
      <c r="A111" t="s">
        <v>1094</v>
      </c>
      <c r="B111" t="s">
        <v>253</v>
      </c>
      <c r="C111" t="s">
        <v>980</v>
      </c>
      <c r="D111" t="s">
        <v>981</v>
      </c>
      <c r="E111" s="1">
        <v>45698.095138888886</v>
      </c>
      <c r="F111" s="1">
        <v>45721.095138888886</v>
      </c>
      <c r="G111" t="s">
        <v>3271</v>
      </c>
      <c r="H111" t="s">
        <v>961</v>
      </c>
      <c r="I111" t="s">
        <v>962</v>
      </c>
      <c r="J111" s="14">
        <v>109.8</v>
      </c>
      <c r="K111" t="s">
        <v>3270</v>
      </c>
    </row>
    <row r="112" spans="1:11" x14ac:dyDescent="0.25">
      <c r="A112" t="s">
        <v>1095</v>
      </c>
      <c r="B112" t="s">
        <v>346</v>
      </c>
      <c r="C112" t="s">
        <v>996</v>
      </c>
      <c r="D112" t="s">
        <v>997</v>
      </c>
      <c r="E112" s="1">
        <v>45694.740972222222</v>
      </c>
      <c r="F112" s="1">
        <v>45717.740972222222</v>
      </c>
      <c r="G112" t="s">
        <v>1248</v>
      </c>
      <c r="H112" t="s">
        <v>978</v>
      </c>
      <c r="I112" t="s">
        <v>962</v>
      </c>
      <c r="J112" s="14">
        <v>94.55</v>
      </c>
      <c r="K112" t="s">
        <v>3270</v>
      </c>
    </row>
    <row r="113" spans="1:11" x14ac:dyDescent="0.25">
      <c r="A113" t="s">
        <v>1096</v>
      </c>
      <c r="B113" t="s">
        <v>315</v>
      </c>
      <c r="C113" t="s">
        <v>972</v>
      </c>
      <c r="D113" t="s">
        <v>973</v>
      </c>
      <c r="E113" s="1">
        <v>45695.749305555553</v>
      </c>
      <c r="F113" s="1">
        <v>45703.749305555553</v>
      </c>
      <c r="G113" t="s">
        <v>3272</v>
      </c>
      <c r="H113" t="s">
        <v>974</v>
      </c>
      <c r="I113" t="s">
        <v>970</v>
      </c>
      <c r="J113" s="14">
        <v>287.51</v>
      </c>
      <c r="K113" t="s">
        <v>3270</v>
      </c>
    </row>
    <row r="114" spans="1:11" x14ac:dyDescent="0.25">
      <c r="A114" t="s">
        <v>1097</v>
      </c>
      <c r="B114" t="s">
        <v>62</v>
      </c>
      <c r="C114" t="s">
        <v>959</v>
      </c>
      <c r="D114" t="s">
        <v>960</v>
      </c>
      <c r="E114" s="1">
        <v>45699.314583333333</v>
      </c>
      <c r="F114" s="1">
        <v>45715.314583333333</v>
      </c>
      <c r="G114" t="s">
        <v>3271</v>
      </c>
      <c r="H114" t="s">
        <v>966</v>
      </c>
      <c r="I114" t="s">
        <v>962</v>
      </c>
      <c r="J114" s="14">
        <v>96.97</v>
      </c>
      <c r="K114" t="s">
        <v>3273</v>
      </c>
    </row>
    <row r="115" spans="1:11" x14ac:dyDescent="0.25">
      <c r="A115" t="s">
        <v>1098</v>
      </c>
      <c r="B115" t="s">
        <v>297</v>
      </c>
      <c r="C115" t="s">
        <v>999</v>
      </c>
      <c r="D115" t="s">
        <v>1000</v>
      </c>
      <c r="E115" s="1">
        <v>45674.961805555555</v>
      </c>
      <c r="F115" s="1">
        <v>45684.961805555555</v>
      </c>
      <c r="G115" t="s">
        <v>1258</v>
      </c>
      <c r="H115" t="s">
        <v>982</v>
      </c>
      <c r="I115" t="s">
        <v>962</v>
      </c>
      <c r="J115" s="14">
        <v>71.23</v>
      </c>
      <c r="K115" t="s">
        <v>3270</v>
      </c>
    </row>
    <row r="116" spans="1:11" x14ac:dyDescent="0.25">
      <c r="A116" t="s">
        <v>1099</v>
      </c>
      <c r="B116" t="s">
        <v>321</v>
      </c>
      <c r="C116" t="s">
        <v>976</v>
      </c>
      <c r="D116" t="s">
        <v>977</v>
      </c>
      <c r="E116" s="1">
        <v>45712.268055555556</v>
      </c>
      <c r="F116" s="1">
        <v>45731.268055555556</v>
      </c>
      <c r="G116" t="s">
        <v>3271</v>
      </c>
      <c r="H116" t="s">
        <v>974</v>
      </c>
      <c r="I116" t="s">
        <v>970</v>
      </c>
      <c r="J116" s="14">
        <v>87.31</v>
      </c>
      <c r="K116" t="s">
        <v>3270</v>
      </c>
    </row>
    <row r="117" spans="1:11" x14ac:dyDescent="0.25">
      <c r="A117" t="s">
        <v>1100</v>
      </c>
      <c r="B117" t="s">
        <v>294</v>
      </c>
      <c r="C117" t="s">
        <v>990</v>
      </c>
      <c r="D117" t="s">
        <v>991</v>
      </c>
      <c r="E117" s="1">
        <v>45696.262499999997</v>
      </c>
      <c r="F117" s="1">
        <v>45699.262499999997</v>
      </c>
      <c r="G117" t="s">
        <v>3271</v>
      </c>
      <c r="H117" t="s">
        <v>966</v>
      </c>
      <c r="I117" t="s">
        <v>962</v>
      </c>
      <c r="J117" s="14">
        <v>242.26</v>
      </c>
      <c r="K117" t="s">
        <v>3270</v>
      </c>
    </row>
    <row r="118" spans="1:11" x14ac:dyDescent="0.25">
      <c r="A118" t="s">
        <v>1101</v>
      </c>
      <c r="B118" t="s">
        <v>56</v>
      </c>
      <c r="C118" t="s">
        <v>964</v>
      </c>
      <c r="D118" t="s">
        <v>965</v>
      </c>
      <c r="E118" s="1">
        <v>45677.769444444442</v>
      </c>
      <c r="F118" s="1">
        <v>45695.769444444442</v>
      </c>
      <c r="G118" t="s">
        <v>3269</v>
      </c>
      <c r="H118" t="s">
        <v>982</v>
      </c>
      <c r="I118" t="s">
        <v>962</v>
      </c>
      <c r="J118" s="14">
        <v>232.37</v>
      </c>
      <c r="K118" t="s">
        <v>3270</v>
      </c>
    </row>
    <row r="119" spans="1:11" x14ac:dyDescent="0.25">
      <c r="A119" t="s">
        <v>1102</v>
      </c>
      <c r="B119" t="s">
        <v>167</v>
      </c>
      <c r="C119" t="s">
        <v>987</v>
      </c>
      <c r="D119" t="s">
        <v>988</v>
      </c>
      <c r="E119" s="1">
        <v>45719.262499999997</v>
      </c>
      <c r="F119" s="1">
        <v>45736.262499999997</v>
      </c>
      <c r="G119" t="s">
        <v>1258</v>
      </c>
      <c r="H119" t="s">
        <v>978</v>
      </c>
      <c r="I119" t="s">
        <v>970</v>
      </c>
      <c r="J119" s="14">
        <v>289.22000000000003</v>
      </c>
      <c r="K119" t="s">
        <v>3270</v>
      </c>
    </row>
    <row r="120" spans="1:11" x14ac:dyDescent="0.25">
      <c r="A120" t="s">
        <v>1103</v>
      </c>
      <c r="B120" t="s">
        <v>373</v>
      </c>
      <c r="C120" t="s">
        <v>990</v>
      </c>
      <c r="D120" t="s">
        <v>991</v>
      </c>
      <c r="E120" s="1">
        <v>45660.674305555556</v>
      </c>
      <c r="F120" s="1">
        <v>45668.674305555556</v>
      </c>
      <c r="G120" t="s">
        <v>3272</v>
      </c>
      <c r="H120" t="s">
        <v>974</v>
      </c>
      <c r="I120" t="s">
        <v>962</v>
      </c>
      <c r="J120" s="14">
        <v>64.7</v>
      </c>
      <c r="K120" t="s">
        <v>3270</v>
      </c>
    </row>
    <row r="121" spans="1:11" x14ac:dyDescent="0.25">
      <c r="A121" t="s">
        <v>1104</v>
      </c>
      <c r="B121" t="s">
        <v>268</v>
      </c>
      <c r="C121" t="s">
        <v>987</v>
      </c>
      <c r="D121" t="s">
        <v>988</v>
      </c>
      <c r="E121" s="1">
        <v>45698.481249999997</v>
      </c>
      <c r="F121" s="1">
        <v>45710.481249999997</v>
      </c>
      <c r="G121" t="s">
        <v>3272</v>
      </c>
      <c r="H121" t="s">
        <v>978</v>
      </c>
      <c r="I121" t="s">
        <v>970</v>
      </c>
      <c r="J121" s="14">
        <v>104.01</v>
      </c>
      <c r="K121" t="s">
        <v>3270</v>
      </c>
    </row>
    <row r="122" spans="1:11" x14ac:dyDescent="0.25">
      <c r="A122" t="s">
        <v>1105</v>
      </c>
      <c r="B122" t="s">
        <v>173</v>
      </c>
      <c r="C122" t="s">
        <v>959</v>
      </c>
      <c r="D122" t="s">
        <v>960</v>
      </c>
      <c r="E122" s="1">
        <v>45712.007638888892</v>
      </c>
      <c r="F122" s="1">
        <v>45715.007638888892</v>
      </c>
      <c r="G122" t="s">
        <v>1258</v>
      </c>
      <c r="H122" t="s">
        <v>982</v>
      </c>
      <c r="I122" t="s">
        <v>970</v>
      </c>
      <c r="J122" s="14">
        <v>268.23</v>
      </c>
      <c r="K122" t="s">
        <v>3273</v>
      </c>
    </row>
    <row r="123" spans="1:11" x14ac:dyDescent="0.25">
      <c r="A123" t="s">
        <v>1106</v>
      </c>
      <c r="B123" t="s">
        <v>349</v>
      </c>
      <c r="C123" t="s">
        <v>980</v>
      </c>
      <c r="D123" t="s">
        <v>981</v>
      </c>
      <c r="E123" s="1">
        <v>45682.615972222222</v>
      </c>
      <c r="F123" s="1">
        <v>45701.615972222222</v>
      </c>
      <c r="G123" t="s">
        <v>1258</v>
      </c>
      <c r="H123" t="s">
        <v>966</v>
      </c>
      <c r="I123" t="s">
        <v>962</v>
      </c>
      <c r="J123" s="14">
        <v>173.34</v>
      </c>
      <c r="K123" t="s">
        <v>3270</v>
      </c>
    </row>
    <row r="124" spans="1:11" x14ac:dyDescent="0.25">
      <c r="A124" t="s">
        <v>1107</v>
      </c>
      <c r="B124" t="s">
        <v>62</v>
      </c>
      <c r="C124" t="s">
        <v>987</v>
      </c>
      <c r="D124" t="s">
        <v>988</v>
      </c>
      <c r="E124" s="1">
        <v>45683.546527777777</v>
      </c>
      <c r="F124" s="1">
        <v>45698.546527777777</v>
      </c>
      <c r="G124" t="s">
        <v>1258</v>
      </c>
      <c r="H124" t="s">
        <v>974</v>
      </c>
      <c r="I124" t="s">
        <v>962</v>
      </c>
      <c r="J124" s="14">
        <v>103.34</v>
      </c>
      <c r="K124" t="s">
        <v>3270</v>
      </c>
    </row>
    <row r="125" spans="1:11" x14ac:dyDescent="0.25">
      <c r="A125" t="s">
        <v>1108</v>
      </c>
      <c r="B125" t="s">
        <v>282</v>
      </c>
      <c r="C125" t="s">
        <v>996</v>
      </c>
      <c r="D125" t="s">
        <v>997</v>
      </c>
      <c r="E125" s="1">
        <v>45694.131944444445</v>
      </c>
      <c r="F125" s="1">
        <v>45702.131944444445</v>
      </c>
      <c r="G125" t="s">
        <v>3271</v>
      </c>
      <c r="H125" t="s">
        <v>966</v>
      </c>
      <c r="I125" t="s">
        <v>962</v>
      </c>
      <c r="J125" s="14">
        <v>191.27</v>
      </c>
      <c r="K125" t="s">
        <v>3273</v>
      </c>
    </row>
    <row r="126" spans="1:11" x14ac:dyDescent="0.25">
      <c r="A126" t="s">
        <v>1109</v>
      </c>
      <c r="B126" t="s">
        <v>294</v>
      </c>
      <c r="C126" t="s">
        <v>999</v>
      </c>
      <c r="D126" t="s">
        <v>1000</v>
      </c>
      <c r="E126" s="1">
        <v>45665.261805555558</v>
      </c>
      <c r="F126" s="1">
        <v>45669.261805555558</v>
      </c>
      <c r="G126" t="s">
        <v>1258</v>
      </c>
      <c r="H126" t="s">
        <v>961</v>
      </c>
      <c r="I126" t="s">
        <v>962</v>
      </c>
      <c r="J126" s="14">
        <v>143.78</v>
      </c>
      <c r="K126" t="s">
        <v>3273</v>
      </c>
    </row>
    <row r="127" spans="1:11" x14ac:dyDescent="0.25">
      <c r="A127" t="s">
        <v>1110</v>
      </c>
      <c r="B127" t="s">
        <v>184</v>
      </c>
      <c r="C127" t="s">
        <v>999</v>
      </c>
      <c r="D127" t="s">
        <v>1000</v>
      </c>
      <c r="E127" s="1">
        <v>45683.410416666666</v>
      </c>
      <c r="F127" s="1">
        <v>45705.410416666666</v>
      </c>
      <c r="G127" t="s">
        <v>3269</v>
      </c>
      <c r="H127" t="s">
        <v>982</v>
      </c>
      <c r="I127" t="s">
        <v>962</v>
      </c>
      <c r="J127" s="14">
        <v>48.97</v>
      </c>
      <c r="K127" t="s">
        <v>3273</v>
      </c>
    </row>
    <row r="128" spans="1:11" x14ac:dyDescent="0.25">
      <c r="A128" t="s">
        <v>1111</v>
      </c>
      <c r="B128" t="s">
        <v>45</v>
      </c>
      <c r="C128" t="s">
        <v>976</v>
      </c>
      <c r="D128" t="s">
        <v>977</v>
      </c>
      <c r="E128" s="1">
        <v>45710.405555555553</v>
      </c>
      <c r="F128" s="1">
        <v>45720.405555555553</v>
      </c>
      <c r="G128" t="s">
        <v>3269</v>
      </c>
      <c r="H128" t="s">
        <v>978</v>
      </c>
      <c r="I128" t="s">
        <v>962</v>
      </c>
      <c r="J128" s="14">
        <v>89.45</v>
      </c>
      <c r="K128" t="s">
        <v>3273</v>
      </c>
    </row>
    <row r="129" spans="1:11" x14ac:dyDescent="0.25">
      <c r="A129" t="s">
        <v>1112</v>
      </c>
      <c r="B129" t="s">
        <v>62</v>
      </c>
      <c r="C129" t="s">
        <v>996</v>
      </c>
      <c r="D129" t="s">
        <v>997</v>
      </c>
      <c r="E129" s="1">
        <v>45672.202777777777</v>
      </c>
      <c r="F129" s="1">
        <v>45690.202777777777</v>
      </c>
      <c r="G129" t="s">
        <v>3269</v>
      </c>
      <c r="H129" t="s">
        <v>961</v>
      </c>
      <c r="I129" t="s">
        <v>962</v>
      </c>
      <c r="J129" s="14">
        <v>184.49</v>
      </c>
      <c r="K129" t="s">
        <v>3270</v>
      </c>
    </row>
    <row r="130" spans="1:11" x14ac:dyDescent="0.25">
      <c r="A130" t="s">
        <v>1113</v>
      </c>
      <c r="B130" t="s">
        <v>232</v>
      </c>
      <c r="C130" t="s">
        <v>996</v>
      </c>
      <c r="D130" t="s">
        <v>997</v>
      </c>
      <c r="E130" s="1">
        <v>45665.725694444445</v>
      </c>
      <c r="F130" s="1">
        <v>45678.725694444445</v>
      </c>
      <c r="G130" t="s">
        <v>3272</v>
      </c>
      <c r="H130" t="s">
        <v>974</v>
      </c>
      <c r="I130" t="s">
        <v>970</v>
      </c>
      <c r="J130" s="14">
        <v>142.19999999999999</v>
      </c>
      <c r="K130" t="s">
        <v>3270</v>
      </c>
    </row>
    <row r="131" spans="1:11" x14ac:dyDescent="0.25">
      <c r="A131" t="s">
        <v>1114</v>
      </c>
      <c r="B131" t="s">
        <v>333</v>
      </c>
      <c r="C131" t="s">
        <v>990</v>
      </c>
      <c r="D131" t="s">
        <v>991</v>
      </c>
      <c r="E131" s="1">
        <v>45689.802083333336</v>
      </c>
      <c r="F131" s="1">
        <v>45708.802083333336</v>
      </c>
      <c r="G131" t="s">
        <v>1258</v>
      </c>
      <c r="H131" t="s">
        <v>966</v>
      </c>
      <c r="I131" t="s">
        <v>962</v>
      </c>
      <c r="J131" s="14">
        <v>173.83</v>
      </c>
      <c r="K131" t="s">
        <v>3273</v>
      </c>
    </row>
    <row r="132" spans="1:11" x14ac:dyDescent="0.25">
      <c r="A132" t="s">
        <v>1115</v>
      </c>
      <c r="B132" t="s">
        <v>253</v>
      </c>
      <c r="C132" t="s">
        <v>999</v>
      </c>
      <c r="D132" t="s">
        <v>1000</v>
      </c>
      <c r="E132" s="1">
        <v>45685.934027777781</v>
      </c>
      <c r="F132" s="1">
        <v>45707.934027777781</v>
      </c>
      <c r="G132" t="s">
        <v>3272</v>
      </c>
      <c r="H132" t="s">
        <v>961</v>
      </c>
      <c r="I132" t="s">
        <v>962</v>
      </c>
      <c r="J132" s="14">
        <v>132.91</v>
      </c>
      <c r="K132" t="s">
        <v>3270</v>
      </c>
    </row>
    <row r="133" spans="1:11" x14ac:dyDescent="0.25">
      <c r="A133" t="s">
        <v>1116</v>
      </c>
      <c r="B133" t="s">
        <v>167</v>
      </c>
      <c r="C133" t="s">
        <v>987</v>
      </c>
      <c r="D133" t="s">
        <v>988</v>
      </c>
      <c r="E133" s="1">
        <v>45686.640972222223</v>
      </c>
      <c r="F133" s="1">
        <v>45702.640972222223</v>
      </c>
      <c r="G133" t="s">
        <v>3272</v>
      </c>
      <c r="H133" t="s">
        <v>966</v>
      </c>
      <c r="I133" t="s">
        <v>962</v>
      </c>
      <c r="J133" s="14">
        <v>85.51</v>
      </c>
      <c r="K133" t="s">
        <v>3270</v>
      </c>
    </row>
    <row r="134" spans="1:11" x14ac:dyDescent="0.25">
      <c r="A134" t="s">
        <v>1117</v>
      </c>
      <c r="B134" t="s">
        <v>312</v>
      </c>
      <c r="C134" t="s">
        <v>990</v>
      </c>
      <c r="D134" t="s">
        <v>991</v>
      </c>
      <c r="E134" s="1">
        <v>45696.731249999997</v>
      </c>
      <c r="F134" s="1">
        <v>45702.731249999997</v>
      </c>
      <c r="G134" t="s">
        <v>3272</v>
      </c>
      <c r="H134" t="s">
        <v>978</v>
      </c>
      <c r="I134" t="s">
        <v>962</v>
      </c>
      <c r="J134" s="14">
        <v>248.74</v>
      </c>
      <c r="K134" t="s">
        <v>3270</v>
      </c>
    </row>
    <row r="135" spans="1:11" x14ac:dyDescent="0.25">
      <c r="A135" t="s">
        <v>1118</v>
      </c>
      <c r="B135" t="s">
        <v>164</v>
      </c>
      <c r="C135" t="s">
        <v>959</v>
      </c>
      <c r="D135" t="s">
        <v>960</v>
      </c>
      <c r="E135" s="1">
        <v>45666.330555555556</v>
      </c>
      <c r="F135" s="1">
        <v>45683.330555555556</v>
      </c>
      <c r="G135" t="s">
        <v>1248</v>
      </c>
      <c r="H135" t="s">
        <v>982</v>
      </c>
      <c r="I135" t="s">
        <v>962</v>
      </c>
      <c r="J135" s="14">
        <v>94.65</v>
      </c>
      <c r="K135" t="s">
        <v>3270</v>
      </c>
    </row>
    <row r="136" spans="1:11" x14ac:dyDescent="0.25">
      <c r="A136" t="s">
        <v>1119</v>
      </c>
      <c r="B136" t="s">
        <v>62</v>
      </c>
      <c r="C136" t="s">
        <v>990</v>
      </c>
      <c r="D136" t="s">
        <v>991</v>
      </c>
      <c r="E136" s="1">
        <v>45661.32916666667</v>
      </c>
      <c r="F136" s="1">
        <v>45680.32916666667</v>
      </c>
      <c r="G136" t="s">
        <v>3271</v>
      </c>
      <c r="H136" t="s">
        <v>961</v>
      </c>
      <c r="I136" t="s">
        <v>970</v>
      </c>
      <c r="J136" s="14">
        <v>115.48</v>
      </c>
      <c r="K136" t="s">
        <v>3273</v>
      </c>
    </row>
    <row r="137" spans="1:11" x14ac:dyDescent="0.25">
      <c r="A137" t="s">
        <v>1120</v>
      </c>
      <c r="B137" t="s">
        <v>102</v>
      </c>
      <c r="C137" t="s">
        <v>980</v>
      </c>
      <c r="D137" t="s">
        <v>981</v>
      </c>
      <c r="E137" s="1">
        <v>45711.973611111112</v>
      </c>
      <c r="F137" s="1">
        <v>45729.973611111112</v>
      </c>
      <c r="G137" t="s">
        <v>1258</v>
      </c>
      <c r="H137" t="s">
        <v>961</v>
      </c>
      <c r="I137" t="s">
        <v>970</v>
      </c>
      <c r="J137" s="14">
        <v>280.93</v>
      </c>
      <c r="K137" t="s">
        <v>3270</v>
      </c>
    </row>
    <row r="138" spans="1:11" x14ac:dyDescent="0.25">
      <c r="A138" t="s">
        <v>1121</v>
      </c>
      <c r="B138" t="s">
        <v>131</v>
      </c>
      <c r="C138" t="s">
        <v>980</v>
      </c>
      <c r="D138" t="s">
        <v>981</v>
      </c>
      <c r="E138" s="1">
        <v>45680.184027777781</v>
      </c>
      <c r="F138" s="1">
        <v>45688.184027777781</v>
      </c>
      <c r="G138" t="s">
        <v>3269</v>
      </c>
      <c r="H138" t="s">
        <v>974</v>
      </c>
      <c r="I138" t="s">
        <v>970</v>
      </c>
      <c r="J138" s="14">
        <v>220.08</v>
      </c>
      <c r="K138" t="s">
        <v>3273</v>
      </c>
    </row>
    <row r="139" spans="1:11" x14ac:dyDescent="0.25">
      <c r="A139" t="s">
        <v>1122</v>
      </c>
      <c r="B139" t="s">
        <v>300</v>
      </c>
      <c r="C139" t="s">
        <v>959</v>
      </c>
      <c r="D139" t="s">
        <v>960</v>
      </c>
      <c r="E139" s="1">
        <v>45701.279861111114</v>
      </c>
      <c r="F139" s="1">
        <v>45707.279861111114</v>
      </c>
      <c r="G139" t="s">
        <v>3271</v>
      </c>
      <c r="H139" t="s">
        <v>966</v>
      </c>
      <c r="I139" t="s">
        <v>962</v>
      </c>
      <c r="J139" s="14">
        <v>101.03</v>
      </c>
      <c r="K139" t="s">
        <v>3270</v>
      </c>
    </row>
    <row r="140" spans="1:11" x14ac:dyDescent="0.25">
      <c r="A140" t="s">
        <v>1123</v>
      </c>
      <c r="B140" t="s">
        <v>330</v>
      </c>
      <c r="C140" t="s">
        <v>996</v>
      </c>
      <c r="D140" t="s">
        <v>997</v>
      </c>
      <c r="E140" s="1">
        <v>45710.98541666667</v>
      </c>
      <c r="F140" s="1">
        <v>45718.98541666667</v>
      </c>
      <c r="G140" t="s">
        <v>1258</v>
      </c>
      <c r="H140" t="s">
        <v>978</v>
      </c>
      <c r="I140" t="s">
        <v>962</v>
      </c>
      <c r="J140" s="14">
        <v>41.71</v>
      </c>
      <c r="K140" t="s">
        <v>3273</v>
      </c>
    </row>
    <row r="141" spans="1:11" x14ac:dyDescent="0.25">
      <c r="A141" t="s">
        <v>1124</v>
      </c>
      <c r="B141" t="s">
        <v>318</v>
      </c>
      <c r="C141" t="s">
        <v>980</v>
      </c>
      <c r="D141" t="s">
        <v>981</v>
      </c>
      <c r="E141" s="1">
        <v>45671.298611111109</v>
      </c>
      <c r="F141" s="1">
        <v>45677.298611111109</v>
      </c>
      <c r="G141" t="s">
        <v>3272</v>
      </c>
      <c r="H141" t="s">
        <v>974</v>
      </c>
      <c r="I141" t="s">
        <v>962</v>
      </c>
      <c r="J141" s="14">
        <v>50.78</v>
      </c>
      <c r="K141" t="s">
        <v>3273</v>
      </c>
    </row>
    <row r="142" spans="1:11" x14ac:dyDescent="0.25">
      <c r="A142" t="s">
        <v>1125</v>
      </c>
      <c r="B142" t="s">
        <v>161</v>
      </c>
      <c r="C142" t="s">
        <v>968</v>
      </c>
      <c r="D142" t="s">
        <v>969</v>
      </c>
      <c r="E142" s="1">
        <v>45660.548611111109</v>
      </c>
      <c r="F142" s="1">
        <v>45667.548611111109</v>
      </c>
      <c r="G142" t="s">
        <v>1258</v>
      </c>
      <c r="H142" t="s">
        <v>982</v>
      </c>
      <c r="I142" t="s">
        <v>970</v>
      </c>
      <c r="J142" s="14">
        <v>170.55</v>
      </c>
      <c r="K142" t="s">
        <v>3270</v>
      </c>
    </row>
    <row r="143" spans="1:11" x14ac:dyDescent="0.25">
      <c r="A143" t="s">
        <v>1126</v>
      </c>
      <c r="B143" t="s">
        <v>208</v>
      </c>
      <c r="C143" t="s">
        <v>964</v>
      </c>
      <c r="D143" t="s">
        <v>965</v>
      </c>
      <c r="E143" s="1">
        <v>45720.798611111109</v>
      </c>
      <c r="F143" s="1">
        <v>45726.798611111109</v>
      </c>
      <c r="G143" t="s">
        <v>3272</v>
      </c>
      <c r="H143" t="s">
        <v>974</v>
      </c>
      <c r="I143" t="s">
        <v>962</v>
      </c>
      <c r="J143" s="14">
        <v>175.54</v>
      </c>
      <c r="K143" t="s">
        <v>3270</v>
      </c>
    </row>
    <row r="144" spans="1:11" x14ac:dyDescent="0.25">
      <c r="A144" t="s">
        <v>1127</v>
      </c>
      <c r="B144" t="s">
        <v>93</v>
      </c>
      <c r="C144" t="s">
        <v>964</v>
      </c>
      <c r="D144" t="s">
        <v>965</v>
      </c>
      <c r="E144" s="1">
        <v>45724.068749999999</v>
      </c>
      <c r="F144" s="1">
        <v>45730.068749999999</v>
      </c>
      <c r="G144" t="s">
        <v>3269</v>
      </c>
      <c r="H144" t="s">
        <v>966</v>
      </c>
      <c r="I144" t="s">
        <v>962</v>
      </c>
      <c r="J144" s="14">
        <v>224.76</v>
      </c>
      <c r="K144" t="s">
        <v>3273</v>
      </c>
    </row>
    <row r="145" spans="1:11" x14ac:dyDescent="0.25">
      <c r="A145" t="s">
        <v>1128</v>
      </c>
      <c r="B145" t="s">
        <v>300</v>
      </c>
      <c r="C145" t="s">
        <v>996</v>
      </c>
      <c r="D145" t="s">
        <v>997</v>
      </c>
      <c r="E145" s="1">
        <v>45712.13958333333</v>
      </c>
      <c r="F145" s="1">
        <v>45719.13958333333</v>
      </c>
      <c r="G145" t="s">
        <v>1248</v>
      </c>
      <c r="H145" t="s">
        <v>961</v>
      </c>
      <c r="I145" t="s">
        <v>962</v>
      </c>
      <c r="J145" s="14">
        <v>177</v>
      </c>
      <c r="K145" t="s">
        <v>3270</v>
      </c>
    </row>
    <row r="146" spans="1:11" x14ac:dyDescent="0.25">
      <c r="A146" t="s">
        <v>1129</v>
      </c>
      <c r="B146" t="s">
        <v>184</v>
      </c>
      <c r="C146" t="s">
        <v>996</v>
      </c>
      <c r="D146" t="s">
        <v>997</v>
      </c>
      <c r="E146" s="1">
        <v>45709.874305555553</v>
      </c>
      <c r="F146" s="1">
        <v>45728.874305555553</v>
      </c>
      <c r="G146" t="s">
        <v>3271</v>
      </c>
      <c r="H146" t="s">
        <v>966</v>
      </c>
      <c r="I146" t="s">
        <v>962</v>
      </c>
      <c r="J146" s="14">
        <v>58.26</v>
      </c>
      <c r="K146" t="s">
        <v>3273</v>
      </c>
    </row>
    <row r="147" spans="1:11" x14ac:dyDescent="0.25">
      <c r="A147" t="s">
        <v>1130</v>
      </c>
      <c r="B147" t="s">
        <v>179</v>
      </c>
      <c r="C147" t="s">
        <v>964</v>
      </c>
      <c r="D147" t="s">
        <v>965</v>
      </c>
      <c r="E147" s="1">
        <v>45717.407638888886</v>
      </c>
      <c r="F147" s="1">
        <v>45736.407638888886</v>
      </c>
      <c r="G147" t="s">
        <v>3269</v>
      </c>
      <c r="H147" t="s">
        <v>982</v>
      </c>
      <c r="I147" t="s">
        <v>962</v>
      </c>
      <c r="J147" s="14">
        <v>57.42</v>
      </c>
      <c r="K147" t="s">
        <v>3270</v>
      </c>
    </row>
    <row r="148" spans="1:11" x14ac:dyDescent="0.25">
      <c r="A148" t="s">
        <v>1131</v>
      </c>
      <c r="B148" t="s">
        <v>367</v>
      </c>
      <c r="C148" t="s">
        <v>999</v>
      </c>
      <c r="D148" t="s">
        <v>1000</v>
      </c>
      <c r="E148" s="1">
        <v>45692.276388888888</v>
      </c>
      <c r="F148" s="1">
        <v>45708.276388888888</v>
      </c>
      <c r="G148" t="s">
        <v>1258</v>
      </c>
      <c r="H148" t="s">
        <v>974</v>
      </c>
      <c r="I148" t="s">
        <v>970</v>
      </c>
      <c r="J148" s="14">
        <v>27.25</v>
      </c>
      <c r="K148" t="s">
        <v>3270</v>
      </c>
    </row>
    <row r="149" spans="1:11" x14ac:dyDescent="0.25">
      <c r="A149" t="s">
        <v>1132</v>
      </c>
      <c r="B149" t="s">
        <v>232</v>
      </c>
      <c r="C149" t="s">
        <v>999</v>
      </c>
      <c r="D149" t="s">
        <v>1000</v>
      </c>
      <c r="E149" s="1">
        <v>45700.536805555559</v>
      </c>
      <c r="F149" s="1">
        <v>45713.536805555559</v>
      </c>
      <c r="G149" t="s">
        <v>1248</v>
      </c>
      <c r="H149" t="s">
        <v>978</v>
      </c>
      <c r="I149" t="s">
        <v>970</v>
      </c>
      <c r="J149" s="14">
        <v>31.24</v>
      </c>
      <c r="K149" t="s">
        <v>3273</v>
      </c>
    </row>
    <row r="150" spans="1:11" x14ac:dyDescent="0.25">
      <c r="A150" t="s">
        <v>1133</v>
      </c>
      <c r="B150" t="s">
        <v>176</v>
      </c>
      <c r="C150" t="s">
        <v>968</v>
      </c>
      <c r="D150" t="s">
        <v>969</v>
      </c>
      <c r="E150" s="1">
        <v>45693.265972222223</v>
      </c>
      <c r="F150" s="1">
        <v>45700.265972222223</v>
      </c>
      <c r="G150" t="s">
        <v>3272</v>
      </c>
      <c r="H150" t="s">
        <v>961</v>
      </c>
      <c r="I150" t="s">
        <v>962</v>
      </c>
      <c r="J150" s="14">
        <v>33.79</v>
      </c>
      <c r="K150" t="s">
        <v>3270</v>
      </c>
    </row>
    <row r="151" spans="1:11" x14ac:dyDescent="0.25">
      <c r="A151" t="s">
        <v>1134</v>
      </c>
      <c r="B151" t="s">
        <v>373</v>
      </c>
      <c r="C151" t="s">
        <v>980</v>
      </c>
      <c r="D151" t="s">
        <v>981</v>
      </c>
      <c r="E151" s="1">
        <v>45681.338888888888</v>
      </c>
      <c r="F151" s="1">
        <v>45690.338888888888</v>
      </c>
      <c r="G151" t="s">
        <v>3272</v>
      </c>
      <c r="H151" t="s">
        <v>974</v>
      </c>
      <c r="I151" t="s">
        <v>970</v>
      </c>
      <c r="J151" s="14">
        <v>45.24</v>
      </c>
      <c r="K151" t="s">
        <v>3270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1DFD-73B9-42EF-8DFB-A17F95AC5F3C}">
  <sheetPr>
    <tabColor theme="9" tint="0.39997558519241921"/>
  </sheetPr>
  <dimension ref="A1:N421"/>
  <sheetViews>
    <sheetView workbookViewId="0">
      <selection activeCell="F12" sqref="F12"/>
    </sheetView>
  </sheetViews>
  <sheetFormatPr defaultRowHeight="15" x14ac:dyDescent="0.25"/>
  <cols>
    <col min="1" max="1" width="12.7109375" bestFit="1" customWidth="1"/>
    <col min="2" max="2" width="9.5703125" bestFit="1" customWidth="1"/>
    <col min="3" max="3" width="13.28515625" bestFit="1" customWidth="1"/>
    <col min="4" max="4" width="16" bestFit="1" customWidth="1"/>
    <col min="5" max="5" width="14.85546875" bestFit="1" customWidth="1"/>
    <col min="6" max="6" width="25.28515625" bestFit="1" customWidth="1"/>
    <col min="7" max="7" width="12.85546875" bestFit="1" customWidth="1"/>
    <col min="8" max="8" width="14.28515625" bestFit="1" customWidth="1"/>
    <col min="9" max="9" width="11.42578125" bestFit="1" customWidth="1"/>
    <col min="10" max="10" width="14.5703125" bestFit="1" customWidth="1"/>
    <col min="11" max="11" width="11.85546875" bestFit="1" customWidth="1"/>
    <col min="12" max="12" width="18.28515625" hidden="1" customWidth="1"/>
    <col min="13" max="13" width="18.28515625" bestFit="1" customWidth="1"/>
    <col min="14" max="14" width="13" bestFit="1" customWidth="1"/>
  </cols>
  <sheetData>
    <row r="1" spans="1:14" x14ac:dyDescent="0.25">
      <c r="A1" t="s">
        <v>1135</v>
      </c>
      <c r="B1" t="s">
        <v>948</v>
      </c>
      <c r="C1" t="s">
        <v>0</v>
      </c>
      <c r="D1" t="s">
        <v>949</v>
      </c>
      <c r="E1" t="s">
        <v>951</v>
      </c>
      <c r="F1" t="s">
        <v>952</v>
      </c>
      <c r="G1" t="s">
        <v>385</v>
      </c>
      <c r="H1" t="s">
        <v>1136</v>
      </c>
      <c r="I1" t="s">
        <v>1137</v>
      </c>
      <c r="J1" t="s">
        <v>1138</v>
      </c>
      <c r="K1" t="s">
        <v>1139</v>
      </c>
      <c r="L1" t="s">
        <v>3306</v>
      </c>
      <c r="M1" t="s">
        <v>3300</v>
      </c>
      <c r="N1" t="s">
        <v>1140</v>
      </c>
    </row>
    <row r="2" spans="1:14" x14ac:dyDescent="0.25">
      <c r="A2" t="s">
        <v>1141</v>
      </c>
      <c r="B2" t="s">
        <v>958</v>
      </c>
      <c r="C2" t="s">
        <v>208</v>
      </c>
      <c r="D2" t="s">
        <v>959</v>
      </c>
      <c r="E2" s="1">
        <v>45685.254861111112</v>
      </c>
      <c r="F2" s="1">
        <v>45690.254861111112</v>
      </c>
      <c r="G2" t="s">
        <v>888</v>
      </c>
      <c r="H2" s="11">
        <v>85</v>
      </c>
      <c r="I2" s="15">
        <v>3.75</v>
      </c>
      <c r="J2">
        <v>2.5</v>
      </c>
      <c r="K2">
        <v>310.77999999999997</v>
      </c>
      <c r="L2">
        <f>ROUND((H2*I2)-(J2/100)*(H2*I2),2)</f>
        <v>310.77999999999997</v>
      </c>
      <c r="M2" t="str">
        <f>IF(K2=L2,"Pass",IF(K2=L2-0.01,"Pass","Investigate"))</f>
        <v>Pass</v>
      </c>
      <c r="N2" t="s">
        <v>1258</v>
      </c>
    </row>
    <row r="3" spans="1:14" x14ac:dyDescent="0.25">
      <c r="A3" t="s">
        <v>1142</v>
      </c>
      <c r="B3" t="s">
        <v>958</v>
      </c>
      <c r="C3" t="s">
        <v>208</v>
      </c>
      <c r="D3" t="s">
        <v>959</v>
      </c>
      <c r="E3" s="1">
        <v>45685.254861111112</v>
      </c>
      <c r="F3" s="1">
        <v>45690.254861111112</v>
      </c>
      <c r="G3" t="s">
        <v>888</v>
      </c>
      <c r="H3" s="11">
        <v>96</v>
      </c>
      <c r="I3" s="15">
        <v>3.57</v>
      </c>
      <c r="J3">
        <v>0</v>
      </c>
      <c r="K3">
        <v>342.72</v>
      </c>
      <c r="L3">
        <f t="shared" ref="L2:L65" si="0">ROUND((H3*I3)-(J3/100)*(H3*I3),2)</f>
        <v>342.72</v>
      </c>
      <c r="M3" t="str">
        <f t="shared" ref="M2:M65" si="1">IF(K3=L3,"Pass",IF(K3=L3-0.01,"Pass","Investigate"))</f>
        <v>Pass</v>
      </c>
      <c r="N3" t="s">
        <v>1258</v>
      </c>
    </row>
    <row r="4" spans="1:14" x14ac:dyDescent="0.25">
      <c r="A4" t="s">
        <v>1143</v>
      </c>
      <c r="B4" t="s">
        <v>958</v>
      </c>
      <c r="C4" t="s">
        <v>208</v>
      </c>
      <c r="D4" t="s">
        <v>959</v>
      </c>
      <c r="E4" s="1">
        <v>45685.254861111112</v>
      </c>
      <c r="F4" s="1">
        <v>45690.254861111112</v>
      </c>
      <c r="G4" t="s">
        <v>888</v>
      </c>
      <c r="H4" s="11">
        <v>169</v>
      </c>
      <c r="I4" s="15">
        <v>4.05</v>
      </c>
      <c r="J4">
        <v>0</v>
      </c>
      <c r="K4">
        <v>684.45</v>
      </c>
      <c r="L4">
        <f t="shared" si="0"/>
        <v>684.45</v>
      </c>
      <c r="M4" t="str">
        <f t="shared" si="1"/>
        <v>Pass</v>
      </c>
      <c r="N4" t="s">
        <v>1248</v>
      </c>
    </row>
    <row r="5" spans="1:14" x14ac:dyDescent="0.25">
      <c r="A5" t="s">
        <v>1144</v>
      </c>
      <c r="B5" t="s">
        <v>963</v>
      </c>
      <c r="C5" t="s">
        <v>327</v>
      </c>
      <c r="D5" t="s">
        <v>964</v>
      </c>
      <c r="E5" s="1">
        <v>45675.254861111112</v>
      </c>
      <c r="F5" s="1">
        <v>45677.254861111112</v>
      </c>
      <c r="G5" t="s">
        <v>606</v>
      </c>
      <c r="H5" s="11">
        <v>144</v>
      </c>
      <c r="I5" s="15">
        <v>2.42</v>
      </c>
      <c r="J5">
        <v>5</v>
      </c>
      <c r="K5">
        <v>331.06</v>
      </c>
      <c r="L5">
        <f t="shared" si="0"/>
        <v>331.06</v>
      </c>
      <c r="M5" t="str">
        <f t="shared" si="1"/>
        <v>Pass</v>
      </c>
      <c r="N5" t="s">
        <v>1258</v>
      </c>
    </row>
    <row r="6" spans="1:14" x14ac:dyDescent="0.25">
      <c r="A6" t="s">
        <v>1145</v>
      </c>
      <c r="B6" t="s">
        <v>963</v>
      </c>
      <c r="C6" t="s">
        <v>327</v>
      </c>
      <c r="D6" t="s">
        <v>964</v>
      </c>
      <c r="E6" s="1">
        <v>45675.254861111112</v>
      </c>
      <c r="F6" s="1">
        <v>45677.254861111112</v>
      </c>
      <c r="G6" t="s">
        <v>502</v>
      </c>
      <c r="H6" s="11">
        <v>237</v>
      </c>
      <c r="I6" s="15">
        <v>13.16</v>
      </c>
      <c r="J6">
        <v>0</v>
      </c>
      <c r="K6">
        <v>3118.92</v>
      </c>
      <c r="L6">
        <f t="shared" si="0"/>
        <v>3118.92</v>
      </c>
      <c r="M6" t="str">
        <f t="shared" si="1"/>
        <v>Pass</v>
      </c>
      <c r="N6" t="s">
        <v>1258</v>
      </c>
    </row>
    <row r="7" spans="1:14" x14ac:dyDescent="0.25">
      <c r="A7" t="s">
        <v>1146</v>
      </c>
      <c r="B7" t="s">
        <v>967</v>
      </c>
      <c r="C7" t="s">
        <v>291</v>
      </c>
      <c r="D7" t="s">
        <v>968</v>
      </c>
      <c r="E7" s="1">
        <v>45660.736805555556</v>
      </c>
      <c r="F7" s="1">
        <v>45668.736805555556</v>
      </c>
      <c r="G7" t="s">
        <v>939</v>
      </c>
      <c r="H7" s="11">
        <v>64</v>
      </c>
      <c r="I7" s="15">
        <v>3.96</v>
      </c>
      <c r="J7">
        <v>7.5</v>
      </c>
      <c r="K7">
        <v>234.43</v>
      </c>
      <c r="L7">
        <f t="shared" si="0"/>
        <v>234.43</v>
      </c>
      <c r="M7" t="str">
        <f t="shared" si="1"/>
        <v>Pass</v>
      </c>
      <c r="N7" t="s">
        <v>1258</v>
      </c>
    </row>
    <row r="8" spans="1:14" x14ac:dyDescent="0.25">
      <c r="A8" t="s">
        <v>1147</v>
      </c>
      <c r="B8" t="s">
        <v>967</v>
      </c>
      <c r="C8" t="s">
        <v>291</v>
      </c>
      <c r="D8" t="s">
        <v>968</v>
      </c>
      <c r="E8" s="1">
        <v>45660.736805555556</v>
      </c>
      <c r="F8" s="1">
        <v>45668.736805555556</v>
      </c>
      <c r="G8" t="s">
        <v>433</v>
      </c>
      <c r="H8" s="11">
        <v>156</v>
      </c>
      <c r="I8" s="15">
        <v>4.1500000000000004</v>
      </c>
      <c r="J8">
        <v>10</v>
      </c>
      <c r="K8">
        <v>582.66</v>
      </c>
      <c r="L8">
        <f t="shared" si="0"/>
        <v>582.66</v>
      </c>
      <c r="M8" t="str">
        <f t="shared" si="1"/>
        <v>Pass</v>
      </c>
      <c r="N8" t="s">
        <v>1258</v>
      </c>
    </row>
    <row r="9" spans="1:14" x14ac:dyDescent="0.25">
      <c r="A9" t="s">
        <v>1148</v>
      </c>
      <c r="B9" t="s">
        <v>971</v>
      </c>
      <c r="C9" t="s">
        <v>28</v>
      </c>
      <c r="D9" t="s">
        <v>972</v>
      </c>
      <c r="E9" s="1">
        <v>45668.690972222219</v>
      </c>
      <c r="F9" s="1">
        <v>45686.690972222219</v>
      </c>
      <c r="G9" t="s">
        <v>420</v>
      </c>
      <c r="H9" s="11">
        <v>105</v>
      </c>
      <c r="I9" s="15">
        <v>13.26</v>
      </c>
      <c r="J9">
        <v>0</v>
      </c>
      <c r="K9">
        <v>1392.3</v>
      </c>
      <c r="L9">
        <f t="shared" si="0"/>
        <v>1392.3</v>
      </c>
      <c r="M9" t="str">
        <f t="shared" si="1"/>
        <v>Pass</v>
      </c>
      <c r="N9" t="s">
        <v>1248</v>
      </c>
    </row>
    <row r="10" spans="1:14" x14ac:dyDescent="0.25">
      <c r="A10" t="s">
        <v>1149</v>
      </c>
      <c r="B10" t="s">
        <v>971</v>
      </c>
      <c r="C10" t="s">
        <v>28</v>
      </c>
      <c r="D10" t="s">
        <v>972</v>
      </c>
      <c r="E10" s="1">
        <v>45668.690972222219</v>
      </c>
      <c r="F10" s="1">
        <v>45686.690972222219</v>
      </c>
      <c r="G10" t="s">
        <v>579</v>
      </c>
      <c r="H10" s="11">
        <v>104</v>
      </c>
      <c r="I10" s="15">
        <v>6.88</v>
      </c>
      <c r="J10">
        <v>0</v>
      </c>
      <c r="K10">
        <v>715.52</v>
      </c>
      <c r="L10">
        <f t="shared" si="0"/>
        <v>715.52</v>
      </c>
      <c r="M10" t="str">
        <f t="shared" si="1"/>
        <v>Pass</v>
      </c>
      <c r="N10" t="s">
        <v>1248</v>
      </c>
    </row>
    <row r="11" spans="1:14" x14ac:dyDescent="0.25">
      <c r="A11" t="s">
        <v>1150</v>
      </c>
      <c r="B11" t="s">
        <v>971</v>
      </c>
      <c r="C11" t="s">
        <v>28</v>
      </c>
      <c r="D11" t="s">
        <v>972</v>
      </c>
      <c r="E11" s="1">
        <v>45668.690972222219</v>
      </c>
      <c r="F11" s="1">
        <v>45686.690972222219</v>
      </c>
      <c r="G11" t="s">
        <v>828</v>
      </c>
      <c r="H11" s="11">
        <v>96</v>
      </c>
      <c r="I11" s="15">
        <v>10.54</v>
      </c>
      <c r="J11">
        <v>10</v>
      </c>
      <c r="K11">
        <v>910.66</v>
      </c>
      <c r="L11">
        <f t="shared" si="0"/>
        <v>910.66</v>
      </c>
      <c r="M11" t="str">
        <f t="shared" si="1"/>
        <v>Pass</v>
      </c>
      <c r="N11" t="s">
        <v>3271</v>
      </c>
    </row>
    <row r="12" spans="1:14" x14ac:dyDescent="0.25">
      <c r="A12" t="s">
        <v>1151</v>
      </c>
      <c r="B12" t="s">
        <v>975</v>
      </c>
      <c r="C12" t="s">
        <v>202</v>
      </c>
      <c r="D12" t="s">
        <v>976</v>
      </c>
      <c r="E12" s="1">
        <v>45686.324999999997</v>
      </c>
      <c r="F12" s="1">
        <v>45691.324999999997</v>
      </c>
      <c r="G12" t="s">
        <v>915</v>
      </c>
      <c r="H12" s="11">
        <v>29</v>
      </c>
      <c r="I12" s="15">
        <v>9.98</v>
      </c>
      <c r="J12">
        <v>10</v>
      </c>
      <c r="K12">
        <v>260.48</v>
      </c>
      <c r="L12">
        <f t="shared" si="0"/>
        <v>260.48</v>
      </c>
      <c r="M12" t="str">
        <f t="shared" si="1"/>
        <v>Pass</v>
      </c>
      <c r="N12" t="s">
        <v>3271</v>
      </c>
    </row>
    <row r="13" spans="1:14" x14ac:dyDescent="0.25">
      <c r="A13" t="s">
        <v>1152</v>
      </c>
      <c r="B13" t="s">
        <v>975</v>
      </c>
      <c r="C13" t="s">
        <v>202</v>
      </c>
      <c r="D13" t="s">
        <v>976</v>
      </c>
      <c r="E13" s="1">
        <v>45686.324999999997</v>
      </c>
      <c r="F13" s="1">
        <v>45691.324999999997</v>
      </c>
      <c r="G13" t="s">
        <v>846</v>
      </c>
      <c r="H13" s="11">
        <v>130</v>
      </c>
      <c r="I13" s="15">
        <v>16.2</v>
      </c>
      <c r="J13">
        <v>10</v>
      </c>
      <c r="K13">
        <v>1895.4</v>
      </c>
      <c r="L13">
        <f t="shared" si="0"/>
        <v>1895.4</v>
      </c>
      <c r="M13" t="str">
        <f t="shared" si="1"/>
        <v>Pass</v>
      </c>
      <c r="N13" t="s">
        <v>1248</v>
      </c>
    </row>
    <row r="14" spans="1:14" x14ac:dyDescent="0.25">
      <c r="A14" t="s">
        <v>1153</v>
      </c>
      <c r="B14" t="s">
        <v>975</v>
      </c>
      <c r="C14" t="s">
        <v>202</v>
      </c>
      <c r="D14" t="s">
        <v>976</v>
      </c>
      <c r="E14" s="1">
        <v>45686.324999999997</v>
      </c>
      <c r="F14" s="1">
        <v>45691.324999999997</v>
      </c>
      <c r="G14" t="s">
        <v>915</v>
      </c>
      <c r="H14" s="11">
        <v>74</v>
      </c>
      <c r="I14" s="15">
        <v>10.25</v>
      </c>
      <c r="J14">
        <v>0</v>
      </c>
      <c r="K14">
        <v>758.5</v>
      </c>
      <c r="L14">
        <f t="shared" si="0"/>
        <v>758.5</v>
      </c>
      <c r="M14" t="str">
        <f t="shared" si="1"/>
        <v>Pass</v>
      </c>
      <c r="N14" t="s">
        <v>1258</v>
      </c>
    </row>
    <row r="15" spans="1:14" x14ac:dyDescent="0.25">
      <c r="A15" t="s">
        <v>1154</v>
      </c>
      <c r="B15" t="s">
        <v>979</v>
      </c>
      <c r="C15" t="s">
        <v>256</v>
      </c>
      <c r="D15" t="s">
        <v>980</v>
      </c>
      <c r="E15" s="1">
        <v>45711.177083333336</v>
      </c>
      <c r="F15" s="1">
        <v>45722.177083333336</v>
      </c>
      <c r="G15" t="s">
        <v>792</v>
      </c>
      <c r="H15" s="11">
        <v>218</v>
      </c>
      <c r="I15" s="15">
        <v>4.45</v>
      </c>
      <c r="J15">
        <v>0</v>
      </c>
      <c r="K15">
        <v>970.1</v>
      </c>
      <c r="L15">
        <f t="shared" si="0"/>
        <v>970.1</v>
      </c>
      <c r="M15" t="str">
        <f t="shared" si="1"/>
        <v>Pass</v>
      </c>
      <c r="N15" t="s">
        <v>3271</v>
      </c>
    </row>
    <row r="16" spans="1:14" x14ac:dyDescent="0.25">
      <c r="A16" t="s">
        <v>1155</v>
      </c>
      <c r="B16" t="s">
        <v>979</v>
      </c>
      <c r="C16" t="s">
        <v>256</v>
      </c>
      <c r="D16" t="s">
        <v>980</v>
      </c>
      <c r="E16" s="1">
        <v>45711.177083333336</v>
      </c>
      <c r="F16" s="1">
        <v>45722.177083333336</v>
      </c>
      <c r="G16" t="s">
        <v>792</v>
      </c>
      <c r="H16" s="11">
        <v>12</v>
      </c>
      <c r="I16" s="15">
        <v>4.54</v>
      </c>
      <c r="J16">
        <v>5</v>
      </c>
      <c r="K16">
        <v>51.76</v>
      </c>
      <c r="L16">
        <f t="shared" si="0"/>
        <v>51.76</v>
      </c>
      <c r="M16" t="str">
        <f t="shared" si="1"/>
        <v>Pass</v>
      </c>
      <c r="N16" t="s">
        <v>1258</v>
      </c>
    </row>
    <row r="17" spans="1:14" x14ac:dyDescent="0.25">
      <c r="A17" t="s">
        <v>1156</v>
      </c>
      <c r="B17" t="s">
        <v>979</v>
      </c>
      <c r="C17" t="s">
        <v>256</v>
      </c>
      <c r="D17" t="s">
        <v>980</v>
      </c>
      <c r="E17" s="1">
        <v>45711.177083333336</v>
      </c>
      <c r="F17" s="1">
        <v>45722.177083333336</v>
      </c>
      <c r="G17" t="s">
        <v>792</v>
      </c>
      <c r="H17" s="11">
        <v>201</v>
      </c>
      <c r="I17" s="15">
        <v>4.18</v>
      </c>
      <c r="J17">
        <v>0</v>
      </c>
      <c r="K17">
        <v>840.18</v>
      </c>
      <c r="L17">
        <f t="shared" si="0"/>
        <v>840.18</v>
      </c>
      <c r="M17" t="str">
        <f t="shared" si="1"/>
        <v>Pass</v>
      </c>
      <c r="N17" t="s">
        <v>1248</v>
      </c>
    </row>
    <row r="18" spans="1:14" x14ac:dyDescent="0.25">
      <c r="A18" t="s">
        <v>1157</v>
      </c>
      <c r="B18" t="s">
        <v>983</v>
      </c>
      <c r="C18" t="s">
        <v>262</v>
      </c>
      <c r="D18" t="s">
        <v>959</v>
      </c>
      <c r="E18" s="1">
        <v>45719.59097222222</v>
      </c>
      <c r="F18" s="1">
        <v>45731.59097222222</v>
      </c>
      <c r="G18" t="s">
        <v>564</v>
      </c>
      <c r="H18" s="11">
        <v>208</v>
      </c>
      <c r="I18" s="15">
        <v>12.86</v>
      </c>
      <c r="J18">
        <v>2.5</v>
      </c>
      <c r="K18">
        <v>2608.0100000000002</v>
      </c>
      <c r="L18">
        <f t="shared" si="0"/>
        <v>2608.0100000000002</v>
      </c>
      <c r="M18" t="str">
        <f t="shared" si="1"/>
        <v>Pass</v>
      </c>
      <c r="N18" t="s">
        <v>1258</v>
      </c>
    </row>
    <row r="19" spans="1:14" x14ac:dyDescent="0.25">
      <c r="A19" t="s">
        <v>1158</v>
      </c>
      <c r="B19" t="s">
        <v>983</v>
      </c>
      <c r="C19" t="s">
        <v>262</v>
      </c>
      <c r="D19" t="s">
        <v>959</v>
      </c>
      <c r="E19" s="1">
        <v>45719.59097222222</v>
      </c>
      <c r="F19" s="1">
        <v>45731.59097222222</v>
      </c>
      <c r="G19" t="s">
        <v>834</v>
      </c>
      <c r="H19" s="11">
        <v>227</v>
      </c>
      <c r="I19" s="15">
        <v>13.33</v>
      </c>
      <c r="J19">
        <v>10</v>
      </c>
      <c r="K19">
        <v>2723.32</v>
      </c>
      <c r="L19">
        <f t="shared" si="0"/>
        <v>2723.32</v>
      </c>
      <c r="M19" t="str">
        <f t="shared" si="1"/>
        <v>Pass</v>
      </c>
      <c r="N19" t="s">
        <v>1248</v>
      </c>
    </row>
    <row r="20" spans="1:14" x14ac:dyDescent="0.25">
      <c r="A20" t="s">
        <v>1159</v>
      </c>
      <c r="B20" t="s">
        <v>983</v>
      </c>
      <c r="C20" t="s">
        <v>262</v>
      </c>
      <c r="D20" t="s">
        <v>959</v>
      </c>
      <c r="E20" s="1">
        <v>45719.59097222222</v>
      </c>
      <c r="F20" s="1">
        <v>45731.59097222222</v>
      </c>
      <c r="G20" t="s">
        <v>912</v>
      </c>
      <c r="H20" s="11">
        <v>67</v>
      </c>
      <c r="I20" s="15">
        <v>12.1</v>
      </c>
      <c r="J20">
        <v>7.5</v>
      </c>
      <c r="K20">
        <v>749.9</v>
      </c>
      <c r="L20">
        <f t="shared" si="0"/>
        <v>749.9</v>
      </c>
      <c r="M20" t="str">
        <f t="shared" si="1"/>
        <v>Pass</v>
      </c>
      <c r="N20" t="s">
        <v>3271</v>
      </c>
    </row>
    <row r="21" spans="1:14" x14ac:dyDescent="0.25">
      <c r="A21" t="s">
        <v>1160</v>
      </c>
      <c r="B21" t="s">
        <v>984</v>
      </c>
      <c r="C21" t="s">
        <v>274</v>
      </c>
      <c r="D21" t="s">
        <v>959</v>
      </c>
      <c r="E21" s="1">
        <v>45666.834722222222</v>
      </c>
      <c r="F21" s="1">
        <v>45684.834722222222</v>
      </c>
      <c r="G21" t="s">
        <v>714</v>
      </c>
      <c r="H21" s="11">
        <v>149</v>
      </c>
      <c r="I21" s="15">
        <v>8.09</v>
      </c>
      <c r="J21">
        <v>10</v>
      </c>
      <c r="K21">
        <v>1084.8699999999999</v>
      </c>
      <c r="L21">
        <f t="shared" si="0"/>
        <v>1084.8699999999999</v>
      </c>
      <c r="M21" t="str">
        <f t="shared" si="1"/>
        <v>Pass</v>
      </c>
      <c r="N21" t="s">
        <v>1248</v>
      </c>
    </row>
    <row r="22" spans="1:14" x14ac:dyDescent="0.25">
      <c r="A22" t="s">
        <v>1161</v>
      </c>
      <c r="B22" t="s">
        <v>984</v>
      </c>
      <c r="C22" t="s">
        <v>274</v>
      </c>
      <c r="D22" t="s">
        <v>959</v>
      </c>
      <c r="E22" s="1">
        <v>45666.834722222222</v>
      </c>
      <c r="F22" s="1">
        <v>45684.834722222222</v>
      </c>
      <c r="G22" t="s">
        <v>714</v>
      </c>
      <c r="H22" s="11">
        <v>49</v>
      </c>
      <c r="I22" s="15">
        <v>8.23</v>
      </c>
      <c r="J22">
        <v>5</v>
      </c>
      <c r="K22">
        <v>383.11</v>
      </c>
      <c r="L22">
        <f t="shared" si="0"/>
        <v>383.11</v>
      </c>
      <c r="M22" t="str">
        <f t="shared" si="1"/>
        <v>Pass</v>
      </c>
      <c r="N22" t="s">
        <v>1248</v>
      </c>
    </row>
    <row r="23" spans="1:14" x14ac:dyDescent="0.25">
      <c r="A23" t="s">
        <v>1162</v>
      </c>
      <c r="B23" t="s">
        <v>985</v>
      </c>
      <c r="C23" t="s">
        <v>179</v>
      </c>
      <c r="D23" t="s">
        <v>964</v>
      </c>
      <c r="E23" s="1">
        <v>45659.463888888888</v>
      </c>
      <c r="F23" s="1">
        <v>45679.463888888888</v>
      </c>
      <c r="G23" t="s">
        <v>681</v>
      </c>
      <c r="H23" s="11">
        <v>237</v>
      </c>
      <c r="I23" s="15">
        <v>4.1399999999999997</v>
      </c>
      <c r="J23">
        <v>7.4999999999999997E-2</v>
      </c>
      <c r="K23">
        <v>907.59</v>
      </c>
      <c r="L23">
        <f t="shared" si="0"/>
        <v>980.44</v>
      </c>
      <c r="M23" t="str">
        <f t="shared" si="1"/>
        <v>Investigate</v>
      </c>
      <c r="N23" t="s">
        <v>3271</v>
      </c>
    </row>
    <row r="24" spans="1:14" x14ac:dyDescent="0.25">
      <c r="A24" t="s">
        <v>1163</v>
      </c>
      <c r="B24" t="s">
        <v>985</v>
      </c>
      <c r="C24" t="s">
        <v>179</v>
      </c>
      <c r="D24" t="s">
        <v>964</v>
      </c>
      <c r="E24" s="1">
        <v>45659.463888888888</v>
      </c>
      <c r="F24" s="1">
        <v>45679.463888888888</v>
      </c>
      <c r="G24" t="s">
        <v>681</v>
      </c>
      <c r="H24" s="11">
        <v>206</v>
      </c>
      <c r="I24" s="15">
        <v>4.1500000000000004</v>
      </c>
      <c r="J24">
        <v>2.5</v>
      </c>
      <c r="K24">
        <v>833.53</v>
      </c>
      <c r="L24">
        <f t="shared" si="0"/>
        <v>833.53</v>
      </c>
      <c r="M24" t="str">
        <f t="shared" si="1"/>
        <v>Pass</v>
      </c>
      <c r="N24" t="s">
        <v>1258</v>
      </c>
    </row>
    <row r="25" spans="1:14" x14ac:dyDescent="0.25">
      <c r="A25" t="s">
        <v>1164</v>
      </c>
      <c r="B25" t="s">
        <v>985</v>
      </c>
      <c r="C25" t="s">
        <v>179</v>
      </c>
      <c r="D25" t="s">
        <v>964</v>
      </c>
      <c r="E25" s="1">
        <v>45659.463888888888</v>
      </c>
      <c r="F25" s="1">
        <v>45679.463888888888</v>
      </c>
      <c r="G25" t="s">
        <v>681</v>
      </c>
      <c r="H25" s="11">
        <v>156</v>
      </c>
      <c r="I25" s="15">
        <v>4.3600000000000003</v>
      </c>
      <c r="J25">
        <v>0</v>
      </c>
      <c r="K25">
        <v>680.16</v>
      </c>
      <c r="L25">
        <f t="shared" si="0"/>
        <v>680.16</v>
      </c>
      <c r="M25" t="str">
        <f t="shared" si="1"/>
        <v>Pass</v>
      </c>
      <c r="N25" t="s">
        <v>3271</v>
      </c>
    </row>
    <row r="26" spans="1:14" x14ac:dyDescent="0.25">
      <c r="A26" t="s">
        <v>1165</v>
      </c>
      <c r="B26" t="s">
        <v>986</v>
      </c>
      <c r="C26" t="s">
        <v>170</v>
      </c>
      <c r="D26" t="s">
        <v>987</v>
      </c>
      <c r="E26" s="1">
        <v>45667.773611111108</v>
      </c>
      <c r="F26" s="1">
        <v>45675.773611111108</v>
      </c>
      <c r="G26" t="s">
        <v>786</v>
      </c>
      <c r="H26" s="11">
        <v>173</v>
      </c>
      <c r="I26" s="15">
        <v>3.5</v>
      </c>
      <c r="J26">
        <v>2.5</v>
      </c>
      <c r="K26">
        <v>590.36</v>
      </c>
      <c r="L26">
        <f t="shared" si="0"/>
        <v>590.36</v>
      </c>
      <c r="M26" t="str">
        <f t="shared" si="1"/>
        <v>Pass</v>
      </c>
      <c r="N26" t="s">
        <v>1258</v>
      </c>
    </row>
    <row r="27" spans="1:14" x14ac:dyDescent="0.25">
      <c r="A27" t="s">
        <v>1166</v>
      </c>
      <c r="B27" t="s">
        <v>986</v>
      </c>
      <c r="C27" t="s">
        <v>170</v>
      </c>
      <c r="D27" t="s">
        <v>987</v>
      </c>
      <c r="E27" s="1">
        <v>45667.773611111108</v>
      </c>
      <c r="F27" s="1">
        <v>45675.773611111108</v>
      </c>
      <c r="G27" t="s">
        <v>557</v>
      </c>
      <c r="H27" s="11">
        <v>220</v>
      </c>
      <c r="I27" s="15">
        <v>1.66</v>
      </c>
      <c r="J27">
        <v>0</v>
      </c>
      <c r="K27">
        <v>365.2</v>
      </c>
      <c r="L27">
        <f t="shared" si="0"/>
        <v>365.2</v>
      </c>
      <c r="M27" t="str">
        <f t="shared" si="1"/>
        <v>Pass</v>
      </c>
      <c r="N27" t="s">
        <v>1258</v>
      </c>
    </row>
    <row r="28" spans="1:14" x14ac:dyDescent="0.25">
      <c r="A28" t="s">
        <v>1167</v>
      </c>
      <c r="B28" t="s">
        <v>986</v>
      </c>
      <c r="C28" t="s">
        <v>170</v>
      </c>
      <c r="D28" t="s">
        <v>987</v>
      </c>
      <c r="E28" s="1">
        <v>45667.773611111108</v>
      </c>
      <c r="F28" s="1">
        <v>45675.773611111108</v>
      </c>
      <c r="G28" t="s">
        <v>906</v>
      </c>
      <c r="H28" s="11">
        <v>100</v>
      </c>
      <c r="I28" s="15">
        <v>5.98</v>
      </c>
      <c r="J28">
        <v>0</v>
      </c>
      <c r="K28">
        <v>598</v>
      </c>
      <c r="L28">
        <f t="shared" si="0"/>
        <v>598</v>
      </c>
      <c r="M28" t="str">
        <f t="shared" si="1"/>
        <v>Pass</v>
      </c>
      <c r="N28" t="s">
        <v>1248</v>
      </c>
    </row>
    <row r="29" spans="1:14" x14ac:dyDescent="0.25">
      <c r="A29" t="s">
        <v>1168</v>
      </c>
      <c r="B29" t="s">
        <v>989</v>
      </c>
      <c r="C29" t="s">
        <v>155</v>
      </c>
      <c r="D29" t="s">
        <v>990</v>
      </c>
      <c r="E29" s="1">
        <v>45700.061111111114</v>
      </c>
      <c r="F29" s="1">
        <v>45705.061111111114</v>
      </c>
      <c r="G29" t="s">
        <v>759</v>
      </c>
      <c r="H29" s="11">
        <v>127</v>
      </c>
      <c r="I29" s="15">
        <v>10.55</v>
      </c>
      <c r="J29">
        <v>7.4999999999999997E-2</v>
      </c>
      <c r="K29">
        <v>1239.3599999999999</v>
      </c>
      <c r="L29">
        <f t="shared" si="0"/>
        <v>1338.85</v>
      </c>
      <c r="M29" t="str">
        <f t="shared" si="1"/>
        <v>Investigate</v>
      </c>
      <c r="N29" t="s">
        <v>1248</v>
      </c>
    </row>
    <row r="30" spans="1:14" x14ac:dyDescent="0.25">
      <c r="A30" t="s">
        <v>1169</v>
      </c>
      <c r="B30" t="s">
        <v>989</v>
      </c>
      <c r="C30" t="s">
        <v>155</v>
      </c>
      <c r="D30" t="s">
        <v>990</v>
      </c>
      <c r="E30" s="1">
        <v>45700.061111111114</v>
      </c>
      <c r="F30" s="1">
        <v>45705.061111111114</v>
      </c>
      <c r="G30" t="s">
        <v>591</v>
      </c>
      <c r="H30" s="11">
        <v>92</v>
      </c>
      <c r="I30" s="15">
        <v>15.7</v>
      </c>
      <c r="J30">
        <v>0</v>
      </c>
      <c r="K30">
        <v>1444.4</v>
      </c>
      <c r="L30">
        <f t="shared" si="0"/>
        <v>1444.4</v>
      </c>
      <c r="M30" t="str">
        <f t="shared" si="1"/>
        <v>Pass</v>
      </c>
      <c r="N30" t="s">
        <v>1248</v>
      </c>
    </row>
    <row r="31" spans="1:14" x14ac:dyDescent="0.25">
      <c r="A31" t="s">
        <v>1170</v>
      </c>
      <c r="B31" t="s">
        <v>989</v>
      </c>
      <c r="C31" t="s">
        <v>155</v>
      </c>
      <c r="D31" t="s">
        <v>990</v>
      </c>
      <c r="E31" s="1">
        <v>45700.061111111114</v>
      </c>
      <c r="F31" s="1">
        <v>45705.061111111114</v>
      </c>
      <c r="G31" t="s">
        <v>666</v>
      </c>
      <c r="H31" s="11">
        <v>99</v>
      </c>
      <c r="I31" s="15">
        <v>14.35</v>
      </c>
      <c r="J31">
        <v>7.5</v>
      </c>
      <c r="K31">
        <v>1314.1</v>
      </c>
      <c r="L31">
        <f t="shared" si="0"/>
        <v>1314.1</v>
      </c>
      <c r="M31" t="str">
        <f t="shared" si="1"/>
        <v>Pass</v>
      </c>
      <c r="N31" t="s">
        <v>1258</v>
      </c>
    </row>
    <row r="32" spans="1:14" x14ac:dyDescent="0.25">
      <c r="A32" t="s">
        <v>1171</v>
      </c>
      <c r="B32" t="s">
        <v>992</v>
      </c>
      <c r="C32" t="s">
        <v>106</v>
      </c>
      <c r="D32" t="s">
        <v>959</v>
      </c>
      <c r="E32" s="1">
        <v>45703.65625</v>
      </c>
      <c r="F32" s="1">
        <v>45707.65625</v>
      </c>
      <c r="G32" t="s">
        <v>526</v>
      </c>
      <c r="H32" s="11">
        <v>171</v>
      </c>
      <c r="I32" s="15">
        <v>11.04</v>
      </c>
      <c r="J32">
        <v>10</v>
      </c>
      <c r="K32">
        <v>1699.06</v>
      </c>
      <c r="L32">
        <f t="shared" si="0"/>
        <v>1699.06</v>
      </c>
      <c r="M32" t="str">
        <f t="shared" si="1"/>
        <v>Pass</v>
      </c>
      <c r="N32" t="s">
        <v>1248</v>
      </c>
    </row>
    <row r="33" spans="1:14" x14ac:dyDescent="0.25">
      <c r="A33" t="s">
        <v>1172</v>
      </c>
      <c r="B33" t="s">
        <v>992</v>
      </c>
      <c r="C33" t="s">
        <v>106</v>
      </c>
      <c r="D33" t="s">
        <v>959</v>
      </c>
      <c r="E33" s="1">
        <v>45703.65625</v>
      </c>
      <c r="F33" s="1">
        <v>45707.65625</v>
      </c>
      <c r="G33" t="s">
        <v>526</v>
      </c>
      <c r="H33" s="11">
        <v>122</v>
      </c>
      <c r="I33" s="15">
        <v>11.9</v>
      </c>
      <c r="J33">
        <v>10</v>
      </c>
      <c r="K33">
        <v>1306.6199999999999</v>
      </c>
      <c r="L33">
        <f t="shared" si="0"/>
        <v>1306.6199999999999</v>
      </c>
      <c r="M33" t="str">
        <f t="shared" si="1"/>
        <v>Pass</v>
      </c>
      <c r="N33" t="s">
        <v>1248</v>
      </c>
    </row>
    <row r="34" spans="1:14" x14ac:dyDescent="0.25">
      <c r="A34" t="s">
        <v>1173</v>
      </c>
      <c r="B34" t="s">
        <v>992</v>
      </c>
      <c r="C34" t="s">
        <v>106</v>
      </c>
      <c r="D34" t="s">
        <v>959</v>
      </c>
      <c r="E34" s="1">
        <v>45703.65625</v>
      </c>
      <c r="F34" s="1">
        <v>45707.65625</v>
      </c>
      <c r="G34" t="s">
        <v>526</v>
      </c>
      <c r="H34" s="11">
        <v>144</v>
      </c>
      <c r="I34" s="15">
        <v>11.65</v>
      </c>
      <c r="J34">
        <v>0</v>
      </c>
      <c r="K34">
        <v>1677.6</v>
      </c>
      <c r="L34">
        <f t="shared" si="0"/>
        <v>1677.6</v>
      </c>
      <c r="M34" t="str">
        <f t="shared" si="1"/>
        <v>Pass</v>
      </c>
      <c r="N34" t="s">
        <v>1258</v>
      </c>
    </row>
    <row r="35" spans="1:14" x14ac:dyDescent="0.25">
      <c r="A35" t="s">
        <v>1174</v>
      </c>
      <c r="B35" t="s">
        <v>993</v>
      </c>
      <c r="C35" t="s">
        <v>294</v>
      </c>
      <c r="D35" t="s">
        <v>972</v>
      </c>
      <c r="E35" s="1">
        <v>45688.370833333334</v>
      </c>
      <c r="F35" s="1">
        <v>45692.370833333334</v>
      </c>
      <c r="G35" t="s">
        <v>417</v>
      </c>
      <c r="H35" s="11">
        <v>23</v>
      </c>
      <c r="I35" s="15">
        <v>8.2200000000000006</v>
      </c>
      <c r="J35">
        <v>7.5</v>
      </c>
      <c r="K35">
        <v>174.88</v>
      </c>
      <c r="L35">
        <f t="shared" si="0"/>
        <v>174.88</v>
      </c>
      <c r="M35" t="str">
        <f t="shared" si="1"/>
        <v>Pass</v>
      </c>
      <c r="N35" t="s">
        <v>1248</v>
      </c>
    </row>
    <row r="36" spans="1:14" x14ac:dyDescent="0.25">
      <c r="A36" t="s">
        <v>1175</v>
      </c>
      <c r="B36" t="s">
        <v>993</v>
      </c>
      <c r="C36" t="s">
        <v>294</v>
      </c>
      <c r="D36" t="s">
        <v>972</v>
      </c>
      <c r="E36" s="1">
        <v>45688.370833333334</v>
      </c>
      <c r="F36" s="1">
        <v>45692.370833333334</v>
      </c>
      <c r="G36" t="s">
        <v>837</v>
      </c>
      <c r="H36" s="11">
        <v>100</v>
      </c>
      <c r="I36" s="15">
        <v>14.25</v>
      </c>
      <c r="J36">
        <v>0</v>
      </c>
      <c r="K36">
        <v>1425</v>
      </c>
      <c r="L36">
        <f t="shared" si="0"/>
        <v>1425</v>
      </c>
      <c r="M36" t="str">
        <f t="shared" si="1"/>
        <v>Pass</v>
      </c>
      <c r="N36" t="s">
        <v>1248</v>
      </c>
    </row>
    <row r="37" spans="1:14" x14ac:dyDescent="0.25">
      <c r="A37" t="s">
        <v>1176</v>
      </c>
      <c r="B37" t="s">
        <v>993</v>
      </c>
      <c r="C37" t="s">
        <v>294</v>
      </c>
      <c r="D37" t="s">
        <v>972</v>
      </c>
      <c r="E37" s="1">
        <v>45688.370833333334</v>
      </c>
      <c r="F37" s="1">
        <v>45692.370833333334</v>
      </c>
      <c r="G37" t="s">
        <v>417</v>
      </c>
      <c r="H37" s="11">
        <v>161</v>
      </c>
      <c r="I37" s="15">
        <v>8.1300000000000008</v>
      </c>
      <c r="J37">
        <v>0</v>
      </c>
      <c r="K37">
        <v>1308.93</v>
      </c>
      <c r="L37">
        <f t="shared" si="0"/>
        <v>1308.93</v>
      </c>
      <c r="M37" t="str">
        <f t="shared" si="1"/>
        <v>Pass</v>
      </c>
      <c r="N37" t="s">
        <v>1248</v>
      </c>
    </row>
    <row r="38" spans="1:14" x14ac:dyDescent="0.25">
      <c r="A38" t="s">
        <v>1177</v>
      </c>
      <c r="B38" t="s">
        <v>994</v>
      </c>
      <c r="C38" t="s">
        <v>17</v>
      </c>
      <c r="D38" t="s">
        <v>980</v>
      </c>
      <c r="E38" s="1">
        <v>45707.792361111111</v>
      </c>
      <c r="F38" s="1">
        <v>45716.792361111111</v>
      </c>
      <c r="G38" t="s">
        <v>720</v>
      </c>
      <c r="H38" s="11">
        <v>132</v>
      </c>
      <c r="I38" s="15">
        <v>8.57</v>
      </c>
      <c r="J38">
        <v>0</v>
      </c>
      <c r="K38">
        <v>1131.24</v>
      </c>
      <c r="L38">
        <f t="shared" si="0"/>
        <v>1131.24</v>
      </c>
      <c r="M38" t="str">
        <f t="shared" si="1"/>
        <v>Pass</v>
      </c>
      <c r="N38" t="s">
        <v>3271</v>
      </c>
    </row>
    <row r="39" spans="1:14" x14ac:dyDescent="0.25">
      <c r="A39" t="s">
        <v>1178</v>
      </c>
      <c r="B39" t="s">
        <v>994</v>
      </c>
      <c r="C39" t="s">
        <v>17</v>
      </c>
      <c r="D39" t="s">
        <v>980</v>
      </c>
      <c r="E39" s="1">
        <v>45707.792361111111</v>
      </c>
      <c r="F39" s="1">
        <v>45716.792361111111</v>
      </c>
      <c r="G39" t="s">
        <v>876</v>
      </c>
      <c r="H39" s="11">
        <v>203</v>
      </c>
      <c r="I39" s="15">
        <v>6.05</v>
      </c>
      <c r="J39">
        <v>0</v>
      </c>
      <c r="K39">
        <v>1228.1500000000001</v>
      </c>
      <c r="L39">
        <f t="shared" si="0"/>
        <v>1228.1500000000001</v>
      </c>
      <c r="M39" t="str">
        <f t="shared" si="1"/>
        <v>Pass</v>
      </c>
      <c r="N39" t="s">
        <v>3271</v>
      </c>
    </row>
    <row r="40" spans="1:14" x14ac:dyDescent="0.25">
      <c r="A40" t="s">
        <v>1179</v>
      </c>
      <c r="B40" t="s">
        <v>994</v>
      </c>
      <c r="C40" t="s">
        <v>17</v>
      </c>
      <c r="D40" t="s">
        <v>980</v>
      </c>
      <c r="E40" s="1">
        <v>45707.792361111111</v>
      </c>
      <c r="F40" s="1">
        <v>45716.792361111111</v>
      </c>
      <c r="G40" t="s">
        <v>876</v>
      </c>
      <c r="H40" s="11">
        <v>35</v>
      </c>
      <c r="I40" s="15">
        <v>5.78</v>
      </c>
      <c r="J40">
        <v>0</v>
      </c>
      <c r="K40">
        <v>202.3</v>
      </c>
      <c r="L40">
        <f t="shared" si="0"/>
        <v>202.3</v>
      </c>
      <c r="M40" t="str">
        <f t="shared" si="1"/>
        <v>Pass</v>
      </c>
      <c r="N40" t="s">
        <v>1248</v>
      </c>
    </row>
    <row r="41" spans="1:14" x14ac:dyDescent="0.25">
      <c r="A41" t="s">
        <v>1180</v>
      </c>
      <c r="B41" t="s">
        <v>995</v>
      </c>
      <c r="C41" t="s">
        <v>318</v>
      </c>
      <c r="D41" t="s">
        <v>996</v>
      </c>
      <c r="E41" s="1">
        <v>45658.009027777778</v>
      </c>
      <c r="F41" s="1">
        <v>45667.009027777778</v>
      </c>
      <c r="G41" t="s">
        <v>675</v>
      </c>
      <c r="H41" s="11">
        <v>193</v>
      </c>
      <c r="I41" s="15">
        <v>6.64</v>
      </c>
      <c r="J41">
        <v>10</v>
      </c>
      <c r="K41">
        <v>1153.3699999999999</v>
      </c>
      <c r="L41">
        <f t="shared" si="0"/>
        <v>1153.3699999999999</v>
      </c>
      <c r="M41" t="str">
        <f t="shared" si="1"/>
        <v>Pass</v>
      </c>
      <c r="N41" t="s">
        <v>1258</v>
      </c>
    </row>
    <row r="42" spans="1:14" x14ac:dyDescent="0.25">
      <c r="A42" t="s">
        <v>1181</v>
      </c>
      <c r="B42" t="s">
        <v>995</v>
      </c>
      <c r="C42" t="s">
        <v>318</v>
      </c>
      <c r="D42" t="s">
        <v>996</v>
      </c>
      <c r="E42" s="1">
        <v>45658.009027777778</v>
      </c>
      <c r="F42" s="1">
        <v>45667.009027777778</v>
      </c>
      <c r="G42" t="s">
        <v>675</v>
      </c>
      <c r="H42" s="11">
        <v>13</v>
      </c>
      <c r="I42" s="15">
        <v>6.92</v>
      </c>
      <c r="J42">
        <v>0</v>
      </c>
      <c r="K42">
        <v>89.96</v>
      </c>
      <c r="L42">
        <f t="shared" si="0"/>
        <v>89.96</v>
      </c>
      <c r="M42" t="str">
        <f t="shared" si="1"/>
        <v>Pass</v>
      </c>
      <c r="N42" t="s">
        <v>3271</v>
      </c>
    </row>
    <row r="43" spans="1:14" x14ac:dyDescent="0.25">
      <c r="A43" t="s">
        <v>1182</v>
      </c>
      <c r="B43" t="s">
        <v>995</v>
      </c>
      <c r="C43" t="s">
        <v>318</v>
      </c>
      <c r="D43" t="s">
        <v>996</v>
      </c>
      <c r="E43" s="1">
        <v>45658.009027777778</v>
      </c>
      <c r="F43" s="1">
        <v>45667.009027777778</v>
      </c>
      <c r="G43" t="s">
        <v>675</v>
      </c>
      <c r="H43" s="11">
        <v>35</v>
      </c>
      <c r="I43" s="15">
        <v>6.77</v>
      </c>
      <c r="J43">
        <v>2.5</v>
      </c>
      <c r="K43">
        <v>231.03</v>
      </c>
      <c r="L43">
        <f t="shared" si="0"/>
        <v>231.03</v>
      </c>
      <c r="M43" t="str">
        <f t="shared" si="1"/>
        <v>Pass</v>
      </c>
      <c r="N43" t="s">
        <v>1248</v>
      </c>
    </row>
    <row r="44" spans="1:14" x14ac:dyDescent="0.25">
      <c r="A44" t="s">
        <v>1183</v>
      </c>
      <c r="B44" t="s">
        <v>998</v>
      </c>
      <c r="C44" t="s">
        <v>217</v>
      </c>
      <c r="D44" t="s">
        <v>999</v>
      </c>
      <c r="E44" s="1">
        <v>45708.214583333334</v>
      </c>
      <c r="F44" s="1">
        <v>45713.214583333334</v>
      </c>
      <c r="G44" t="s">
        <v>882</v>
      </c>
      <c r="H44" s="11">
        <v>207</v>
      </c>
      <c r="I44" s="15">
        <v>3.53</v>
      </c>
      <c r="J44">
        <v>10</v>
      </c>
      <c r="K44">
        <v>657.64</v>
      </c>
      <c r="L44">
        <f t="shared" si="0"/>
        <v>657.64</v>
      </c>
      <c r="M44" t="str">
        <f t="shared" si="1"/>
        <v>Pass</v>
      </c>
      <c r="N44" t="s">
        <v>1248</v>
      </c>
    </row>
    <row r="45" spans="1:14" x14ac:dyDescent="0.25">
      <c r="A45" t="s">
        <v>1184</v>
      </c>
      <c r="B45" t="s">
        <v>998</v>
      </c>
      <c r="C45" t="s">
        <v>217</v>
      </c>
      <c r="D45" t="s">
        <v>999</v>
      </c>
      <c r="E45" s="1">
        <v>45708.214583333334</v>
      </c>
      <c r="F45" s="1">
        <v>45713.214583333334</v>
      </c>
      <c r="G45" t="s">
        <v>753</v>
      </c>
      <c r="H45" s="11">
        <v>51</v>
      </c>
      <c r="I45" s="15">
        <v>2.3199999999999998</v>
      </c>
      <c r="J45">
        <v>0</v>
      </c>
      <c r="K45">
        <v>118.32</v>
      </c>
      <c r="L45">
        <f t="shared" si="0"/>
        <v>118.32</v>
      </c>
      <c r="M45" t="str">
        <f t="shared" si="1"/>
        <v>Pass</v>
      </c>
      <c r="N45" t="s">
        <v>3271</v>
      </c>
    </row>
    <row r="46" spans="1:14" x14ac:dyDescent="0.25">
      <c r="A46" t="s">
        <v>1185</v>
      </c>
      <c r="B46" t="s">
        <v>998</v>
      </c>
      <c r="C46" t="s">
        <v>217</v>
      </c>
      <c r="D46" t="s">
        <v>999</v>
      </c>
      <c r="E46" s="1">
        <v>45708.214583333334</v>
      </c>
      <c r="F46" s="1">
        <v>45713.214583333334</v>
      </c>
      <c r="G46" t="s">
        <v>864</v>
      </c>
      <c r="H46" s="11">
        <v>11</v>
      </c>
      <c r="I46" s="15">
        <v>5.82</v>
      </c>
      <c r="J46">
        <v>0</v>
      </c>
      <c r="K46">
        <v>64.02</v>
      </c>
      <c r="L46">
        <f t="shared" si="0"/>
        <v>64.02</v>
      </c>
      <c r="M46" t="str">
        <f t="shared" si="1"/>
        <v>Pass</v>
      </c>
      <c r="N46" t="s">
        <v>1248</v>
      </c>
    </row>
    <row r="47" spans="1:14" x14ac:dyDescent="0.25">
      <c r="A47" t="s">
        <v>1186</v>
      </c>
      <c r="B47" t="s">
        <v>1001</v>
      </c>
      <c r="C47" t="s">
        <v>364</v>
      </c>
      <c r="D47" t="s">
        <v>959</v>
      </c>
      <c r="E47" s="1">
        <v>45670.297222222223</v>
      </c>
      <c r="F47" s="1">
        <v>45680.297222222223</v>
      </c>
      <c r="G47" t="s">
        <v>810</v>
      </c>
      <c r="H47" s="11">
        <v>206</v>
      </c>
      <c r="I47" s="15">
        <v>11.73</v>
      </c>
      <c r="J47">
        <v>0</v>
      </c>
      <c r="K47">
        <v>2416.38</v>
      </c>
      <c r="L47">
        <f t="shared" si="0"/>
        <v>2416.38</v>
      </c>
      <c r="M47" t="str">
        <f t="shared" si="1"/>
        <v>Pass</v>
      </c>
      <c r="N47" t="s">
        <v>1258</v>
      </c>
    </row>
    <row r="48" spans="1:14" x14ac:dyDescent="0.25">
      <c r="A48" t="s">
        <v>1187</v>
      </c>
      <c r="B48" t="s">
        <v>1001</v>
      </c>
      <c r="C48" t="s">
        <v>364</v>
      </c>
      <c r="D48" t="s">
        <v>959</v>
      </c>
      <c r="E48" s="1">
        <v>45670.297222222223</v>
      </c>
      <c r="F48" s="1">
        <v>45680.297222222223</v>
      </c>
      <c r="G48" t="s">
        <v>539</v>
      </c>
      <c r="H48" s="11">
        <v>215</v>
      </c>
      <c r="I48" s="15">
        <v>6.24</v>
      </c>
      <c r="J48">
        <v>0</v>
      </c>
      <c r="K48">
        <v>1341.6</v>
      </c>
      <c r="L48">
        <f t="shared" si="0"/>
        <v>1341.6</v>
      </c>
      <c r="M48" t="str">
        <f t="shared" si="1"/>
        <v>Pass</v>
      </c>
      <c r="N48" t="s">
        <v>1248</v>
      </c>
    </row>
    <row r="49" spans="1:14" x14ac:dyDescent="0.25">
      <c r="A49" t="s">
        <v>1188</v>
      </c>
      <c r="B49" t="s">
        <v>1001</v>
      </c>
      <c r="C49" t="s">
        <v>364</v>
      </c>
      <c r="D49" t="s">
        <v>959</v>
      </c>
      <c r="E49" s="1">
        <v>45670.297222222223</v>
      </c>
      <c r="F49" s="1">
        <v>45680.297222222223</v>
      </c>
      <c r="G49" t="s">
        <v>624</v>
      </c>
      <c r="H49" s="11">
        <v>170</v>
      </c>
      <c r="I49" s="15">
        <v>3.9</v>
      </c>
      <c r="J49">
        <v>2.5</v>
      </c>
      <c r="K49">
        <v>646.41999999999996</v>
      </c>
      <c r="L49">
        <f t="shared" si="0"/>
        <v>646.42999999999995</v>
      </c>
      <c r="M49" t="str">
        <f t="shared" si="1"/>
        <v>Pass</v>
      </c>
      <c r="N49" t="s">
        <v>1258</v>
      </c>
    </row>
    <row r="50" spans="1:14" x14ac:dyDescent="0.25">
      <c r="A50" t="s">
        <v>1189</v>
      </c>
      <c r="B50" t="s">
        <v>1002</v>
      </c>
      <c r="C50" t="s">
        <v>214</v>
      </c>
      <c r="D50" t="s">
        <v>980</v>
      </c>
      <c r="E50" s="1">
        <v>45718.099305555559</v>
      </c>
      <c r="F50" s="1">
        <v>45738.099305555559</v>
      </c>
      <c r="G50" t="s">
        <v>708</v>
      </c>
      <c r="H50" s="11">
        <v>92</v>
      </c>
      <c r="I50" s="15">
        <v>10.65</v>
      </c>
      <c r="J50">
        <v>5</v>
      </c>
      <c r="K50">
        <v>930.81</v>
      </c>
      <c r="L50">
        <f t="shared" si="0"/>
        <v>930.81</v>
      </c>
      <c r="M50" t="str">
        <f t="shared" si="1"/>
        <v>Pass</v>
      </c>
      <c r="N50" t="s">
        <v>1258</v>
      </c>
    </row>
    <row r="51" spans="1:14" x14ac:dyDescent="0.25">
      <c r="A51" t="s">
        <v>1190</v>
      </c>
      <c r="B51" t="s">
        <v>1002</v>
      </c>
      <c r="C51" t="s">
        <v>214</v>
      </c>
      <c r="D51" t="s">
        <v>980</v>
      </c>
      <c r="E51" s="1">
        <v>45718.099305555559</v>
      </c>
      <c r="F51" s="1">
        <v>45738.099305555559</v>
      </c>
      <c r="G51" t="s">
        <v>699</v>
      </c>
      <c r="H51" s="11">
        <v>165</v>
      </c>
      <c r="I51" s="15">
        <v>1.76</v>
      </c>
      <c r="J51">
        <v>7.5</v>
      </c>
      <c r="K51">
        <v>268.62</v>
      </c>
      <c r="L51">
        <f t="shared" si="0"/>
        <v>268.62</v>
      </c>
      <c r="M51" t="str">
        <f t="shared" si="1"/>
        <v>Pass</v>
      </c>
      <c r="N51" t="s">
        <v>1258</v>
      </c>
    </row>
    <row r="52" spans="1:14" x14ac:dyDescent="0.25">
      <c r="A52" t="s">
        <v>1191</v>
      </c>
      <c r="B52" t="s">
        <v>1002</v>
      </c>
      <c r="C52" t="s">
        <v>214</v>
      </c>
      <c r="D52" t="s">
        <v>980</v>
      </c>
      <c r="E52" s="1">
        <v>45718.099305555559</v>
      </c>
      <c r="F52" s="1">
        <v>45738.099305555559</v>
      </c>
      <c r="G52" t="s">
        <v>708</v>
      </c>
      <c r="H52" s="11">
        <v>146</v>
      </c>
      <c r="I52" s="15">
        <v>10.34</v>
      </c>
      <c r="J52">
        <v>10</v>
      </c>
      <c r="K52">
        <v>1358.68</v>
      </c>
      <c r="L52">
        <f t="shared" si="0"/>
        <v>1358.68</v>
      </c>
      <c r="M52" t="str">
        <f t="shared" si="1"/>
        <v>Pass</v>
      </c>
      <c r="N52" t="s">
        <v>1258</v>
      </c>
    </row>
    <row r="53" spans="1:14" x14ac:dyDescent="0.25">
      <c r="A53" t="s">
        <v>1192</v>
      </c>
      <c r="B53" t="s">
        <v>1003</v>
      </c>
      <c r="C53" t="s">
        <v>116</v>
      </c>
      <c r="D53" t="s">
        <v>964</v>
      </c>
      <c r="E53" s="1">
        <v>45685.084027777775</v>
      </c>
      <c r="F53" s="1">
        <v>45695.084027777775</v>
      </c>
      <c r="G53" t="s">
        <v>639</v>
      </c>
      <c r="H53" s="11">
        <v>165</v>
      </c>
      <c r="I53" s="15">
        <v>14.22</v>
      </c>
      <c r="J53">
        <v>7.5</v>
      </c>
      <c r="K53">
        <v>2170.33</v>
      </c>
      <c r="L53">
        <f t="shared" si="0"/>
        <v>2170.33</v>
      </c>
      <c r="M53" t="str">
        <f t="shared" si="1"/>
        <v>Pass</v>
      </c>
      <c r="N53" t="s">
        <v>1258</v>
      </c>
    </row>
    <row r="54" spans="1:14" x14ac:dyDescent="0.25">
      <c r="A54" t="s">
        <v>1193</v>
      </c>
      <c r="B54" t="s">
        <v>1003</v>
      </c>
      <c r="C54" t="s">
        <v>116</v>
      </c>
      <c r="D54" t="s">
        <v>964</v>
      </c>
      <c r="E54" s="1">
        <v>45685.084027777775</v>
      </c>
      <c r="F54" s="1">
        <v>45695.084027777775</v>
      </c>
      <c r="G54" t="s">
        <v>639</v>
      </c>
      <c r="H54" s="11">
        <v>200</v>
      </c>
      <c r="I54" s="15">
        <v>15.02</v>
      </c>
      <c r="J54">
        <v>5</v>
      </c>
      <c r="K54">
        <v>2853.8</v>
      </c>
      <c r="L54">
        <f t="shared" si="0"/>
        <v>2853.8</v>
      </c>
      <c r="M54" t="str">
        <f t="shared" si="1"/>
        <v>Pass</v>
      </c>
      <c r="N54" t="s">
        <v>1258</v>
      </c>
    </row>
    <row r="55" spans="1:14" x14ac:dyDescent="0.25">
      <c r="A55" t="s">
        <v>1194</v>
      </c>
      <c r="B55" t="s">
        <v>1003</v>
      </c>
      <c r="C55" t="s">
        <v>116</v>
      </c>
      <c r="D55" t="s">
        <v>964</v>
      </c>
      <c r="E55" s="1">
        <v>45685.084027777775</v>
      </c>
      <c r="F55" s="1">
        <v>45695.084027777775</v>
      </c>
      <c r="G55" t="s">
        <v>639</v>
      </c>
      <c r="H55" s="11">
        <v>35</v>
      </c>
      <c r="I55" s="15">
        <v>14.59</v>
      </c>
      <c r="J55">
        <v>10</v>
      </c>
      <c r="K55">
        <v>459.58</v>
      </c>
      <c r="L55">
        <f t="shared" si="0"/>
        <v>459.59</v>
      </c>
      <c r="M55" t="str">
        <f t="shared" si="1"/>
        <v>Pass</v>
      </c>
      <c r="N55" t="s">
        <v>3271</v>
      </c>
    </row>
    <row r="56" spans="1:14" x14ac:dyDescent="0.25">
      <c r="A56" t="s">
        <v>1195</v>
      </c>
      <c r="B56" t="s">
        <v>1004</v>
      </c>
      <c r="C56" t="s">
        <v>28</v>
      </c>
      <c r="D56" t="s">
        <v>959</v>
      </c>
      <c r="E56" s="1">
        <v>45696.43472222222</v>
      </c>
      <c r="F56" s="1">
        <v>45717.43472222222</v>
      </c>
      <c r="G56" t="s">
        <v>699</v>
      </c>
      <c r="H56" s="11">
        <v>127</v>
      </c>
      <c r="I56" s="15">
        <v>1.7</v>
      </c>
      <c r="J56">
        <v>0</v>
      </c>
      <c r="K56">
        <v>215.9</v>
      </c>
      <c r="L56">
        <f t="shared" si="0"/>
        <v>215.9</v>
      </c>
      <c r="M56" t="str">
        <f t="shared" si="1"/>
        <v>Pass</v>
      </c>
      <c r="N56" t="s">
        <v>1248</v>
      </c>
    </row>
    <row r="57" spans="1:14" x14ac:dyDescent="0.25">
      <c r="A57" t="s">
        <v>1196</v>
      </c>
      <c r="B57" t="s">
        <v>1004</v>
      </c>
      <c r="C57" t="s">
        <v>28</v>
      </c>
      <c r="D57" t="s">
        <v>959</v>
      </c>
      <c r="E57" s="1">
        <v>45696.43472222222</v>
      </c>
      <c r="F57" s="1">
        <v>45717.43472222222</v>
      </c>
      <c r="G57" t="s">
        <v>606</v>
      </c>
      <c r="H57" s="11">
        <v>24</v>
      </c>
      <c r="I57" s="15">
        <v>2.4700000000000002</v>
      </c>
      <c r="J57">
        <v>0</v>
      </c>
      <c r="K57">
        <v>59.28</v>
      </c>
      <c r="L57">
        <f t="shared" si="0"/>
        <v>59.28</v>
      </c>
      <c r="M57" t="str">
        <f t="shared" si="1"/>
        <v>Pass</v>
      </c>
      <c r="N57" t="s">
        <v>1258</v>
      </c>
    </row>
    <row r="58" spans="1:14" x14ac:dyDescent="0.25">
      <c r="A58" t="s">
        <v>1197</v>
      </c>
      <c r="B58" t="s">
        <v>1004</v>
      </c>
      <c r="C58" t="s">
        <v>28</v>
      </c>
      <c r="D58" t="s">
        <v>959</v>
      </c>
      <c r="E58" s="1">
        <v>45696.43472222222</v>
      </c>
      <c r="F58" s="1">
        <v>45717.43472222222</v>
      </c>
      <c r="G58" t="s">
        <v>490</v>
      </c>
      <c r="H58" s="11">
        <v>220</v>
      </c>
      <c r="I58" s="15">
        <v>15.84</v>
      </c>
      <c r="J58">
        <v>0</v>
      </c>
      <c r="K58">
        <v>3484.8</v>
      </c>
      <c r="L58">
        <f t="shared" si="0"/>
        <v>3484.8</v>
      </c>
      <c r="M58" t="str">
        <f t="shared" si="1"/>
        <v>Pass</v>
      </c>
      <c r="N58" t="s">
        <v>1258</v>
      </c>
    </row>
    <row r="59" spans="1:14" x14ac:dyDescent="0.25">
      <c r="A59" t="s">
        <v>1198</v>
      </c>
      <c r="B59" t="s">
        <v>1005</v>
      </c>
      <c r="C59" t="s">
        <v>336</v>
      </c>
      <c r="D59" t="s">
        <v>990</v>
      </c>
      <c r="E59" s="1">
        <v>45701.474999999999</v>
      </c>
      <c r="F59" s="1">
        <v>45720.474999999999</v>
      </c>
      <c r="G59" t="s">
        <v>894</v>
      </c>
      <c r="H59" s="11">
        <v>19</v>
      </c>
      <c r="I59" s="15">
        <v>8.24</v>
      </c>
      <c r="J59">
        <v>2.5</v>
      </c>
      <c r="K59">
        <v>152.65</v>
      </c>
      <c r="L59">
        <f t="shared" si="0"/>
        <v>152.65</v>
      </c>
      <c r="M59" t="str">
        <f t="shared" si="1"/>
        <v>Pass</v>
      </c>
      <c r="N59" t="s">
        <v>1248</v>
      </c>
    </row>
    <row r="60" spans="1:14" x14ac:dyDescent="0.25">
      <c r="A60" t="s">
        <v>1199</v>
      </c>
      <c r="B60" t="s">
        <v>1005</v>
      </c>
      <c r="C60" t="s">
        <v>336</v>
      </c>
      <c r="D60" t="s">
        <v>990</v>
      </c>
      <c r="E60" s="1">
        <v>45701.474999999999</v>
      </c>
      <c r="F60" s="1">
        <v>45720.474999999999</v>
      </c>
      <c r="G60" t="s">
        <v>933</v>
      </c>
      <c r="H60" s="11">
        <v>74</v>
      </c>
      <c r="I60" s="15">
        <v>4.57</v>
      </c>
      <c r="J60">
        <v>7.5</v>
      </c>
      <c r="K60">
        <v>312.82</v>
      </c>
      <c r="L60">
        <f t="shared" si="0"/>
        <v>312.82</v>
      </c>
      <c r="M60" t="str">
        <f t="shared" si="1"/>
        <v>Pass</v>
      </c>
      <c r="N60" t="s">
        <v>1258</v>
      </c>
    </row>
    <row r="61" spans="1:14" x14ac:dyDescent="0.25">
      <c r="A61" t="s">
        <v>1200</v>
      </c>
      <c r="B61" t="s">
        <v>1005</v>
      </c>
      <c r="C61" t="s">
        <v>336</v>
      </c>
      <c r="D61" t="s">
        <v>990</v>
      </c>
      <c r="E61" s="1">
        <v>45701.474999999999</v>
      </c>
      <c r="F61" s="1">
        <v>45720.474999999999</v>
      </c>
      <c r="G61" t="s">
        <v>876</v>
      </c>
      <c r="H61" s="11">
        <v>50</v>
      </c>
      <c r="I61" s="15">
        <v>6.22</v>
      </c>
      <c r="J61">
        <v>5</v>
      </c>
      <c r="K61">
        <v>295.45</v>
      </c>
      <c r="L61">
        <f t="shared" si="0"/>
        <v>295.45</v>
      </c>
      <c r="M61" t="str">
        <f t="shared" si="1"/>
        <v>Pass</v>
      </c>
      <c r="N61" t="s">
        <v>1248</v>
      </c>
    </row>
    <row r="62" spans="1:14" x14ac:dyDescent="0.25">
      <c r="A62" t="s">
        <v>1201</v>
      </c>
      <c r="B62" t="s">
        <v>1006</v>
      </c>
      <c r="C62" t="s">
        <v>346</v>
      </c>
      <c r="D62" t="s">
        <v>976</v>
      </c>
      <c r="E62" s="1">
        <v>45694.382638888892</v>
      </c>
      <c r="F62" s="1">
        <v>45714.382638888892</v>
      </c>
      <c r="G62" t="s">
        <v>588</v>
      </c>
      <c r="H62" s="11">
        <v>215</v>
      </c>
      <c r="I62" s="15">
        <v>2.58</v>
      </c>
      <c r="J62">
        <v>0</v>
      </c>
      <c r="K62">
        <v>554.70000000000005</v>
      </c>
      <c r="L62">
        <f t="shared" si="0"/>
        <v>554.70000000000005</v>
      </c>
      <c r="M62" t="str">
        <f t="shared" si="1"/>
        <v>Pass</v>
      </c>
      <c r="N62" t="s">
        <v>1258</v>
      </c>
    </row>
    <row r="63" spans="1:14" x14ac:dyDescent="0.25">
      <c r="A63" t="s">
        <v>1202</v>
      </c>
      <c r="B63" t="s">
        <v>1006</v>
      </c>
      <c r="C63" t="s">
        <v>346</v>
      </c>
      <c r="D63" t="s">
        <v>976</v>
      </c>
      <c r="E63" s="1">
        <v>45694.382638888892</v>
      </c>
      <c r="F63" s="1">
        <v>45714.382638888892</v>
      </c>
      <c r="G63" t="s">
        <v>675</v>
      </c>
      <c r="H63" s="11">
        <v>167</v>
      </c>
      <c r="I63" s="15">
        <v>7.05</v>
      </c>
      <c r="J63">
        <v>7.5</v>
      </c>
      <c r="K63">
        <v>1089.05</v>
      </c>
      <c r="L63">
        <f t="shared" si="0"/>
        <v>1089.05</v>
      </c>
      <c r="M63" t="str">
        <f t="shared" si="1"/>
        <v>Pass</v>
      </c>
      <c r="N63" t="s">
        <v>3271</v>
      </c>
    </row>
    <row r="64" spans="1:14" x14ac:dyDescent="0.25">
      <c r="A64" t="s">
        <v>1203</v>
      </c>
      <c r="B64" t="s">
        <v>1006</v>
      </c>
      <c r="C64" t="s">
        <v>346</v>
      </c>
      <c r="D64" t="s">
        <v>976</v>
      </c>
      <c r="E64" s="1">
        <v>45694.382638888892</v>
      </c>
      <c r="F64" s="1">
        <v>45714.382638888892</v>
      </c>
      <c r="G64" t="s">
        <v>777</v>
      </c>
      <c r="H64" s="11">
        <v>70</v>
      </c>
      <c r="I64" s="15">
        <v>16.23</v>
      </c>
      <c r="J64">
        <v>2.5</v>
      </c>
      <c r="K64">
        <v>1107.7</v>
      </c>
      <c r="L64">
        <f t="shared" si="0"/>
        <v>1107.7</v>
      </c>
      <c r="M64" t="str">
        <f t="shared" si="1"/>
        <v>Pass</v>
      </c>
      <c r="N64" t="s">
        <v>1248</v>
      </c>
    </row>
    <row r="65" spans="1:14" x14ac:dyDescent="0.25">
      <c r="A65" t="s">
        <v>1204</v>
      </c>
      <c r="B65" t="s">
        <v>1007</v>
      </c>
      <c r="C65" t="s">
        <v>342</v>
      </c>
      <c r="D65" t="s">
        <v>968</v>
      </c>
      <c r="E65" s="1">
        <v>45699.070138888892</v>
      </c>
      <c r="F65" s="1">
        <v>45712.070138888892</v>
      </c>
      <c r="G65" t="s">
        <v>530</v>
      </c>
      <c r="H65" s="11">
        <v>102</v>
      </c>
      <c r="I65" s="15">
        <v>13.14</v>
      </c>
      <c r="J65">
        <v>7.5</v>
      </c>
      <c r="K65">
        <v>1239.76</v>
      </c>
      <c r="L65">
        <f t="shared" si="0"/>
        <v>1239.76</v>
      </c>
      <c r="M65" t="str">
        <f t="shared" si="1"/>
        <v>Pass</v>
      </c>
      <c r="N65" t="s">
        <v>3271</v>
      </c>
    </row>
    <row r="66" spans="1:14" x14ac:dyDescent="0.25">
      <c r="A66" t="s">
        <v>1205</v>
      </c>
      <c r="B66" t="s">
        <v>1007</v>
      </c>
      <c r="C66" t="s">
        <v>342</v>
      </c>
      <c r="D66" t="s">
        <v>968</v>
      </c>
      <c r="E66" s="1">
        <v>45699.070138888892</v>
      </c>
      <c r="F66" s="1">
        <v>45712.070138888892</v>
      </c>
      <c r="G66" t="s">
        <v>530</v>
      </c>
      <c r="H66" s="11">
        <v>211</v>
      </c>
      <c r="I66" s="15">
        <v>14.32</v>
      </c>
      <c r="J66">
        <v>5</v>
      </c>
      <c r="K66">
        <v>2870.44</v>
      </c>
      <c r="L66">
        <f t="shared" ref="L66:L129" si="2">ROUND((H66*I66)-(J66/100)*(H66*I66),2)</f>
        <v>2870.44</v>
      </c>
      <c r="M66" t="str">
        <f t="shared" ref="M66:M129" si="3">IF(K66=L66,"Pass",IF(K66=L66-0.01,"Pass","Investigate"))</f>
        <v>Pass</v>
      </c>
      <c r="N66" t="s">
        <v>1258</v>
      </c>
    </row>
    <row r="67" spans="1:14" x14ac:dyDescent="0.25">
      <c r="A67" t="s">
        <v>1206</v>
      </c>
      <c r="B67" t="s">
        <v>1007</v>
      </c>
      <c r="C67" t="s">
        <v>342</v>
      </c>
      <c r="D67" t="s">
        <v>968</v>
      </c>
      <c r="E67" s="1">
        <v>45699.070138888892</v>
      </c>
      <c r="F67" s="1">
        <v>45712.070138888892</v>
      </c>
      <c r="G67" t="s">
        <v>729</v>
      </c>
      <c r="H67" s="11">
        <v>30</v>
      </c>
      <c r="I67" s="15">
        <v>12.64</v>
      </c>
      <c r="J67">
        <v>5</v>
      </c>
      <c r="K67">
        <v>360.24</v>
      </c>
      <c r="L67">
        <f t="shared" si="2"/>
        <v>360.24</v>
      </c>
      <c r="M67" t="str">
        <f t="shared" si="3"/>
        <v>Pass</v>
      </c>
      <c r="N67" t="s">
        <v>3271</v>
      </c>
    </row>
    <row r="68" spans="1:14" x14ac:dyDescent="0.25">
      <c r="A68" t="s">
        <v>1207</v>
      </c>
      <c r="B68" t="s">
        <v>1008</v>
      </c>
      <c r="C68" t="s">
        <v>330</v>
      </c>
      <c r="D68" t="s">
        <v>976</v>
      </c>
      <c r="E68" s="1">
        <v>45720.807638888888</v>
      </c>
      <c r="F68" s="1">
        <v>45729.807638888888</v>
      </c>
      <c r="G68" t="s">
        <v>579</v>
      </c>
      <c r="H68" s="11">
        <v>210</v>
      </c>
      <c r="I68" s="15">
        <v>6.84</v>
      </c>
      <c r="J68">
        <v>10</v>
      </c>
      <c r="K68">
        <v>1292.76</v>
      </c>
      <c r="L68">
        <f t="shared" si="2"/>
        <v>1292.76</v>
      </c>
      <c r="M68" t="str">
        <f t="shared" si="3"/>
        <v>Pass</v>
      </c>
      <c r="N68" t="s">
        <v>1248</v>
      </c>
    </row>
    <row r="69" spans="1:14" x14ac:dyDescent="0.25">
      <c r="A69" t="s">
        <v>1208</v>
      </c>
      <c r="B69" t="s">
        <v>1008</v>
      </c>
      <c r="C69" t="s">
        <v>330</v>
      </c>
      <c r="D69" t="s">
        <v>976</v>
      </c>
      <c r="E69" s="1">
        <v>45720.807638888888</v>
      </c>
      <c r="F69" s="1">
        <v>45729.807638888888</v>
      </c>
      <c r="G69" t="s">
        <v>657</v>
      </c>
      <c r="H69" s="11">
        <v>221</v>
      </c>
      <c r="I69" s="15">
        <v>16.34</v>
      </c>
      <c r="J69">
        <v>7.5</v>
      </c>
      <c r="K69">
        <v>3340.3</v>
      </c>
      <c r="L69">
        <f t="shared" si="2"/>
        <v>3340.3</v>
      </c>
      <c r="M69" t="str">
        <f t="shared" si="3"/>
        <v>Pass</v>
      </c>
      <c r="N69" t="s">
        <v>1248</v>
      </c>
    </row>
    <row r="70" spans="1:14" x14ac:dyDescent="0.25">
      <c r="A70" t="s">
        <v>1209</v>
      </c>
      <c r="B70" t="s">
        <v>1008</v>
      </c>
      <c r="C70" t="s">
        <v>330</v>
      </c>
      <c r="D70" t="s">
        <v>976</v>
      </c>
      <c r="E70" s="1">
        <v>45720.807638888888</v>
      </c>
      <c r="F70" s="1">
        <v>45729.807638888888</v>
      </c>
      <c r="G70" t="s">
        <v>657</v>
      </c>
      <c r="H70" s="11">
        <v>65</v>
      </c>
      <c r="I70" s="15">
        <v>14.67</v>
      </c>
      <c r="J70">
        <v>0</v>
      </c>
      <c r="K70">
        <v>953.55</v>
      </c>
      <c r="L70">
        <f t="shared" si="2"/>
        <v>953.55</v>
      </c>
      <c r="M70" t="str">
        <f t="shared" si="3"/>
        <v>Pass</v>
      </c>
      <c r="N70" t="s">
        <v>1258</v>
      </c>
    </row>
    <row r="71" spans="1:14" x14ac:dyDescent="0.25">
      <c r="A71" t="s">
        <v>1210</v>
      </c>
      <c r="B71" t="s">
        <v>1009</v>
      </c>
      <c r="C71" t="s">
        <v>352</v>
      </c>
      <c r="D71" t="s">
        <v>972</v>
      </c>
      <c r="E71" s="1">
        <v>45721.599305555559</v>
      </c>
      <c r="F71" s="1">
        <v>45728.599305555559</v>
      </c>
      <c r="G71" t="s">
        <v>490</v>
      </c>
      <c r="H71" s="11">
        <v>232</v>
      </c>
      <c r="I71" s="15">
        <v>16.690000000000001</v>
      </c>
      <c r="J71">
        <v>5</v>
      </c>
      <c r="K71">
        <v>3678.48</v>
      </c>
      <c r="L71">
        <f t="shared" si="2"/>
        <v>3678.48</v>
      </c>
      <c r="M71" t="str">
        <f t="shared" si="3"/>
        <v>Pass</v>
      </c>
      <c r="N71" t="s">
        <v>1248</v>
      </c>
    </row>
    <row r="72" spans="1:14" x14ac:dyDescent="0.25">
      <c r="A72" t="s">
        <v>1211</v>
      </c>
      <c r="B72" t="s">
        <v>1009</v>
      </c>
      <c r="C72" t="s">
        <v>352</v>
      </c>
      <c r="D72" t="s">
        <v>972</v>
      </c>
      <c r="E72" s="1">
        <v>45721.599305555559</v>
      </c>
      <c r="F72" s="1">
        <v>45728.599305555559</v>
      </c>
      <c r="G72" t="s">
        <v>690</v>
      </c>
      <c r="H72" s="11">
        <v>68</v>
      </c>
      <c r="I72" s="15">
        <v>6.3</v>
      </c>
      <c r="J72">
        <v>10</v>
      </c>
      <c r="K72">
        <v>385.56</v>
      </c>
      <c r="L72">
        <f t="shared" si="2"/>
        <v>385.56</v>
      </c>
      <c r="M72" t="str">
        <f t="shared" si="3"/>
        <v>Pass</v>
      </c>
      <c r="N72" t="s">
        <v>1248</v>
      </c>
    </row>
    <row r="73" spans="1:14" x14ac:dyDescent="0.25">
      <c r="A73" t="s">
        <v>1212</v>
      </c>
      <c r="B73" t="s">
        <v>1010</v>
      </c>
      <c r="C73" t="s">
        <v>202</v>
      </c>
      <c r="D73" t="s">
        <v>987</v>
      </c>
      <c r="E73" s="1">
        <v>45717.691666666666</v>
      </c>
      <c r="F73" s="1">
        <v>45723.691666666666</v>
      </c>
      <c r="G73" t="s">
        <v>915</v>
      </c>
      <c r="H73" s="11">
        <v>173</v>
      </c>
      <c r="I73" s="15">
        <v>10.28</v>
      </c>
      <c r="J73">
        <v>5</v>
      </c>
      <c r="K73">
        <v>1689.52</v>
      </c>
      <c r="L73">
        <f t="shared" si="2"/>
        <v>1689.52</v>
      </c>
      <c r="M73" t="str">
        <f t="shared" si="3"/>
        <v>Pass</v>
      </c>
      <c r="N73" t="s">
        <v>1258</v>
      </c>
    </row>
    <row r="74" spans="1:14" x14ac:dyDescent="0.25">
      <c r="A74" t="s">
        <v>1213</v>
      </c>
      <c r="B74" t="s">
        <v>1010</v>
      </c>
      <c r="C74" t="s">
        <v>202</v>
      </c>
      <c r="D74" t="s">
        <v>987</v>
      </c>
      <c r="E74" s="1">
        <v>45717.691666666666</v>
      </c>
      <c r="F74" s="1">
        <v>45723.691666666666</v>
      </c>
      <c r="G74" t="s">
        <v>533</v>
      </c>
      <c r="H74" s="11">
        <v>166</v>
      </c>
      <c r="I74" s="15">
        <v>13</v>
      </c>
      <c r="J74">
        <v>10</v>
      </c>
      <c r="K74">
        <v>1942.2</v>
      </c>
      <c r="L74">
        <f t="shared" si="2"/>
        <v>1942.2</v>
      </c>
      <c r="M74" t="str">
        <f t="shared" si="3"/>
        <v>Pass</v>
      </c>
      <c r="N74" t="s">
        <v>1258</v>
      </c>
    </row>
    <row r="75" spans="1:14" x14ac:dyDescent="0.25">
      <c r="A75" t="s">
        <v>1214</v>
      </c>
      <c r="B75" t="s">
        <v>1010</v>
      </c>
      <c r="C75" t="s">
        <v>202</v>
      </c>
      <c r="D75" t="s">
        <v>987</v>
      </c>
      <c r="E75" s="1">
        <v>45717.691666666666</v>
      </c>
      <c r="F75" s="1">
        <v>45723.691666666666</v>
      </c>
      <c r="G75" t="s">
        <v>915</v>
      </c>
      <c r="H75" s="11">
        <v>119</v>
      </c>
      <c r="I75" s="15">
        <v>9.48</v>
      </c>
      <c r="J75">
        <v>2.5</v>
      </c>
      <c r="K75">
        <v>1099.92</v>
      </c>
      <c r="L75">
        <f t="shared" si="2"/>
        <v>1099.92</v>
      </c>
      <c r="M75" t="str">
        <f t="shared" si="3"/>
        <v>Pass</v>
      </c>
      <c r="N75" t="s">
        <v>3271</v>
      </c>
    </row>
    <row r="76" spans="1:14" x14ac:dyDescent="0.25">
      <c r="A76" t="s">
        <v>1215</v>
      </c>
      <c r="B76" t="s">
        <v>1011</v>
      </c>
      <c r="C76" t="s">
        <v>59</v>
      </c>
      <c r="D76" t="s">
        <v>999</v>
      </c>
      <c r="E76" s="1">
        <v>45727.642361111109</v>
      </c>
      <c r="F76" s="1">
        <v>45730.642361111109</v>
      </c>
      <c r="G76" t="s">
        <v>401</v>
      </c>
      <c r="H76" s="11">
        <v>220</v>
      </c>
      <c r="I76" s="15">
        <v>5.99</v>
      </c>
      <c r="J76">
        <v>0</v>
      </c>
      <c r="K76">
        <v>1317.8</v>
      </c>
      <c r="L76">
        <f t="shared" si="2"/>
        <v>1317.8</v>
      </c>
      <c r="M76" t="str">
        <f t="shared" si="3"/>
        <v>Pass</v>
      </c>
      <c r="N76" t="s">
        <v>3271</v>
      </c>
    </row>
    <row r="77" spans="1:14" x14ac:dyDescent="0.25">
      <c r="A77" t="s">
        <v>1216</v>
      </c>
      <c r="B77" t="s">
        <v>1011</v>
      </c>
      <c r="C77" t="s">
        <v>59</v>
      </c>
      <c r="D77" t="s">
        <v>999</v>
      </c>
      <c r="E77" s="1">
        <v>45727.642361111109</v>
      </c>
      <c r="F77" s="1">
        <v>45730.642361111109</v>
      </c>
      <c r="G77" t="s">
        <v>401</v>
      </c>
      <c r="H77" s="11">
        <v>193</v>
      </c>
      <c r="I77" s="15">
        <v>5.92</v>
      </c>
      <c r="J77">
        <v>7.5</v>
      </c>
      <c r="K77">
        <v>1056.8699999999999</v>
      </c>
      <c r="L77">
        <f t="shared" si="2"/>
        <v>1056.8699999999999</v>
      </c>
      <c r="M77" t="str">
        <f t="shared" si="3"/>
        <v>Pass</v>
      </c>
      <c r="N77" t="s">
        <v>1258</v>
      </c>
    </row>
    <row r="78" spans="1:14" x14ac:dyDescent="0.25">
      <c r="A78" t="s">
        <v>1217</v>
      </c>
      <c r="B78" t="s">
        <v>1012</v>
      </c>
      <c r="C78" t="s">
        <v>344</v>
      </c>
      <c r="D78" t="s">
        <v>987</v>
      </c>
      <c r="E78" s="1">
        <v>45669.17291666667</v>
      </c>
      <c r="F78" s="1">
        <v>45673.17291666667</v>
      </c>
      <c r="G78" t="s">
        <v>514</v>
      </c>
      <c r="H78" s="11">
        <v>105</v>
      </c>
      <c r="I78" s="15">
        <v>12.63</v>
      </c>
      <c r="J78">
        <v>10</v>
      </c>
      <c r="K78">
        <v>1193.54</v>
      </c>
      <c r="L78">
        <f t="shared" si="2"/>
        <v>1193.54</v>
      </c>
      <c r="M78" t="str">
        <f t="shared" si="3"/>
        <v>Pass</v>
      </c>
      <c r="N78" t="s">
        <v>1248</v>
      </c>
    </row>
    <row r="79" spans="1:14" x14ac:dyDescent="0.25">
      <c r="A79" t="s">
        <v>1218</v>
      </c>
      <c r="B79" t="s">
        <v>1012</v>
      </c>
      <c r="C79" t="s">
        <v>344</v>
      </c>
      <c r="D79" t="s">
        <v>987</v>
      </c>
      <c r="E79" s="1">
        <v>45669.17291666667</v>
      </c>
      <c r="F79" s="1">
        <v>45673.17291666667</v>
      </c>
      <c r="G79" t="s">
        <v>663</v>
      </c>
      <c r="H79" s="11">
        <v>153</v>
      </c>
      <c r="I79" s="15">
        <v>5.46</v>
      </c>
      <c r="J79">
        <v>7.5</v>
      </c>
      <c r="K79">
        <v>772.73</v>
      </c>
      <c r="L79">
        <f t="shared" si="2"/>
        <v>772.73</v>
      </c>
      <c r="M79" t="str">
        <f t="shared" si="3"/>
        <v>Pass</v>
      </c>
      <c r="N79" t="s">
        <v>1248</v>
      </c>
    </row>
    <row r="80" spans="1:14" x14ac:dyDescent="0.25">
      <c r="A80" t="s">
        <v>1219</v>
      </c>
      <c r="B80" t="s">
        <v>1012</v>
      </c>
      <c r="C80" t="s">
        <v>344</v>
      </c>
      <c r="D80" t="s">
        <v>987</v>
      </c>
      <c r="E80" s="1">
        <v>45669.17291666667</v>
      </c>
      <c r="F80" s="1">
        <v>45673.17291666667</v>
      </c>
      <c r="G80" t="s">
        <v>514</v>
      </c>
      <c r="H80" s="11">
        <v>129</v>
      </c>
      <c r="I80" s="15">
        <v>12.93</v>
      </c>
      <c r="J80">
        <v>10</v>
      </c>
      <c r="K80">
        <v>1501.17</v>
      </c>
      <c r="L80">
        <f t="shared" si="2"/>
        <v>1501.17</v>
      </c>
      <c r="M80" t="str">
        <f t="shared" si="3"/>
        <v>Pass</v>
      </c>
      <c r="N80" t="s">
        <v>1258</v>
      </c>
    </row>
    <row r="81" spans="1:14" x14ac:dyDescent="0.25">
      <c r="A81" t="s">
        <v>1220</v>
      </c>
      <c r="B81" t="s">
        <v>1013</v>
      </c>
      <c r="C81" t="s">
        <v>184</v>
      </c>
      <c r="D81" t="s">
        <v>972</v>
      </c>
      <c r="E81" s="1">
        <v>45688.429861111108</v>
      </c>
      <c r="F81" s="1">
        <v>45707.429861111108</v>
      </c>
      <c r="G81" t="s">
        <v>807</v>
      </c>
      <c r="H81" s="11">
        <v>79</v>
      </c>
      <c r="I81" s="15">
        <v>13.34</v>
      </c>
      <c r="J81">
        <v>10</v>
      </c>
      <c r="K81">
        <v>948.47</v>
      </c>
      <c r="L81">
        <f t="shared" si="2"/>
        <v>948.47</v>
      </c>
      <c r="M81" t="str">
        <f t="shared" si="3"/>
        <v>Pass</v>
      </c>
      <c r="N81" t="s">
        <v>1258</v>
      </c>
    </row>
    <row r="82" spans="1:14" x14ac:dyDescent="0.25">
      <c r="A82" t="s">
        <v>1221</v>
      </c>
      <c r="B82" t="s">
        <v>1013</v>
      </c>
      <c r="C82" t="s">
        <v>184</v>
      </c>
      <c r="D82" t="s">
        <v>972</v>
      </c>
      <c r="E82" s="1">
        <v>45688.429861111108</v>
      </c>
      <c r="F82" s="1">
        <v>45707.429861111108</v>
      </c>
      <c r="G82" t="s">
        <v>807</v>
      </c>
      <c r="H82" s="11">
        <v>142</v>
      </c>
      <c r="I82" s="15">
        <v>13.02</v>
      </c>
      <c r="J82">
        <v>7.5</v>
      </c>
      <c r="K82">
        <v>1710.18</v>
      </c>
      <c r="L82">
        <f t="shared" si="2"/>
        <v>1710.18</v>
      </c>
      <c r="M82" t="str">
        <f t="shared" si="3"/>
        <v>Pass</v>
      </c>
      <c r="N82" t="s">
        <v>1248</v>
      </c>
    </row>
    <row r="83" spans="1:14" x14ac:dyDescent="0.25">
      <c r="A83" t="s">
        <v>1222</v>
      </c>
      <c r="B83" t="s">
        <v>1013</v>
      </c>
      <c r="C83" t="s">
        <v>184</v>
      </c>
      <c r="D83" t="s">
        <v>972</v>
      </c>
      <c r="E83" s="1">
        <v>45688.429861111108</v>
      </c>
      <c r="F83" s="1">
        <v>45707.429861111108</v>
      </c>
      <c r="G83" t="s">
        <v>539</v>
      </c>
      <c r="H83" s="11">
        <v>97</v>
      </c>
      <c r="I83" s="15">
        <v>6.74</v>
      </c>
      <c r="J83">
        <v>7.5</v>
      </c>
      <c r="K83">
        <v>604.75</v>
      </c>
      <c r="L83">
        <f t="shared" si="2"/>
        <v>604.75</v>
      </c>
      <c r="M83" t="str">
        <f t="shared" si="3"/>
        <v>Pass</v>
      </c>
      <c r="N83" t="s">
        <v>1258</v>
      </c>
    </row>
    <row r="84" spans="1:14" x14ac:dyDescent="0.25">
      <c r="A84" t="s">
        <v>1223</v>
      </c>
      <c r="B84" t="s">
        <v>1014</v>
      </c>
      <c r="C84" t="s">
        <v>268</v>
      </c>
      <c r="D84" t="s">
        <v>964</v>
      </c>
      <c r="E84" s="1">
        <v>45691.331250000003</v>
      </c>
      <c r="F84" s="1">
        <v>45700.331250000003</v>
      </c>
      <c r="G84" t="s">
        <v>567</v>
      </c>
      <c r="H84" s="11">
        <v>45</v>
      </c>
      <c r="I84" s="15">
        <v>1.78</v>
      </c>
      <c r="J84">
        <v>7.5</v>
      </c>
      <c r="K84">
        <v>74.09</v>
      </c>
      <c r="L84">
        <f t="shared" si="2"/>
        <v>74.09</v>
      </c>
      <c r="M84" t="str">
        <f t="shared" si="3"/>
        <v>Pass</v>
      </c>
      <c r="N84" t="s">
        <v>1248</v>
      </c>
    </row>
    <row r="85" spans="1:14" x14ac:dyDescent="0.25">
      <c r="A85" t="s">
        <v>1224</v>
      </c>
      <c r="B85" t="s">
        <v>1014</v>
      </c>
      <c r="C85" t="s">
        <v>268</v>
      </c>
      <c r="D85" t="s">
        <v>964</v>
      </c>
      <c r="E85" s="1">
        <v>45691.331250000003</v>
      </c>
      <c r="F85" s="1">
        <v>45700.331250000003</v>
      </c>
      <c r="G85" t="s">
        <v>567</v>
      </c>
      <c r="H85" s="11">
        <v>195</v>
      </c>
      <c r="I85" s="15">
        <v>1.71</v>
      </c>
      <c r="J85">
        <v>10</v>
      </c>
      <c r="K85">
        <v>300.11</v>
      </c>
      <c r="L85">
        <f t="shared" si="2"/>
        <v>300.11</v>
      </c>
      <c r="M85" t="str">
        <f t="shared" si="3"/>
        <v>Pass</v>
      </c>
      <c r="N85" t="s">
        <v>1258</v>
      </c>
    </row>
    <row r="86" spans="1:14" x14ac:dyDescent="0.25">
      <c r="A86" t="s">
        <v>1225</v>
      </c>
      <c r="B86" t="s">
        <v>1015</v>
      </c>
      <c r="C86" t="s">
        <v>235</v>
      </c>
      <c r="D86" t="s">
        <v>980</v>
      </c>
      <c r="E86" s="1">
        <v>45718.775000000001</v>
      </c>
      <c r="F86" s="1">
        <v>45723.775000000001</v>
      </c>
      <c r="G86" t="s">
        <v>475</v>
      </c>
      <c r="H86" s="11">
        <v>20</v>
      </c>
      <c r="I86" s="15">
        <v>13.68</v>
      </c>
      <c r="J86">
        <v>0</v>
      </c>
      <c r="K86">
        <v>273.60000000000002</v>
      </c>
      <c r="L86">
        <f t="shared" si="2"/>
        <v>273.60000000000002</v>
      </c>
      <c r="M86" t="str">
        <f t="shared" si="3"/>
        <v>Pass</v>
      </c>
      <c r="N86" t="s">
        <v>3271</v>
      </c>
    </row>
    <row r="87" spans="1:14" x14ac:dyDescent="0.25">
      <c r="A87" t="s">
        <v>1226</v>
      </c>
      <c r="B87" t="s">
        <v>1015</v>
      </c>
      <c r="C87" t="s">
        <v>235</v>
      </c>
      <c r="D87" t="s">
        <v>980</v>
      </c>
      <c r="E87" s="1">
        <v>45718.775000000001</v>
      </c>
      <c r="F87" s="1">
        <v>45723.775000000001</v>
      </c>
      <c r="G87" t="s">
        <v>900</v>
      </c>
      <c r="H87" s="11">
        <v>107</v>
      </c>
      <c r="I87" s="15">
        <v>15.17</v>
      </c>
      <c r="J87">
        <v>5</v>
      </c>
      <c r="K87">
        <v>1542.03</v>
      </c>
      <c r="L87">
        <f t="shared" si="2"/>
        <v>1542.03</v>
      </c>
      <c r="M87" t="str">
        <f t="shared" si="3"/>
        <v>Pass</v>
      </c>
      <c r="N87" t="s">
        <v>3271</v>
      </c>
    </row>
    <row r="88" spans="1:14" x14ac:dyDescent="0.25">
      <c r="A88" t="s">
        <v>1227</v>
      </c>
      <c r="B88" t="s">
        <v>1015</v>
      </c>
      <c r="C88" t="s">
        <v>235</v>
      </c>
      <c r="D88" t="s">
        <v>980</v>
      </c>
      <c r="E88" s="1">
        <v>45718.775000000001</v>
      </c>
      <c r="F88" s="1">
        <v>45723.775000000001</v>
      </c>
      <c r="G88" t="s">
        <v>452</v>
      </c>
      <c r="H88" s="11">
        <v>130</v>
      </c>
      <c r="I88" s="15">
        <v>12.16</v>
      </c>
      <c r="J88">
        <v>10</v>
      </c>
      <c r="K88">
        <v>1422.72</v>
      </c>
      <c r="L88">
        <f t="shared" si="2"/>
        <v>1422.72</v>
      </c>
      <c r="M88" t="str">
        <f t="shared" si="3"/>
        <v>Pass</v>
      </c>
      <c r="N88" t="s">
        <v>3271</v>
      </c>
    </row>
    <row r="89" spans="1:14" x14ac:dyDescent="0.25">
      <c r="A89" t="s">
        <v>1228</v>
      </c>
      <c r="B89" t="s">
        <v>1016</v>
      </c>
      <c r="C89" t="s">
        <v>49</v>
      </c>
      <c r="D89" t="s">
        <v>999</v>
      </c>
      <c r="E89" s="1">
        <v>45714.055555555555</v>
      </c>
      <c r="F89" s="1">
        <v>45723.055555555555</v>
      </c>
      <c r="G89" t="s">
        <v>440</v>
      </c>
      <c r="H89" s="11">
        <v>28</v>
      </c>
      <c r="I89" s="15">
        <v>5.78</v>
      </c>
      <c r="J89">
        <v>0</v>
      </c>
      <c r="K89">
        <v>161.84</v>
      </c>
      <c r="L89">
        <f t="shared" si="2"/>
        <v>161.84</v>
      </c>
      <c r="M89" t="str">
        <f t="shared" si="3"/>
        <v>Pass</v>
      </c>
      <c r="N89" t="s">
        <v>1258</v>
      </c>
    </row>
    <row r="90" spans="1:14" x14ac:dyDescent="0.25">
      <c r="A90" t="s">
        <v>1229</v>
      </c>
      <c r="B90" t="s">
        <v>1016</v>
      </c>
      <c r="C90" t="s">
        <v>49</v>
      </c>
      <c r="D90" t="s">
        <v>999</v>
      </c>
      <c r="E90" s="1">
        <v>45714.055555555555</v>
      </c>
      <c r="F90" s="1">
        <v>45723.055555555555</v>
      </c>
      <c r="G90" t="s">
        <v>452</v>
      </c>
      <c r="H90" s="11">
        <v>25</v>
      </c>
      <c r="I90" s="15">
        <v>11.52</v>
      </c>
      <c r="J90">
        <v>0</v>
      </c>
      <c r="K90">
        <v>288</v>
      </c>
      <c r="L90">
        <f t="shared" si="2"/>
        <v>288</v>
      </c>
      <c r="M90" t="str">
        <f t="shared" si="3"/>
        <v>Pass</v>
      </c>
      <c r="N90" t="s">
        <v>1248</v>
      </c>
    </row>
    <row r="91" spans="1:14" x14ac:dyDescent="0.25">
      <c r="A91" t="s">
        <v>1230</v>
      </c>
      <c r="B91" t="s">
        <v>1017</v>
      </c>
      <c r="C91" t="s">
        <v>309</v>
      </c>
      <c r="D91" t="s">
        <v>990</v>
      </c>
      <c r="E91" s="1">
        <v>45698.164583333331</v>
      </c>
      <c r="F91" s="1">
        <v>45713.164583333331</v>
      </c>
      <c r="G91" t="s">
        <v>693</v>
      </c>
      <c r="H91" s="11">
        <v>116</v>
      </c>
      <c r="I91" s="15">
        <v>16.649999999999999</v>
      </c>
      <c r="J91">
        <v>5</v>
      </c>
      <c r="K91">
        <v>1834.83</v>
      </c>
      <c r="L91">
        <f t="shared" si="2"/>
        <v>1834.83</v>
      </c>
      <c r="M91" t="str">
        <f t="shared" si="3"/>
        <v>Pass</v>
      </c>
      <c r="N91" t="s">
        <v>1258</v>
      </c>
    </row>
    <row r="92" spans="1:14" x14ac:dyDescent="0.25">
      <c r="A92" t="s">
        <v>1231</v>
      </c>
      <c r="B92" t="s">
        <v>1017</v>
      </c>
      <c r="C92" t="s">
        <v>309</v>
      </c>
      <c r="D92" t="s">
        <v>990</v>
      </c>
      <c r="E92" s="1">
        <v>45698.164583333331</v>
      </c>
      <c r="F92" s="1">
        <v>45713.164583333331</v>
      </c>
      <c r="G92" t="s">
        <v>693</v>
      </c>
      <c r="H92" s="11">
        <v>162</v>
      </c>
      <c r="I92" s="15">
        <v>15.44</v>
      </c>
      <c r="J92">
        <v>10</v>
      </c>
      <c r="K92">
        <v>2251.15</v>
      </c>
      <c r="L92">
        <f t="shared" si="2"/>
        <v>2251.15</v>
      </c>
      <c r="M92" t="str">
        <f t="shared" si="3"/>
        <v>Pass</v>
      </c>
      <c r="N92" t="s">
        <v>1248</v>
      </c>
    </row>
    <row r="93" spans="1:14" x14ac:dyDescent="0.25">
      <c r="A93" t="s">
        <v>1232</v>
      </c>
      <c r="B93" t="s">
        <v>1017</v>
      </c>
      <c r="C93" t="s">
        <v>309</v>
      </c>
      <c r="D93" t="s">
        <v>990</v>
      </c>
      <c r="E93" s="1">
        <v>45698.164583333331</v>
      </c>
      <c r="F93" s="1">
        <v>45713.164583333331</v>
      </c>
      <c r="G93" t="s">
        <v>642</v>
      </c>
      <c r="H93" s="11">
        <v>143</v>
      </c>
      <c r="I93" s="15">
        <v>8.59</v>
      </c>
      <c r="J93">
        <v>2.5</v>
      </c>
      <c r="K93">
        <v>1197.6600000000001</v>
      </c>
      <c r="L93">
        <f t="shared" si="2"/>
        <v>1197.6600000000001</v>
      </c>
      <c r="M93" t="str">
        <f t="shared" si="3"/>
        <v>Pass</v>
      </c>
      <c r="N93" t="s">
        <v>3271</v>
      </c>
    </row>
    <row r="94" spans="1:14" x14ac:dyDescent="0.25">
      <c r="A94" t="s">
        <v>1233</v>
      </c>
      <c r="B94" t="s">
        <v>1018</v>
      </c>
      <c r="C94" t="s">
        <v>155</v>
      </c>
      <c r="D94" t="s">
        <v>964</v>
      </c>
      <c r="E94" s="1">
        <v>45721.220833333333</v>
      </c>
      <c r="F94" s="1">
        <v>45726.220833333333</v>
      </c>
      <c r="G94" t="s">
        <v>846</v>
      </c>
      <c r="H94" s="11">
        <v>154</v>
      </c>
      <c r="I94" s="15">
        <v>15.68</v>
      </c>
      <c r="J94">
        <v>0</v>
      </c>
      <c r="K94">
        <v>2414.7199999999998</v>
      </c>
      <c r="L94">
        <f t="shared" si="2"/>
        <v>2414.7199999999998</v>
      </c>
      <c r="M94" t="str">
        <f t="shared" si="3"/>
        <v>Pass</v>
      </c>
      <c r="N94" t="s">
        <v>3271</v>
      </c>
    </row>
    <row r="95" spans="1:14" x14ac:dyDescent="0.25">
      <c r="A95" t="s">
        <v>1234</v>
      </c>
      <c r="B95" t="s">
        <v>1018</v>
      </c>
      <c r="C95" t="s">
        <v>155</v>
      </c>
      <c r="D95" t="s">
        <v>964</v>
      </c>
      <c r="E95" s="1">
        <v>45721.220833333333</v>
      </c>
      <c r="F95" s="1">
        <v>45726.220833333333</v>
      </c>
      <c r="G95" t="s">
        <v>801</v>
      </c>
      <c r="H95" s="11">
        <v>158</v>
      </c>
      <c r="I95" s="15">
        <v>5.99</v>
      </c>
      <c r="J95">
        <v>10</v>
      </c>
      <c r="K95">
        <v>851.78</v>
      </c>
      <c r="L95">
        <f t="shared" si="2"/>
        <v>851.78</v>
      </c>
      <c r="M95" t="str">
        <f t="shared" si="3"/>
        <v>Pass</v>
      </c>
      <c r="N95" t="s">
        <v>1248</v>
      </c>
    </row>
    <row r="96" spans="1:14" x14ac:dyDescent="0.25">
      <c r="A96" t="s">
        <v>1235</v>
      </c>
      <c r="B96" t="s">
        <v>1018</v>
      </c>
      <c r="C96" t="s">
        <v>155</v>
      </c>
      <c r="D96" t="s">
        <v>964</v>
      </c>
      <c r="E96" s="1">
        <v>45721.220833333333</v>
      </c>
      <c r="F96" s="1">
        <v>45726.220833333333</v>
      </c>
      <c r="G96" t="s">
        <v>822</v>
      </c>
      <c r="H96" s="11">
        <v>173</v>
      </c>
      <c r="I96" s="15">
        <v>9.0399999999999991</v>
      </c>
      <c r="J96">
        <v>0</v>
      </c>
      <c r="K96">
        <v>1563.92</v>
      </c>
      <c r="L96">
        <f t="shared" si="2"/>
        <v>1563.92</v>
      </c>
      <c r="M96" t="str">
        <f t="shared" si="3"/>
        <v>Pass</v>
      </c>
      <c r="N96" t="s">
        <v>1258</v>
      </c>
    </row>
    <row r="97" spans="1:14" x14ac:dyDescent="0.25">
      <c r="A97" t="s">
        <v>1236</v>
      </c>
      <c r="B97" t="s">
        <v>1019</v>
      </c>
      <c r="C97" t="s">
        <v>312</v>
      </c>
      <c r="D97" t="s">
        <v>990</v>
      </c>
      <c r="E97" s="1">
        <v>45719.09097222222</v>
      </c>
      <c r="F97" s="1">
        <v>45726.09097222222</v>
      </c>
      <c r="G97" t="s">
        <v>430</v>
      </c>
      <c r="H97" s="11">
        <v>161</v>
      </c>
      <c r="I97" s="15">
        <v>4.9400000000000004</v>
      </c>
      <c r="J97">
        <v>0</v>
      </c>
      <c r="K97">
        <v>795.34</v>
      </c>
      <c r="L97">
        <f t="shared" si="2"/>
        <v>795.34</v>
      </c>
      <c r="M97" t="str">
        <f t="shared" si="3"/>
        <v>Pass</v>
      </c>
      <c r="N97" t="s">
        <v>3271</v>
      </c>
    </row>
    <row r="98" spans="1:14" x14ac:dyDescent="0.25">
      <c r="A98" t="s">
        <v>1237</v>
      </c>
      <c r="B98" t="s">
        <v>1019</v>
      </c>
      <c r="C98" t="s">
        <v>312</v>
      </c>
      <c r="D98" t="s">
        <v>990</v>
      </c>
      <c r="E98" s="1">
        <v>45719.09097222222</v>
      </c>
      <c r="F98" s="1">
        <v>45726.09097222222</v>
      </c>
      <c r="G98" t="s">
        <v>430</v>
      </c>
      <c r="H98" s="11">
        <v>58</v>
      </c>
      <c r="I98" s="15">
        <v>4.88</v>
      </c>
      <c r="J98">
        <v>2.5000000000000001E-2</v>
      </c>
      <c r="K98">
        <v>275.95999999999998</v>
      </c>
      <c r="L98">
        <f t="shared" si="2"/>
        <v>282.97000000000003</v>
      </c>
      <c r="M98" t="str">
        <f t="shared" si="3"/>
        <v>Investigate</v>
      </c>
      <c r="N98" t="s">
        <v>1258</v>
      </c>
    </row>
    <row r="99" spans="1:14" x14ac:dyDescent="0.25">
      <c r="A99" t="s">
        <v>1238</v>
      </c>
      <c r="B99" t="s">
        <v>1020</v>
      </c>
      <c r="C99" t="s">
        <v>303</v>
      </c>
      <c r="D99" t="s">
        <v>987</v>
      </c>
      <c r="E99" s="1">
        <v>45722.276388888888</v>
      </c>
      <c r="F99" s="1">
        <v>45740.276388888888</v>
      </c>
      <c r="G99" t="s">
        <v>867</v>
      </c>
      <c r="H99" s="11">
        <v>65</v>
      </c>
      <c r="I99" s="15">
        <v>14.94</v>
      </c>
      <c r="J99">
        <v>10</v>
      </c>
      <c r="K99">
        <v>873.99</v>
      </c>
      <c r="L99">
        <f t="shared" si="2"/>
        <v>873.99</v>
      </c>
      <c r="M99" t="str">
        <f t="shared" si="3"/>
        <v>Pass</v>
      </c>
      <c r="N99" t="s">
        <v>1258</v>
      </c>
    </row>
    <row r="100" spans="1:14" x14ac:dyDescent="0.25">
      <c r="A100" t="s">
        <v>1239</v>
      </c>
      <c r="B100" t="s">
        <v>1020</v>
      </c>
      <c r="C100" t="s">
        <v>303</v>
      </c>
      <c r="D100" t="s">
        <v>987</v>
      </c>
      <c r="E100" s="1">
        <v>45722.276388888888</v>
      </c>
      <c r="F100" s="1">
        <v>45740.276388888888</v>
      </c>
      <c r="G100" t="s">
        <v>867</v>
      </c>
      <c r="H100" s="11">
        <v>105</v>
      </c>
      <c r="I100" s="15">
        <v>16.46</v>
      </c>
      <c r="J100">
        <v>2.5</v>
      </c>
      <c r="K100">
        <v>1685.09</v>
      </c>
      <c r="L100">
        <f t="shared" si="2"/>
        <v>1685.09</v>
      </c>
      <c r="M100" t="str">
        <f t="shared" si="3"/>
        <v>Pass</v>
      </c>
      <c r="N100" t="s">
        <v>1248</v>
      </c>
    </row>
    <row r="101" spans="1:14" x14ac:dyDescent="0.25">
      <c r="A101" t="s">
        <v>1240</v>
      </c>
      <c r="B101" t="s">
        <v>1020</v>
      </c>
      <c r="C101" t="s">
        <v>303</v>
      </c>
      <c r="D101" t="s">
        <v>987</v>
      </c>
      <c r="E101" s="1">
        <v>45722.276388888888</v>
      </c>
      <c r="F101" s="1">
        <v>45740.276388888888</v>
      </c>
      <c r="G101" t="s">
        <v>867</v>
      </c>
      <c r="H101" s="11">
        <v>224</v>
      </c>
      <c r="I101" s="15">
        <v>15.77</v>
      </c>
      <c r="J101">
        <v>0</v>
      </c>
      <c r="K101">
        <v>3532.48</v>
      </c>
      <c r="L101">
        <f t="shared" si="2"/>
        <v>3532.48</v>
      </c>
      <c r="M101" t="str">
        <f t="shared" si="3"/>
        <v>Pass</v>
      </c>
      <c r="N101" t="s">
        <v>1248</v>
      </c>
    </row>
    <row r="102" spans="1:14" x14ac:dyDescent="0.25">
      <c r="A102" t="s">
        <v>1241</v>
      </c>
      <c r="B102" t="s">
        <v>1021</v>
      </c>
      <c r="C102" t="s">
        <v>56</v>
      </c>
      <c r="D102" t="s">
        <v>976</v>
      </c>
      <c r="E102" s="1">
        <v>45693.822222222225</v>
      </c>
      <c r="F102" s="1">
        <v>45713.822222222225</v>
      </c>
      <c r="G102" t="s">
        <v>615</v>
      </c>
      <c r="H102" s="11">
        <v>170</v>
      </c>
      <c r="I102" s="15">
        <v>5.86</v>
      </c>
      <c r="J102">
        <v>5</v>
      </c>
      <c r="K102">
        <v>946.39</v>
      </c>
      <c r="L102">
        <f t="shared" si="2"/>
        <v>946.39</v>
      </c>
      <c r="M102" t="str">
        <f t="shared" si="3"/>
        <v>Pass</v>
      </c>
      <c r="N102" t="s">
        <v>1258</v>
      </c>
    </row>
    <row r="103" spans="1:14" x14ac:dyDescent="0.25">
      <c r="A103" t="s">
        <v>1242</v>
      </c>
      <c r="B103" t="s">
        <v>1021</v>
      </c>
      <c r="C103" t="s">
        <v>56</v>
      </c>
      <c r="D103" t="s">
        <v>976</v>
      </c>
      <c r="E103" s="1">
        <v>45693.822222222225</v>
      </c>
      <c r="F103" s="1">
        <v>45713.822222222225</v>
      </c>
      <c r="G103" t="s">
        <v>615</v>
      </c>
      <c r="H103" s="11">
        <v>104</v>
      </c>
      <c r="I103" s="15">
        <v>6.24</v>
      </c>
      <c r="J103">
        <v>5</v>
      </c>
      <c r="K103">
        <v>616.51</v>
      </c>
      <c r="L103">
        <f t="shared" si="2"/>
        <v>616.51</v>
      </c>
      <c r="M103" t="str">
        <f t="shared" si="3"/>
        <v>Pass</v>
      </c>
      <c r="N103" t="s">
        <v>1248</v>
      </c>
    </row>
    <row r="104" spans="1:14" x14ac:dyDescent="0.25">
      <c r="A104" t="s">
        <v>1243</v>
      </c>
      <c r="B104" t="s">
        <v>1022</v>
      </c>
      <c r="C104" t="s">
        <v>300</v>
      </c>
      <c r="D104" t="s">
        <v>999</v>
      </c>
      <c r="E104" s="1">
        <v>45708.060416666667</v>
      </c>
      <c r="F104" s="1">
        <v>45711.060416666667</v>
      </c>
      <c r="G104" t="s">
        <v>780</v>
      </c>
      <c r="H104" s="11">
        <v>55</v>
      </c>
      <c r="I104" s="15">
        <v>16.84</v>
      </c>
      <c r="J104">
        <v>0</v>
      </c>
      <c r="K104">
        <v>926.2</v>
      </c>
      <c r="L104">
        <f t="shared" si="2"/>
        <v>926.2</v>
      </c>
      <c r="M104" t="str">
        <f t="shared" si="3"/>
        <v>Pass</v>
      </c>
      <c r="N104" t="s">
        <v>3271</v>
      </c>
    </row>
    <row r="105" spans="1:14" x14ac:dyDescent="0.25">
      <c r="A105" t="s">
        <v>1244</v>
      </c>
      <c r="B105" t="s">
        <v>1022</v>
      </c>
      <c r="C105" t="s">
        <v>300</v>
      </c>
      <c r="D105" t="s">
        <v>999</v>
      </c>
      <c r="E105" s="1">
        <v>45708.060416666667</v>
      </c>
      <c r="F105" s="1">
        <v>45711.060416666667</v>
      </c>
      <c r="G105" t="s">
        <v>882</v>
      </c>
      <c r="H105" s="11">
        <v>17</v>
      </c>
      <c r="I105" s="15">
        <v>3.21</v>
      </c>
      <c r="J105">
        <v>10</v>
      </c>
      <c r="K105">
        <v>49.11</v>
      </c>
      <c r="L105">
        <f t="shared" si="2"/>
        <v>49.11</v>
      </c>
      <c r="M105" t="str">
        <f t="shared" si="3"/>
        <v>Pass</v>
      </c>
      <c r="N105" t="s">
        <v>1248</v>
      </c>
    </row>
    <row r="106" spans="1:14" x14ac:dyDescent="0.25">
      <c r="A106" t="s">
        <v>1245</v>
      </c>
      <c r="B106" t="s">
        <v>1022</v>
      </c>
      <c r="C106" t="s">
        <v>300</v>
      </c>
      <c r="D106" t="s">
        <v>999</v>
      </c>
      <c r="E106" s="1">
        <v>45708.060416666667</v>
      </c>
      <c r="F106" s="1">
        <v>45711.060416666667</v>
      </c>
      <c r="G106" t="s">
        <v>496</v>
      </c>
      <c r="H106" s="11">
        <v>129</v>
      </c>
      <c r="I106" s="15">
        <v>7.65</v>
      </c>
      <c r="J106">
        <v>2.5</v>
      </c>
      <c r="K106">
        <v>962.18</v>
      </c>
      <c r="L106">
        <f t="shared" si="2"/>
        <v>962.18</v>
      </c>
      <c r="M106" t="str">
        <f t="shared" si="3"/>
        <v>Pass</v>
      </c>
      <c r="N106" t="s">
        <v>1248</v>
      </c>
    </row>
    <row r="107" spans="1:14" x14ac:dyDescent="0.25">
      <c r="A107" t="s">
        <v>1246</v>
      </c>
      <c r="B107" t="s">
        <v>1023</v>
      </c>
      <c r="C107" t="s">
        <v>244</v>
      </c>
      <c r="D107" t="s">
        <v>987</v>
      </c>
      <c r="E107" s="1">
        <v>45659.640972222223</v>
      </c>
      <c r="F107" s="1">
        <v>45664.640972222223</v>
      </c>
      <c r="G107" t="s">
        <v>520</v>
      </c>
      <c r="H107" s="11">
        <v>192</v>
      </c>
      <c r="I107" s="15">
        <v>4.74</v>
      </c>
      <c r="J107">
        <v>10</v>
      </c>
      <c r="K107">
        <v>819.07</v>
      </c>
      <c r="L107">
        <f t="shared" si="2"/>
        <v>819.07</v>
      </c>
      <c r="M107" t="str">
        <f t="shared" si="3"/>
        <v>Pass</v>
      </c>
      <c r="N107" t="s">
        <v>3271</v>
      </c>
    </row>
    <row r="108" spans="1:14" x14ac:dyDescent="0.25">
      <c r="A108" t="s">
        <v>1247</v>
      </c>
      <c r="B108" t="s">
        <v>1023</v>
      </c>
      <c r="C108" t="s">
        <v>244</v>
      </c>
      <c r="D108" t="s">
        <v>987</v>
      </c>
      <c r="E108" s="1">
        <v>45659.640972222223</v>
      </c>
      <c r="F108" s="1">
        <v>45664.640972222223</v>
      </c>
      <c r="G108" t="s">
        <v>621</v>
      </c>
      <c r="H108" s="11">
        <v>56</v>
      </c>
      <c r="I108" s="15">
        <v>3.78</v>
      </c>
      <c r="J108">
        <v>7.5</v>
      </c>
      <c r="K108">
        <v>195.8</v>
      </c>
      <c r="L108">
        <f t="shared" si="2"/>
        <v>195.8</v>
      </c>
      <c r="M108" t="str">
        <f t="shared" si="3"/>
        <v>Pass</v>
      </c>
      <c r="N108" t="s">
        <v>1248</v>
      </c>
    </row>
    <row r="109" spans="1:14" x14ac:dyDescent="0.25">
      <c r="A109" t="s">
        <v>1249</v>
      </c>
      <c r="B109" t="s">
        <v>1023</v>
      </c>
      <c r="C109" t="s">
        <v>244</v>
      </c>
      <c r="D109" t="s">
        <v>987</v>
      </c>
      <c r="E109" s="1">
        <v>45659.640972222223</v>
      </c>
      <c r="F109" s="1">
        <v>45664.640972222223</v>
      </c>
      <c r="G109" t="s">
        <v>520</v>
      </c>
      <c r="H109" s="11">
        <v>204</v>
      </c>
      <c r="I109" s="15">
        <v>4.59</v>
      </c>
      <c r="J109">
        <v>10</v>
      </c>
      <c r="K109">
        <v>842.72</v>
      </c>
      <c r="L109">
        <f t="shared" si="2"/>
        <v>842.72</v>
      </c>
      <c r="M109" t="str">
        <f t="shared" si="3"/>
        <v>Pass</v>
      </c>
      <c r="N109" t="s">
        <v>1258</v>
      </c>
    </row>
    <row r="110" spans="1:14" x14ac:dyDescent="0.25">
      <c r="A110" t="s">
        <v>1250</v>
      </c>
      <c r="B110" t="s">
        <v>1024</v>
      </c>
      <c r="C110" t="s">
        <v>131</v>
      </c>
      <c r="D110" t="s">
        <v>996</v>
      </c>
      <c r="E110" s="1">
        <v>45696.796527777777</v>
      </c>
      <c r="F110" s="1">
        <v>45700.796527777777</v>
      </c>
      <c r="G110" t="s">
        <v>440</v>
      </c>
      <c r="H110" s="11">
        <v>221</v>
      </c>
      <c r="I110" s="15">
        <v>6</v>
      </c>
      <c r="J110">
        <v>2.5</v>
      </c>
      <c r="K110">
        <v>1292.8499999999999</v>
      </c>
      <c r="L110">
        <f t="shared" si="2"/>
        <v>1292.8499999999999</v>
      </c>
      <c r="M110" t="str">
        <f t="shared" si="3"/>
        <v>Pass</v>
      </c>
      <c r="N110" t="s">
        <v>1248</v>
      </c>
    </row>
    <row r="111" spans="1:14" x14ac:dyDescent="0.25">
      <c r="A111" t="s">
        <v>1251</v>
      </c>
      <c r="B111" t="s">
        <v>1024</v>
      </c>
      <c r="C111" t="s">
        <v>131</v>
      </c>
      <c r="D111" t="s">
        <v>996</v>
      </c>
      <c r="E111" s="1">
        <v>45696.796527777777</v>
      </c>
      <c r="F111" s="1">
        <v>45700.796527777777</v>
      </c>
      <c r="G111" t="s">
        <v>554</v>
      </c>
      <c r="H111" s="11">
        <v>93</v>
      </c>
      <c r="I111" s="15">
        <v>15.89</v>
      </c>
      <c r="J111">
        <v>10</v>
      </c>
      <c r="K111">
        <v>1329.99</v>
      </c>
      <c r="L111">
        <f t="shared" si="2"/>
        <v>1329.99</v>
      </c>
      <c r="M111" t="str">
        <f t="shared" si="3"/>
        <v>Pass</v>
      </c>
      <c r="N111" t="s">
        <v>1248</v>
      </c>
    </row>
    <row r="112" spans="1:14" x14ac:dyDescent="0.25">
      <c r="A112" t="s">
        <v>1252</v>
      </c>
      <c r="B112" t="s">
        <v>1024</v>
      </c>
      <c r="C112" t="s">
        <v>131</v>
      </c>
      <c r="D112" t="s">
        <v>996</v>
      </c>
      <c r="E112" s="1">
        <v>45696.796527777777</v>
      </c>
      <c r="F112" s="1">
        <v>45700.796527777777</v>
      </c>
      <c r="G112" t="s">
        <v>554</v>
      </c>
      <c r="H112" s="11">
        <v>10</v>
      </c>
      <c r="I112" s="15">
        <v>17.399999999999999</v>
      </c>
      <c r="J112">
        <v>7.5</v>
      </c>
      <c r="K112">
        <v>160.94999999999999</v>
      </c>
      <c r="L112">
        <f t="shared" si="2"/>
        <v>160.94999999999999</v>
      </c>
      <c r="M112" t="str">
        <f t="shared" si="3"/>
        <v>Pass</v>
      </c>
      <c r="N112" t="s">
        <v>1258</v>
      </c>
    </row>
    <row r="113" spans="1:14" x14ac:dyDescent="0.25">
      <c r="A113" t="s">
        <v>1253</v>
      </c>
      <c r="B113" t="s">
        <v>1025</v>
      </c>
      <c r="C113" t="s">
        <v>288</v>
      </c>
      <c r="D113" t="s">
        <v>976</v>
      </c>
      <c r="E113" s="1">
        <v>45723.611111111109</v>
      </c>
      <c r="F113" s="1">
        <v>45731.611111111109</v>
      </c>
      <c r="G113" t="s">
        <v>413</v>
      </c>
      <c r="H113" s="11">
        <v>74</v>
      </c>
      <c r="I113" s="15">
        <v>2.15</v>
      </c>
      <c r="J113">
        <v>7.5</v>
      </c>
      <c r="K113">
        <v>147.16999999999999</v>
      </c>
      <c r="L113">
        <f t="shared" si="2"/>
        <v>147.16999999999999</v>
      </c>
      <c r="M113" t="str">
        <f t="shared" si="3"/>
        <v>Pass</v>
      </c>
      <c r="N113" t="s">
        <v>1258</v>
      </c>
    </row>
    <row r="114" spans="1:14" x14ac:dyDescent="0.25">
      <c r="A114" t="s">
        <v>1254</v>
      </c>
      <c r="B114" t="s">
        <v>1025</v>
      </c>
      <c r="C114" t="s">
        <v>288</v>
      </c>
      <c r="D114" t="s">
        <v>976</v>
      </c>
      <c r="E114" s="1">
        <v>45723.611111111109</v>
      </c>
      <c r="F114" s="1">
        <v>45731.611111111109</v>
      </c>
      <c r="G114" t="s">
        <v>630</v>
      </c>
      <c r="H114" s="11">
        <v>207</v>
      </c>
      <c r="I114" s="15">
        <v>12.34</v>
      </c>
      <c r="J114">
        <v>7.5</v>
      </c>
      <c r="K114">
        <v>2362.8000000000002</v>
      </c>
      <c r="L114">
        <f t="shared" si="2"/>
        <v>2362.8000000000002</v>
      </c>
      <c r="M114" t="str">
        <f t="shared" si="3"/>
        <v>Pass</v>
      </c>
      <c r="N114" t="s">
        <v>3271</v>
      </c>
    </row>
    <row r="115" spans="1:14" x14ac:dyDescent="0.25">
      <c r="A115" t="s">
        <v>1255</v>
      </c>
      <c r="B115" t="s">
        <v>1025</v>
      </c>
      <c r="C115" t="s">
        <v>288</v>
      </c>
      <c r="D115" t="s">
        <v>976</v>
      </c>
      <c r="E115" s="1">
        <v>45723.611111111109</v>
      </c>
      <c r="F115" s="1">
        <v>45731.611111111109</v>
      </c>
      <c r="G115" t="s">
        <v>630</v>
      </c>
      <c r="H115" s="11">
        <v>173</v>
      </c>
      <c r="I115" s="15">
        <v>11.84</v>
      </c>
      <c r="J115">
        <v>0</v>
      </c>
      <c r="K115">
        <v>2048.3200000000002</v>
      </c>
      <c r="L115">
        <f t="shared" si="2"/>
        <v>2048.3200000000002</v>
      </c>
      <c r="M115" t="str">
        <f t="shared" si="3"/>
        <v>Pass</v>
      </c>
      <c r="N115" t="s">
        <v>1258</v>
      </c>
    </row>
    <row r="116" spans="1:14" x14ac:dyDescent="0.25">
      <c r="A116" t="s">
        <v>1256</v>
      </c>
      <c r="B116" t="s">
        <v>1026</v>
      </c>
      <c r="C116" t="s">
        <v>232</v>
      </c>
      <c r="D116" t="s">
        <v>999</v>
      </c>
      <c r="E116" s="1">
        <v>45710.914583333331</v>
      </c>
      <c r="F116" s="1">
        <v>45726.914583333331</v>
      </c>
      <c r="G116" t="s">
        <v>813</v>
      </c>
      <c r="H116" s="11">
        <v>195</v>
      </c>
      <c r="I116" s="15">
        <v>5.64</v>
      </c>
      <c r="J116">
        <v>10</v>
      </c>
      <c r="K116">
        <v>989.82</v>
      </c>
      <c r="L116">
        <f t="shared" si="2"/>
        <v>989.82</v>
      </c>
      <c r="M116" t="str">
        <f t="shared" si="3"/>
        <v>Pass</v>
      </c>
      <c r="N116" t="s">
        <v>1248</v>
      </c>
    </row>
    <row r="117" spans="1:14" x14ac:dyDescent="0.25">
      <c r="A117" t="s">
        <v>1257</v>
      </c>
      <c r="B117" t="s">
        <v>1026</v>
      </c>
      <c r="C117" t="s">
        <v>232</v>
      </c>
      <c r="D117" t="s">
        <v>999</v>
      </c>
      <c r="E117" s="1">
        <v>45710.914583333331</v>
      </c>
      <c r="F117" s="1">
        <v>45726.914583333331</v>
      </c>
      <c r="G117" t="s">
        <v>813</v>
      </c>
      <c r="H117" s="11">
        <v>59</v>
      </c>
      <c r="I117" s="15">
        <v>5.59</v>
      </c>
      <c r="J117">
        <v>0</v>
      </c>
      <c r="K117">
        <v>329.81</v>
      </c>
      <c r="L117">
        <f t="shared" si="2"/>
        <v>329.81</v>
      </c>
      <c r="M117" t="str">
        <f t="shared" si="3"/>
        <v>Pass</v>
      </c>
      <c r="N117" t="s">
        <v>1258</v>
      </c>
    </row>
    <row r="118" spans="1:14" x14ac:dyDescent="0.25">
      <c r="A118" t="s">
        <v>1259</v>
      </c>
      <c r="B118" t="s">
        <v>1027</v>
      </c>
      <c r="C118" t="s">
        <v>342</v>
      </c>
      <c r="D118" t="s">
        <v>959</v>
      </c>
      <c r="E118" s="1">
        <v>45719.808333333334</v>
      </c>
      <c r="F118" s="1">
        <v>45732.808333333334</v>
      </c>
      <c r="G118" t="s">
        <v>530</v>
      </c>
      <c r="H118" s="11">
        <v>50</v>
      </c>
      <c r="I118" s="15">
        <v>13.73</v>
      </c>
      <c r="J118">
        <v>0</v>
      </c>
      <c r="K118">
        <v>686.5</v>
      </c>
      <c r="L118">
        <f t="shared" si="2"/>
        <v>686.5</v>
      </c>
      <c r="M118" t="str">
        <f t="shared" si="3"/>
        <v>Pass</v>
      </c>
      <c r="N118" t="s">
        <v>3271</v>
      </c>
    </row>
    <row r="119" spans="1:14" x14ac:dyDescent="0.25">
      <c r="A119" t="s">
        <v>1260</v>
      </c>
      <c r="B119" t="s">
        <v>1027</v>
      </c>
      <c r="C119" t="s">
        <v>342</v>
      </c>
      <c r="D119" t="s">
        <v>959</v>
      </c>
      <c r="E119" s="1">
        <v>45719.808333333334</v>
      </c>
      <c r="F119" s="1">
        <v>45732.808333333334</v>
      </c>
      <c r="G119" t="s">
        <v>729</v>
      </c>
      <c r="H119" s="11">
        <v>175</v>
      </c>
      <c r="I119" s="15">
        <v>13.3</v>
      </c>
      <c r="J119">
        <v>0</v>
      </c>
      <c r="K119">
        <v>2327.5</v>
      </c>
      <c r="L119">
        <f t="shared" si="2"/>
        <v>2327.5</v>
      </c>
      <c r="M119" t="str">
        <f t="shared" si="3"/>
        <v>Pass</v>
      </c>
      <c r="N119" t="s">
        <v>1258</v>
      </c>
    </row>
    <row r="120" spans="1:14" x14ac:dyDescent="0.25">
      <c r="A120" t="s">
        <v>1261</v>
      </c>
      <c r="B120" t="s">
        <v>1027</v>
      </c>
      <c r="C120" t="s">
        <v>342</v>
      </c>
      <c r="D120" t="s">
        <v>959</v>
      </c>
      <c r="E120" s="1">
        <v>45719.808333333334</v>
      </c>
      <c r="F120" s="1">
        <v>45732.808333333334</v>
      </c>
      <c r="G120" t="s">
        <v>729</v>
      </c>
      <c r="H120" s="11">
        <v>183</v>
      </c>
      <c r="I120" s="15">
        <v>12.15</v>
      </c>
      <c r="J120">
        <v>10</v>
      </c>
      <c r="K120">
        <v>2001.11</v>
      </c>
      <c r="L120">
        <f t="shared" si="2"/>
        <v>2001.11</v>
      </c>
      <c r="M120" t="str">
        <f t="shared" si="3"/>
        <v>Pass</v>
      </c>
      <c r="N120" t="s">
        <v>1248</v>
      </c>
    </row>
    <row r="121" spans="1:14" x14ac:dyDescent="0.25">
      <c r="A121" t="s">
        <v>1262</v>
      </c>
      <c r="B121" t="s">
        <v>1028</v>
      </c>
      <c r="C121" t="s">
        <v>122</v>
      </c>
      <c r="D121" t="s">
        <v>990</v>
      </c>
      <c r="E121" s="1">
        <v>45662.049305555556</v>
      </c>
      <c r="F121" s="1">
        <v>45677.049305555556</v>
      </c>
      <c r="G121" t="s">
        <v>705</v>
      </c>
      <c r="H121" s="11">
        <v>115</v>
      </c>
      <c r="I121" s="15">
        <v>12.33</v>
      </c>
      <c r="J121">
        <v>2.5</v>
      </c>
      <c r="K121">
        <v>1382.5</v>
      </c>
      <c r="L121">
        <f t="shared" si="2"/>
        <v>1382.5</v>
      </c>
      <c r="M121" t="str">
        <f t="shared" si="3"/>
        <v>Pass</v>
      </c>
      <c r="N121" t="s">
        <v>3271</v>
      </c>
    </row>
    <row r="122" spans="1:14" x14ac:dyDescent="0.25">
      <c r="A122" t="s">
        <v>1263</v>
      </c>
      <c r="B122" t="s">
        <v>1028</v>
      </c>
      <c r="C122" t="s">
        <v>122</v>
      </c>
      <c r="D122" t="s">
        <v>990</v>
      </c>
      <c r="E122" s="1">
        <v>45662.049305555556</v>
      </c>
      <c r="F122" s="1">
        <v>45677.049305555556</v>
      </c>
      <c r="G122" t="s">
        <v>705</v>
      </c>
      <c r="H122" s="11">
        <v>222</v>
      </c>
      <c r="I122" s="15">
        <v>12.81</v>
      </c>
      <c r="J122">
        <v>5</v>
      </c>
      <c r="K122">
        <v>2701.63</v>
      </c>
      <c r="L122">
        <f t="shared" si="2"/>
        <v>2701.63</v>
      </c>
      <c r="M122" t="str">
        <f t="shared" si="3"/>
        <v>Pass</v>
      </c>
      <c r="N122" t="s">
        <v>1258</v>
      </c>
    </row>
    <row r="123" spans="1:14" x14ac:dyDescent="0.25">
      <c r="A123" t="s">
        <v>1264</v>
      </c>
      <c r="B123" t="s">
        <v>1028</v>
      </c>
      <c r="C123" t="s">
        <v>122</v>
      </c>
      <c r="D123" t="s">
        <v>990</v>
      </c>
      <c r="E123" s="1">
        <v>45662.049305555556</v>
      </c>
      <c r="F123" s="1">
        <v>45677.049305555556</v>
      </c>
      <c r="G123" t="s">
        <v>717</v>
      </c>
      <c r="H123" s="11">
        <v>50</v>
      </c>
      <c r="I123" s="15">
        <v>13.15</v>
      </c>
      <c r="J123">
        <v>2.5</v>
      </c>
      <c r="K123">
        <v>641.05999999999995</v>
      </c>
      <c r="L123">
        <f t="shared" si="2"/>
        <v>641.05999999999995</v>
      </c>
      <c r="M123" t="str">
        <f t="shared" si="3"/>
        <v>Pass</v>
      </c>
      <c r="N123" t="s">
        <v>3271</v>
      </c>
    </row>
    <row r="124" spans="1:14" x14ac:dyDescent="0.25">
      <c r="A124" t="s">
        <v>1265</v>
      </c>
      <c r="B124" t="s">
        <v>1029</v>
      </c>
      <c r="C124" t="s">
        <v>232</v>
      </c>
      <c r="D124" t="s">
        <v>976</v>
      </c>
      <c r="E124" s="1">
        <v>45691.363888888889</v>
      </c>
      <c r="F124" s="1">
        <v>45705.363888888889</v>
      </c>
      <c r="G124" t="s">
        <v>502</v>
      </c>
      <c r="H124" s="11">
        <v>193</v>
      </c>
      <c r="I124" s="15">
        <v>13.42</v>
      </c>
      <c r="J124">
        <v>5</v>
      </c>
      <c r="K124">
        <v>2460.56</v>
      </c>
      <c r="L124">
        <f t="shared" si="2"/>
        <v>2460.56</v>
      </c>
      <c r="M124" t="str">
        <f t="shared" si="3"/>
        <v>Pass</v>
      </c>
      <c r="N124" t="s">
        <v>3271</v>
      </c>
    </row>
    <row r="125" spans="1:14" x14ac:dyDescent="0.25">
      <c r="A125" t="s">
        <v>1266</v>
      </c>
      <c r="B125" t="s">
        <v>1029</v>
      </c>
      <c r="C125" t="s">
        <v>232</v>
      </c>
      <c r="D125" t="s">
        <v>976</v>
      </c>
      <c r="E125" s="1">
        <v>45691.363888888889</v>
      </c>
      <c r="F125" s="1">
        <v>45705.363888888889</v>
      </c>
      <c r="G125" t="s">
        <v>813</v>
      </c>
      <c r="H125" s="11">
        <v>59</v>
      </c>
      <c r="I125" s="15">
        <v>6.19</v>
      </c>
      <c r="J125">
        <v>0</v>
      </c>
      <c r="K125">
        <v>365.21</v>
      </c>
      <c r="L125">
        <f t="shared" si="2"/>
        <v>365.21</v>
      </c>
      <c r="M125" t="str">
        <f t="shared" si="3"/>
        <v>Pass</v>
      </c>
      <c r="N125" t="s">
        <v>1248</v>
      </c>
    </row>
    <row r="126" spans="1:14" x14ac:dyDescent="0.25">
      <c r="A126" t="s">
        <v>1267</v>
      </c>
      <c r="B126" t="s">
        <v>1029</v>
      </c>
      <c r="C126" t="s">
        <v>232</v>
      </c>
      <c r="D126" t="s">
        <v>976</v>
      </c>
      <c r="E126" s="1">
        <v>45691.363888888889</v>
      </c>
      <c r="F126" s="1">
        <v>45705.363888888889</v>
      </c>
      <c r="G126" t="s">
        <v>813</v>
      </c>
      <c r="H126" s="11">
        <v>72</v>
      </c>
      <c r="I126" s="15">
        <v>5.91</v>
      </c>
      <c r="J126">
        <v>2.5</v>
      </c>
      <c r="K126">
        <v>414.88</v>
      </c>
      <c r="L126">
        <f t="shared" si="2"/>
        <v>414.88</v>
      </c>
      <c r="M126" t="str">
        <f t="shared" si="3"/>
        <v>Pass</v>
      </c>
      <c r="N126" t="s">
        <v>1258</v>
      </c>
    </row>
    <row r="127" spans="1:14" x14ac:dyDescent="0.25">
      <c r="A127" t="s">
        <v>1268</v>
      </c>
      <c r="B127" t="s">
        <v>1030</v>
      </c>
      <c r="C127" t="s">
        <v>288</v>
      </c>
      <c r="D127" t="s">
        <v>968</v>
      </c>
      <c r="E127" s="1">
        <v>45697.986111111109</v>
      </c>
      <c r="F127" s="1">
        <v>45705.986111111109</v>
      </c>
      <c r="G127" t="s">
        <v>413</v>
      </c>
      <c r="H127" s="11">
        <v>180</v>
      </c>
      <c r="I127" s="15">
        <v>2.1800000000000002</v>
      </c>
      <c r="J127">
        <v>10</v>
      </c>
      <c r="K127">
        <v>353.16</v>
      </c>
      <c r="L127">
        <f t="shared" si="2"/>
        <v>353.16</v>
      </c>
      <c r="M127" t="str">
        <f t="shared" si="3"/>
        <v>Pass</v>
      </c>
      <c r="N127" t="s">
        <v>1258</v>
      </c>
    </row>
    <row r="128" spans="1:14" x14ac:dyDescent="0.25">
      <c r="A128" t="s">
        <v>1269</v>
      </c>
      <c r="B128" t="s">
        <v>1030</v>
      </c>
      <c r="C128" t="s">
        <v>288</v>
      </c>
      <c r="D128" t="s">
        <v>968</v>
      </c>
      <c r="E128" s="1">
        <v>45697.986111111109</v>
      </c>
      <c r="F128" s="1">
        <v>45705.986111111109</v>
      </c>
      <c r="G128" t="s">
        <v>413</v>
      </c>
      <c r="H128" s="11">
        <v>205</v>
      </c>
      <c r="I128" s="15">
        <v>1.9</v>
      </c>
      <c r="J128">
        <v>5</v>
      </c>
      <c r="K128">
        <v>370.02</v>
      </c>
      <c r="L128">
        <f t="shared" si="2"/>
        <v>370.03</v>
      </c>
      <c r="M128" t="str">
        <f t="shared" si="3"/>
        <v>Pass</v>
      </c>
      <c r="N128" t="s">
        <v>1258</v>
      </c>
    </row>
    <row r="129" spans="1:14" x14ac:dyDescent="0.25">
      <c r="A129" t="s">
        <v>1270</v>
      </c>
      <c r="B129" t="s">
        <v>1030</v>
      </c>
      <c r="C129" t="s">
        <v>288</v>
      </c>
      <c r="D129" t="s">
        <v>968</v>
      </c>
      <c r="E129" s="1">
        <v>45697.986111111109</v>
      </c>
      <c r="F129" s="1">
        <v>45705.986111111109</v>
      </c>
      <c r="G129" t="s">
        <v>630</v>
      </c>
      <c r="H129" s="11">
        <v>49</v>
      </c>
      <c r="I129" s="15">
        <v>11.87</v>
      </c>
      <c r="J129">
        <v>7.5</v>
      </c>
      <c r="K129">
        <v>538.01</v>
      </c>
      <c r="L129">
        <f t="shared" si="2"/>
        <v>538.01</v>
      </c>
      <c r="M129" t="str">
        <f t="shared" si="3"/>
        <v>Pass</v>
      </c>
      <c r="N129" t="s">
        <v>1248</v>
      </c>
    </row>
    <row r="130" spans="1:14" x14ac:dyDescent="0.25">
      <c r="A130" t="s">
        <v>1271</v>
      </c>
      <c r="B130" t="s">
        <v>1031</v>
      </c>
      <c r="C130" t="s">
        <v>208</v>
      </c>
      <c r="D130" t="s">
        <v>990</v>
      </c>
      <c r="E130" s="1">
        <v>45711.592361111114</v>
      </c>
      <c r="F130" s="1">
        <v>45718.592361111114</v>
      </c>
      <c r="G130" t="s">
        <v>888</v>
      </c>
      <c r="H130" s="11">
        <v>83</v>
      </c>
      <c r="I130" s="15">
        <v>3.51</v>
      </c>
      <c r="J130">
        <v>5</v>
      </c>
      <c r="K130">
        <v>276.76</v>
      </c>
      <c r="L130">
        <f t="shared" ref="L130:L193" si="4">ROUND((H130*I130)-(J130/100)*(H130*I130),2)</f>
        <v>276.76</v>
      </c>
      <c r="M130" t="str">
        <f t="shared" ref="M130:M193" si="5">IF(K130=L130,"Pass",IF(K130=L130-0.01,"Pass","Investigate"))</f>
        <v>Pass</v>
      </c>
      <c r="N130" t="s">
        <v>1258</v>
      </c>
    </row>
    <row r="131" spans="1:14" x14ac:dyDescent="0.25">
      <c r="A131" t="s">
        <v>1272</v>
      </c>
      <c r="B131" t="s">
        <v>1031</v>
      </c>
      <c r="C131" t="s">
        <v>208</v>
      </c>
      <c r="D131" t="s">
        <v>990</v>
      </c>
      <c r="E131" s="1">
        <v>45711.592361111114</v>
      </c>
      <c r="F131" s="1">
        <v>45718.592361111114</v>
      </c>
      <c r="G131" t="s">
        <v>888</v>
      </c>
      <c r="H131" s="11">
        <v>24</v>
      </c>
      <c r="I131" s="15">
        <v>3.7</v>
      </c>
      <c r="J131">
        <v>10</v>
      </c>
      <c r="K131">
        <v>79.92</v>
      </c>
      <c r="L131">
        <f t="shared" si="4"/>
        <v>79.92</v>
      </c>
      <c r="M131" t="str">
        <f t="shared" si="5"/>
        <v>Pass</v>
      </c>
      <c r="N131" t="s">
        <v>1258</v>
      </c>
    </row>
    <row r="132" spans="1:14" x14ac:dyDescent="0.25">
      <c r="A132" t="s">
        <v>1273</v>
      </c>
      <c r="B132" t="s">
        <v>1031</v>
      </c>
      <c r="C132" t="s">
        <v>208</v>
      </c>
      <c r="D132" t="s">
        <v>990</v>
      </c>
      <c r="E132" s="1">
        <v>45711.592361111114</v>
      </c>
      <c r="F132" s="1">
        <v>45718.592361111114</v>
      </c>
      <c r="G132" t="s">
        <v>888</v>
      </c>
      <c r="H132" s="11">
        <v>115</v>
      </c>
      <c r="I132" s="15">
        <v>3.71</v>
      </c>
      <c r="J132">
        <v>5</v>
      </c>
      <c r="K132">
        <v>405.32</v>
      </c>
      <c r="L132">
        <f t="shared" si="4"/>
        <v>405.32</v>
      </c>
      <c r="M132" t="str">
        <f t="shared" si="5"/>
        <v>Pass</v>
      </c>
      <c r="N132" t="s">
        <v>1258</v>
      </c>
    </row>
    <row r="133" spans="1:14" x14ac:dyDescent="0.25">
      <c r="A133" t="s">
        <v>1274</v>
      </c>
      <c r="B133" t="s">
        <v>1032</v>
      </c>
      <c r="C133" t="s">
        <v>155</v>
      </c>
      <c r="D133" t="s">
        <v>980</v>
      </c>
      <c r="E133" s="1">
        <v>45675.631249999999</v>
      </c>
      <c r="F133" s="1">
        <v>45678.631249999999</v>
      </c>
      <c r="G133" t="s">
        <v>420</v>
      </c>
      <c r="H133" s="11">
        <v>18</v>
      </c>
      <c r="I133" s="15">
        <v>13.17</v>
      </c>
      <c r="J133">
        <v>7.5</v>
      </c>
      <c r="K133">
        <v>219.28</v>
      </c>
      <c r="L133">
        <f t="shared" si="4"/>
        <v>219.28</v>
      </c>
      <c r="M133" t="str">
        <f t="shared" si="5"/>
        <v>Pass</v>
      </c>
      <c r="N133" t="s">
        <v>1258</v>
      </c>
    </row>
    <row r="134" spans="1:14" x14ac:dyDescent="0.25">
      <c r="A134" t="s">
        <v>1275</v>
      </c>
      <c r="B134" t="s">
        <v>1032</v>
      </c>
      <c r="C134" t="s">
        <v>155</v>
      </c>
      <c r="D134" t="s">
        <v>980</v>
      </c>
      <c r="E134" s="1">
        <v>45675.631249999999</v>
      </c>
      <c r="F134" s="1">
        <v>45678.631249999999</v>
      </c>
      <c r="G134" t="s">
        <v>597</v>
      </c>
      <c r="H134" s="11">
        <v>228</v>
      </c>
      <c r="I134" s="15">
        <v>2.74</v>
      </c>
      <c r="J134">
        <v>0</v>
      </c>
      <c r="K134">
        <v>624.72</v>
      </c>
      <c r="L134">
        <f t="shared" si="4"/>
        <v>624.72</v>
      </c>
      <c r="M134" t="str">
        <f t="shared" si="5"/>
        <v>Pass</v>
      </c>
      <c r="N134" t="s">
        <v>1248</v>
      </c>
    </row>
    <row r="135" spans="1:14" x14ac:dyDescent="0.25">
      <c r="A135" t="s">
        <v>1276</v>
      </c>
      <c r="B135" t="s">
        <v>1033</v>
      </c>
      <c r="C135" t="s">
        <v>62</v>
      </c>
      <c r="D135" t="s">
        <v>996</v>
      </c>
      <c r="E135" s="1">
        <v>45681.994444444441</v>
      </c>
      <c r="F135" s="1">
        <v>45699.994444444441</v>
      </c>
      <c r="G135" t="s">
        <v>557</v>
      </c>
      <c r="H135" s="11">
        <v>109</v>
      </c>
      <c r="I135" s="15">
        <v>1.71</v>
      </c>
      <c r="J135">
        <v>10</v>
      </c>
      <c r="K135">
        <v>167.75</v>
      </c>
      <c r="L135">
        <f t="shared" si="4"/>
        <v>167.75</v>
      </c>
      <c r="M135" t="str">
        <f t="shared" si="5"/>
        <v>Pass</v>
      </c>
      <c r="N135" t="s">
        <v>1258</v>
      </c>
    </row>
    <row r="136" spans="1:14" x14ac:dyDescent="0.25">
      <c r="A136" t="s">
        <v>1277</v>
      </c>
      <c r="B136" t="s">
        <v>1033</v>
      </c>
      <c r="C136" t="s">
        <v>62</v>
      </c>
      <c r="D136" t="s">
        <v>996</v>
      </c>
      <c r="E136" s="1">
        <v>45681.994444444441</v>
      </c>
      <c r="F136" s="1">
        <v>45699.994444444441</v>
      </c>
      <c r="G136" t="s">
        <v>557</v>
      </c>
      <c r="H136" s="11">
        <v>138</v>
      </c>
      <c r="I136" s="15">
        <v>1.76</v>
      </c>
      <c r="J136">
        <v>0</v>
      </c>
      <c r="K136">
        <v>242.88</v>
      </c>
      <c r="L136">
        <f t="shared" si="4"/>
        <v>242.88</v>
      </c>
      <c r="M136" t="str">
        <f t="shared" si="5"/>
        <v>Pass</v>
      </c>
      <c r="N136" t="s">
        <v>3271</v>
      </c>
    </row>
    <row r="137" spans="1:14" x14ac:dyDescent="0.25">
      <c r="A137" t="s">
        <v>1278</v>
      </c>
      <c r="B137" t="s">
        <v>1033</v>
      </c>
      <c r="C137" t="s">
        <v>62</v>
      </c>
      <c r="D137" t="s">
        <v>996</v>
      </c>
      <c r="E137" s="1">
        <v>45681.994444444441</v>
      </c>
      <c r="F137" s="1">
        <v>45699.994444444441</v>
      </c>
      <c r="G137" t="s">
        <v>557</v>
      </c>
      <c r="H137" s="11">
        <v>34</v>
      </c>
      <c r="I137" s="15">
        <v>1.69</v>
      </c>
      <c r="J137">
        <v>5</v>
      </c>
      <c r="K137">
        <v>54.59</v>
      </c>
      <c r="L137">
        <f t="shared" si="4"/>
        <v>54.59</v>
      </c>
      <c r="M137" t="str">
        <f t="shared" si="5"/>
        <v>Pass</v>
      </c>
      <c r="N137" t="s">
        <v>1248</v>
      </c>
    </row>
    <row r="138" spans="1:14" x14ac:dyDescent="0.25">
      <c r="A138" t="s">
        <v>1279</v>
      </c>
      <c r="B138" t="s">
        <v>1034</v>
      </c>
      <c r="C138" t="s">
        <v>161</v>
      </c>
      <c r="D138" t="s">
        <v>996</v>
      </c>
      <c r="E138" s="1">
        <v>45724.808333333334</v>
      </c>
      <c r="F138" s="1">
        <v>45730.808333333334</v>
      </c>
      <c r="G138" t="s">
        <v>603</v>
      </c>
      <c r="H138" s="11">
        <v>58</v>
      </c>
      <c r="I138" s="15">
        <v>4.6900000000000004</v>
      </c>
      <c r="J138">
        <v>10</v>
      </c>
      <c r="K138">
        <v>244.82</v>
      </c>
      <c r="L138">
        <f t="shared" si="4"/>
        <v>244.82</v>
      </c>
      <c r="M138" t="str">
        <f t="shared" si="5"/>
        <v>Pass</v>
      </c>
      <c r="N138" t="s">
        <v>1248</v>
      </c>
    </row>
    <row r="139" spans="1:14" x14ac:dyDescent="0.25">
      <c r="A139" t="s">
        <v>1280</v>
      </c>
      <c r="B139" t="s">
        <v>1034</v>
      </c>
      <c r="C139" t="s">
        <v>161</v>
      </c>
      <c r="D139" t="s">
        <v>996</v>
      </c>
      <c r="E139" s="1">
        <v>45724.808333333334</v>
      </c>
      <c r="F139" s="1">
        <v>45730.808333333334</v>
      </c>
      <c r="G139" t="s">
        <v>603</v>
      </c>
      <c r="H139" s="11">
        <v>201</v>
      </c>
      <c r="I139" s="15">
        <v>4.88</v>
      </c>
      <c r="J139">
        <v>10</v>
      </c>
      <c r="K139">
        <v>882.79</v>
      </c>
      <c r="L139">
        <f t="shared" si="4"/>
        <v>882.79</v>
      </c>
      <c r="M139" t="str">
        <f t="shared" si="5"/>
        <v>Pass</v>
      </c>
      <c r="N139" t="s">
        <v>1248</v>
      </c>
    </row>
    <row r="140" spans="1:14" x14ac:dyDescent="0.25">
      <c r="A140" t="s">
        <v>1281</v>
      </c>
      <c r="B140" t="s">
        <v>1034</v>
      </c>
      <c r="C140" t="s">
        <v>161</v>
      </c>
      <c r="D140" t="s">
        <v>996</v>
      </c>
      <c r="E140" s="1">
        <v>45724.808333333334</v>
      </c>
      <c r="F140" s="1">
        <v>45730.808333333334</v>
      </c>
      <c r="G140" t="s">
        <v>603</v>
      </c>
      <c r="H140" s="11">
        <v>69</v>
      </c>
      <c r="I140" s="15">
        <v>4.8899999999999997</v>
      </c>
      <c r="J140">
        <v>2.5</v>
      </c>
      <c r="K140">
        <v>328.97</v>
      </c>
      <c r="L140">
        <f t="shared" si="4"/>
        <v>328.97</v>
      </c>
      <c r="M140" t="str">
        <f t="shared" si="5"/>
        <v>Pass</v>
      </c>
      <c r="N140" t="s">
        <v>1258</v>
      </c>
    </row>
    <row r="141" spans="1:14" x14ac:dyDescent="0.25">
      <c r="A141" t="s">
        <v>1282</v>
      </c>
      <c r="B141" t="s">
        <v>1035</v>
      </c>
      <c r="C141" t="s">
        <v>90</v>
      </c>
      <c r="D141" t="s">
        <v>959</v>
      </c>
      <c r="E141" s="1">
        <v>45662.824999999997</v>
      </c>
      <c r="F141" s="1">
        <v>45676.824999999997</v>
      </c>
      <c r="G141" t="s">
        <v>699</v>
      </c>
      <c r="H141" s="11">
        <v>109</v>
      </c>
      <c r="I141" s="15">
        <v>1.69</v>
      </c>
      <c r="J141">
        <v>0</v>
      </c>
      <c r="K141">
        <v>184.21</v>
      </c>
      <c r="L141">
        <f t="shared" si="4"/>
        <v>184.21</v>
      </c>
      <c r="M141" t="str">
        <f t="shared" si="5"/>
        <v>Pass</v>
      </c>
      <c r="N141" t="s">
        <v>1248</v>
      </c>
    </row>
    <row r="142" spans="1:14" x14ac:dyDescent="0.25">
      <c r="A142" t="s">
        <v>1283</v>
      </c>
      <c r="B142" t="s">
        <v>1035</v>
      </c>
      <c r="C142" t="s">
        <v>90</v>
      </c>
      <c r="D142" t="s">
        <v>959</v>
      </c>
      <c r="E142" s="1">
        <v>45662.824999999997</v>
      </c>
      <c r="F142" s="1">
        <v>45676.824999999997</v>
      </c>
      <c r="G142" t="s">
        <v>699</v>
      </c>
      <c r="H142" s="11">
        <v>134</v>
      </c>
      <c r="I142" s="15">
        <v>1.77</v>
      </c>
      <c r="J142">
        <v>0</v>
      </c>
      <c r="K142">
        <v>237.18</v>
      </c>
      <c r="L142">
        <f t="shared" si="4"/>
        <v>237.18</v>
      </c>
      <c r="M142" t="str">
        <f t="shared" si="5"/>
        <v>Pass</v>
      </c>
      <c r="N142" t="s">
        <v>1258</v>
      </c>
    </row>
    <row r="143" spans="1:14" x14ac:dyDescent="0.25">
      <c r="A143" t="s">
        <v>1284</v>
      </c>
      <c r="B143" t="s">
        <v>1035</v>
      </c>
      <c r="C143" t="s">
        <v>90</v>
      </c>
      <c r="D143" t="s">
        <v>959</v>
      </c>
      <c r="E143" s="1">
        <v>45662.824999999997</v>
      </c>
      <c r="F143" s="1">
        <v>45676.824999999997</v>
      </c>
      <c r="G143" t="s">
        <v>699</v>
      </c>
      <c r="H143" s="11">
        <v>164</v>
      </c>
      <c r="I143" s="15">
        <v>1.81</v>
      </c>
      <c r="J143">
        <v>7.5</v>
      </c>
      <c r="K143">
        <v>274.58</v>
      </c>
      <c r="L143">
        <f t="shared" si="4"/>
        <v>274.58</v>
      </c>
      <c r="M143" t="str">
        <f t="shared" si="5"/>
        <v>Pass</v>
      </c>
      <c r="N143" t="s">
        <v>1248</v>
      </c>
    </row>
    <row r="144" spans="1:14" x14ac:dyDescent="0.25">
      <c r="A144" t="s">
        <v>1285</v>
      </c>
      <c r="B144" t="s">
        <v>1036</v>
      </c>
      <c r="C144" t="s">
        <v>285</v>
      </c>
      <c r="D144" t="s">
        <v>990</v>
      </c>
      <c r="E144" s="1">
        <v>45714.943055555559</v>
      </c>
      <c r="F144" s="1">
        <v>45731.943055555559</v>
      </c>
      <c r="G144" t="s">
        <v>846</v>
      </c>
      <c r="H144" s="11">
        <v>188</v>
      </c>
      <c r="I144" s="15">
        <v>14.16</v>
      </c>
      <c r="J144">
        <v>7.5</v>
      </c>
      <c r="K144">
        <v>2462.42</v>
      </c>
      <c r="L144">
        <f t="shared" si="4"/>
        <v>2462.42</v>
      </c>
      <c r="M144" t="str">
        <f t="shared" si="5"/>
        <v>Pass</v>
      </c>
      <c r="N144" t="s">
        <v>1258</v>
      </c>
    </row>
    <row r="145" spans="1:14" x14ac:dyDescent="0.25">
      <c r="A145" t="s">
        <v>1286</v>
      </c>
      <c r="B145" t="s">
        <v>1036</v>
      </c>
      <c r="C145" t="s">
        <v>285</v>
      </c>
      <c r="D145" t="s">
        <v>990</v>
      </c>
      <c r="E145" s="1">
        <v>45714.943055555559</v>
      </c>
      <c r="F145" s="1">
        <v>45731.943055555559</v>
      </c>
      <c r="G145" t="s">
        <v>852</v>
      </c>
      <c r="H145" s="11">
        <v>164</v>
      </c>
      <c r="I145" s="15">
        <v>1.64</v>
      </c>
      <c r="J145">
        <v>0</v>
      </c>
      <c r="K145">
        <v>268.95999999999998</v>
      </c>
      <c r="L145">
        <f t="shared" si="4"/>
        <v>268.95999999999998</v>
      </c>
      <c r="M145" t="str">
        <f t="shared" si="5"/>
        <v>Pass</v>
      </c>
      <c r="N145" t="s">
        <v>3271</v>
      </c>
    </row>
    <row r="146" spans="1:14" x14ac:dyDescent="0.25">
      <c r="A146" t="s">
        <v>1287</v>
      </c>
      <c r="B146" t="s">
        <v>1036</v>
      </c>
      <c r="C146" t="s">
        <v>285</v>
      </c>
      <c r="D146" t="s">
        <v>990</v>
      </c>
      <c r="E146" s="1">
        <v>45714.943055555559</v>
      </c>
      <c r="F146" s="1">
        <v>45731.943055555559</v>
      </c>
      <c r="G146" t="s">
        <v>846</v>
      </c>
      <c r="H146" s="11">
        <v>230</v>
      </c>
      <c r="I146" s="15">
        <v>16.170000000000002</v>
      </c>
      <c r="J146">
        <v>0</v>
      </c>
      <c r="K146">
        <v>3719.1</v>
      </c>
      <c r="L146">
        <f t="shared" si="4"/>
        <v>3719.1</v>
      </c>
      <c r="M146" t="str">
        <f t="shared" si="5"/>
        <v>Pass</v>
      </c>
      <c r="N146" t="s">
        <v>1258</v>
      </c>
    </row>
    <row r="147" spans="1:14" x14ac:dyDescent="0.25">
      <c r="A147" t="s">
        <v>1288</v>
      </c>
      <c r="B147" t="s">
        <v>1037</v>
      </c>
      <c r="C147" t="s">
        <v>62</v>
      </c>
      <c r="D147" t="s">
        <v>972</v>
      </c>
      <c r="E147" s="1">
        <v>45671.751388888886</v>
      </c>
      <c r="F147" s="1">
        <v>45690.751388888886</v>
      </c>
      <c r="G147" t="s">
        <v>557</v>
      </c>
      <c r="H147" s="11">
        <v>191</v>
      </c>
      <c r="I147" s="15">
        <v>1.86</v>
      </c>
      <c r="J147">
        <v>7.5</v>
      </c>
      <c r="K147">
        <v>328.62</v>
      </c>
      <c r="L147">
        <f t="shared" si="4"/>
        <v>328.62</v>
      </c>
      <c r="M147" t="str">
        <f t="shared" si="5"/>
        <v>Pass</v>
      </c>
      <c r="N147" t="s">
        <v>1248</v>
      </c>
    </row>
    <row r="148" spans="1:14" x14ac:dyDescent="0.25">
      <c r="A148" t="s">
        <v>1289</v>
      </c>
      <c r="B148" t="s">
        <v>1037</v>
      </c>
      <c r="C148" t="s">
        <v>62</v>
      </c>
      <c r="D148" t="s">
        <v>972</v>
      </c>
      <c r="E148" s="1">
        <v>45671.751388888886</v>
      </c>
      <c r="F148" s="1">
        <v>45690.751388888886</v>
      </c>
      <c r="G148" t="s">
        <v>557</v>
      </c>
      <c r="H148" s="11">
        <v>77</v>
      </c>
      <c r="I148" s="15">
        <v>1.88</v>
      </c>
      <c r="J148">
        <v>7.5</v>
      </c>
      <c r="K148">
        <v>133.9</v>
      </c>
      <c r="L148">
        <f t="shared" si="4"/>
        <v>133.9</v>
      </c>
      <c r="M148" t="str">
        <f t="shared" si="5"/>
        <v>Pass</v>
      </c>
      <c r="N148" t="s">
        <v>1258</v>
      </c>
    </row>
    <row r="149" spans="1:14" x14ac:dyDescent="0.25">
      <c r="A149" t="s">
        <v>1290</v>
      </c>
      <c r="B149" t="s">
        <v>1037</v>
      </c>
      <c r="C149" t="s">
        <v>62</v>
      </c>
      <c r="D149" t="s">
        <v>972</v>
      </c>
      <c r="E149" s="1">
        <v>45671.751388888886</v>
      </c>
      <c r="F149" s="1">
        <v>45690.751388888886</v>
      </c>
      <c r="G149" t="s">
        <v>557</v>
      </c>
      <c r="H149" s="11">
        <v>185</v>
      </c>
      <c r="I149" s="15">
        <v>1.84</v>
      </c>
      <c r="J149">
        <v>5</v>
      </c>
      <c r="K149">
        <v>323.38</v>
      </c>
      <c r="L149">
        <f t="shared" si="4"/>
        <v>323.38</v>
      </c>
      <c r="M149" t="str">
        <f t="shared" si="5"/>
        <v>Pass</v>
      </c>
      <c r="N149" t="s">
        <v>3271</v>
      </c>
    </row>
    <row r="150" spans="1:14" x14ac:dyDescent="0.25">
      <c r="A150" t="s">
        <v>1291</v>
      </c>
      <c r="B150" t="s">
        <v>1038</v>
      </c>
      <c r="C150" t="s">
        <v>271</v>
      </c>
      <c r="D150" t="s">
        <v>987</v>
      </c>
      <c r="E150" s="1">
        <v>45665.97152777778</v>
      </c>
      <c r="F150" s="1">
        <v>45668.97152777778</v>
      </c>
      <c r="G150" t="s">
        <v>508</v>
      </c>
      <c r="H150" s="11">
        <v>59</v>
      </c>
      <c r="I150" s="15">
        <v>11.83</v>
      </c>
      <c r="J150">
        <v>7.5</v>
      </c>
      <c r="K150">
        <v>645.62</v>
      </c>
      <c r="L150">
        <f t="shared" si="4"/>
        <v>645.62</v>
      </c>
      <c r="M150" t="str">
        <f t="shared" si="5"/>
        <v>Pass</v>
      </c>
      <c r="N150" t="s">
        <v>1258</v>
      </c>
    </row>
    <row r="151" spans="1:14" x14ac:dyDescent="0.25">
      <c r="A151" t="s">
        <v>1292</v>
      </c>
      <c r="B151" t="s">
        <v>1038</v>
      </c>
      <c r="C151" t="s">
        <v>271</v>
      </c>
      <c r="D151" t="s">
        <v>987</v>
      </c>
      <c r="E151" s="1">
        <v>45665.97152777778</v>
      </c>
      <c r="F151" s="1">
        <v>45668.97152777778</v>
      </c>
      <c r="G151" t="s">
        <v>750</v>
      </c>
      <c r="H151" s="11">
        <v>182</v>
      </c>
      <c r="I151" s="15">
        <v>14.58</v>
      </c>
      <c r="J151">
        <v>10</v>
      </c>
      <c r="K151">
        <v>2388.1999999999998</v>
      </c>
      <c r="L151">
        <f t="shared" si="4"/>
        <v>2388.1999999999998</v>
      </c>
      <c r="M151" t="str">
        <f t="shared" si="5"/>
        <v>Pass</v>
      </c>
      <c r="N151" t="s">
        <v>1258</v>
      </c>
    </row>
    <row r="152" spans="1:14" x14ac:dyDescent="0.25">
      <c r="A152" t="s">
        <v>1293</v>
      </c>
      <c r="B152" t="s">
        <v>1038</v>
      </c>
      <c r="C152" t="s">
        <v>271</v>
      </c>
      <c r="D152" t="s">
        <v>987</v>
      </c>
      <c r="E152" s="1">
        <v>45665.97152777778</v>
      </c>
      <c r="F152" s="1">
        <v>45668.97152777778</v>
      </c>
      <c r="G152" t="s">
        <v>433</v>
      </c>
      <c r="H152" s="11">
        <v>49</v>
      </c>
      <c r="I152" s="15">
        <v>3.97</v>
      </c>
      <c r="J152">
        <v>5</v>
      </c>
      <c r="K152">
        <v>184.8</v>
      </c>
      <c r="L152">
        <f t="shared" si="4"/>
        <v>184.8</v>
      </c>
      <c r="M152" t="str">
        <f t="shared" si="5"/>
        <v>Pass</v>
      </c>
      <c r="N152" t="s">
        <v>1248</v>
      </c>
    </row>
    <row r="153" spans="1:14" x14ac:dyDescent="0.25">
      <c r="A153" t="s">
        <v>1294</v>
      </c>
      <c r="B153" t="s">
        <v>1039</v>
      </c>
      <c r="C153" t="s">
        <v>211</v>
      </c>
      <c r="D153" t="s">
        <v>999</v>
      </c>
      <c r="E153" s="1">
        <v>45658.127083333333</v>
      </c>
      <c r="F153" s="1">
        <v>45665.127083333333</v>
      </c>
      <c r="G153" t="s">
        <v>505</v>
      </c>
      <c r="H153" s="11">
        <v>17</v>
      </c>
      <c r="I153" s="15">
        <v>6.87</v>
      </c>
      <c r="J153">
        <v>2.5</v>
      </c>
      <c r="K153">
        <v>113.87</v>
      </c>
      <c r="L153">
        <f t="shared" si="4"/>
        <v>113.87</v>
      </c>
      <c r="M153" t="str">
        <f t="shared" si="5"/>
        <v>Pass</v>
      </c>
      <c r="N153" t="s">
        <v>1248</v>
      </c>
    </row>
    <row r="154" spans="1:14" x14ac:dyDescent="0.25">
      <c r="A154" t="s">
        <v>1295</v>
      </c>
      <c r="B154" t="s">
        <v>1039</v>
      </c>
      <c r="C154" t="s">
        <v>211</v>
      </c>
      <c r="D154" t="s">
        <v>999</v>
      </c>
      <c r="E154" s="1">
        <v>45658.127083333333</v>
      </c>
      <c r="F154" s="1">
        <v>45665.127083333333</v>
      </c>
      <c r="G154" t="s">
        <v>505</v>
      </c>
      <c r="H154" s="11">
        <v>142</v>
      </c>
      <c r="I154" s="15">
        <v>6.74</v>
      </c>
      <c r="J154">
        <v>2.5</v>
      </c>
      <c r="K154">
        <v>933.15</v>
      </c>
      <c r="L154">
        <f t="shared" si="4"/>
        <v>933.15</v>
      </c>
      <c r="M154" t="str">
        <f t="shared" si="5"/>
        <v>Pass</v>
      </c>
      <c r="N154" t="s">
        <v>1258</v>
      </c>
    </row>
    <row r="155" spans="1:14" x14ac:dyDescent="0.25">
      <c r="A155" t="s">
        <v>1296</v>
      </c>
      <c r="B155" t="s">
        <v>1039</v>
      </c>
      <c r="C155" t="s">
        <v>211</v>
      </c>
      <c r="D155" t="s">
        <v>999</v>
      </c>
      <c r="E155" s="1">
        <v>45658.127083333333</v>
      </c>
      <c r="F155" s="1">
        <v>45665.127083333333</v>
      </c>
      <c r="G155" t="s">
        <v>505</v>
      </c>
      <c r="H155" s="11">
        <v>171</v>
      </c>
      <c r="I155" s="15">
        <v>7.18</v>
      </c>
      <c r="J155">
        <v>7.5</v>
      </c>
      <c r="K155">
        <v>1135.7</v>
      </c>
      <c r="L155">
        <f t="shared" si="4"/>
        <v>1135.7</v>
      </c>
      <c r="M155" t="str">
        <f t="shared" si="5"/>
        <v>Pass</v>
      </c>
      <c r="N155" t="s">
        <v>3271</v>
      </c>
    </row>
    <row r="156" spans="1:14" x14ac:dyDescent="0.25">
      <c r="A156" t="s">
        <v>1297</v>
      </c>
      <c r="B156" t="s">
        <v>1040</v>
      </c>
      <c r="C156" t="s">
        <v>161</v>
      </c>
      <c r="D156" t="s">
        <v>987</v>
      </c>
      <c r="E156" s="1">
        <v>45705.129166666666</v>
      </c>
      <c r="F156" s="1">
        <v>45710.129166666666</v>
      </c>
      <c r="G156" t="s">
        <v>603</v>
      </c>
      <c r="H156" s="11">
        <v>63</v>
      </c>
      <c r="I156" s="15">
        <v>5.08</v>
      </c>
      <c r="J156">
        <v>10</v>
      </c>
      <c r="K156">
        <v>288.04000000000002</v>
      </c>
      <c r="L156">
        <f t="shared" si="4"/>
        <v>288.04000000000002</v>
      </c>
      <c r="M156" t="str">
        <f t="shared" si="5"/>
        <v>Pass</v>
      </c>
      <c r="N156" t="s">
        <v>1258</v>
      </c>
    </row>
    <row r="157" spans="1:14" x14ac:dyDescent="0.25">
      <c r="A157" t="s">
        <v>1298</v>
      </c>
      <c r="B157" t="s">
        <v>1040</v>
      </c>
      <c r="C157" t="s">
        <v>161</v>
      </c>
      <c r="D157" t="s">
        <v>987</v>
      </c>
      <c r="E157" s="1">
        <v>45705.129166666666</v>
      </c>
      <c r="F157" s="1">
        <v>45710.129166666666</v>
      </c>
      <c r="G157" t="s">
        <v>603</v>
      </c>
      <c r="H157" s="11">
        <v>149</v>
      </c>
      <c r="I157" s="15">
        <v>4.58</v>
      </c>
      <c r="J157">
        <v>0</v>
      </c>
      <c r="K157">
        <v>682.42</v>
      </c>
      <c r="L157">
        <f t="shared" si="4"/>
        <v>682.42</v>
      </c>
      <c r="M157" t="str">
        <f t="shared" si="5"/>
        <v>Pass</v>
      </c>
      <c r="N157" t="s">
        <v>1248</v>
      </c>
    </row>
    <row r="158" spans="1:14" x14ac:dyDescent="0.25">
      <c r="A158" t="s">
        <v>1299</v>
      </c>
      <c r="B158" t="s">
        <v>1041</v>
      </c>
      <c r="C158" t="s">
        <v>164</v>
      </c>
      <c r="D158" t="s">
        <v>968</v>
      </c>
      <c r="E158" s="1">
        <v>45697.210416666669</v>
      </c>
      <c r="F158" s="1">
        <v>45715.210416666669</v>
      </c>
      <c r="G158" t="s">
        <v>687</v>
      </c>
      <c r="H158" s="11">
        <v>103</v>
      </c>
      <c r="I158" s="15">
        <v>16.64</v>
      </c>
      <c r="J158">
        <v>2.5</v>
      </c>
      <c r="K158">
        <v>1671.07</v>
      </c>
      <c r="L158">
        <f t="shared" si="4"/>
        <v>1671.07</v>
      </c>
      <c r="M158" t="str">
        <f t="shared" si="5"/>
        <v>Pass</v>
      </c>
      <c r="N158" t="s">
        <v>1258</v>
      </c>
    </row>
    <row r="159" spans="1:14" x14ac:dyDescent="0.25">
      <c r="A159" t="s">
        <v>1300</v>
      </c>
      <c r="B159" t="s">
        <v>1041</v>
      </c>
      <c r="C159" t="s">
        <v>164</v>
      </c>
      <c r="D159" t="s">
        <v>968</v>
      </c>
      <c r="E159" s="1">
        <v>45697.210416666669</v>
      </c>
      <c r="F159" s="1">
        <v>45715.210416666669</v>
      </c>
      <c r="G159" t="s">
        <v>687</v>
      </c>
      <c r="H159" s="11">
        <v>121</v>
      </c>
      <c r="I159" s="15">
        <v>15.18</v>
      </c>
      <c r="J159">
        <v>10</v>
      </c>
      <c r="K159">
        <v>1653.1</v>
      </c>
      <c r="L159">
        <f t="shared" si="4"/>
        <v>1653.1</v>
      </c>
      <c r="M159" t="str">
        <f t="shared" si="5"/>
        <v>Pass</v>
      </c>
      <c r="N159" t="s">
        <v>1248</v>
      </c>
    </row>
    <row r="160" spans="1:14" x14ac:dyDescent="0.25">
      <c r="A160" t="s">
        <v>1301</v>
      </c>
      <c r="B160" t="s">
        <v>1041</v>
      </c>
      <c r="C160" t="s">
        <v>164</v>
      </c>
      <c r="D160" t="s">
        <v>968</v>
      </c>
      <c r="E160" s="1">
        <v>45697.210416666669</v>
      </c>
      <c r="F160" s="1">
        <v>45715.210416666669</v>
      </c>
      <c r="G160" t="s">
        <v>660</v>
      </c>
      <c r="H160" s="11">
        <v>173</v>
      </c>
      <c r="I160" s="15">
        <v>13.95</v>
      </c>
      <c r="J160">
        <v>0</v>
      </c>
      <c r="K160">
        <v>2413.35</v>
      </c>
      <c r="L160">
        <f t="shared" si="4"/>
        <v>2413.35</v>
      </c>
      <c r="M160" t="str">
        <f t="shared" si="5"/>
        <v>Pass</v>
      </c>
      <c r="N160" t="s">
        <v>1248</v>
      </c>
    </row>
    <row r="161" spans="1:14" x14ac:dyDescent="0.25">
      <c r="A161" t="s">
        <v>1302</v>
      </c>
      <c r="B161" t="s">
        <v>1042</v>
      </c>
      <c r="C161" t="s">
        <v>324</v>
      </c>
      <c r="D161" t="s">
        <v>999</v>
      </c>
      <c r="E161" s="1">
        <v>45667.31527777778</v>
      </c>
      <c r="F161" s="1">
        <v>45677.31527777778</v>
      </c>
      <c r="G161" t="s">
        <v>822</v>
      </c>
      <c r="H161" s="11">
        <v>13</v>
      </c>
      <c r="I161" s="15">
        <v>9.64</v>
      </c>
      <c r="J161">
        <v>7.5</v>
      </c>
      <c r="K161">
        <v>115.92</v>
      </c>
      <c r="L161">
        <f t="shared" si="4"/>
        <v>115.92</v>
      </c>
      <c r="M161" t="str">
        <f t="shared" si="5"/>
        <v>Pass</v>
      </c>
      <c r="N161" t="s">
        <v>1258</v>
      </c>
    </row>
    <row r="162" spans="1:14" x14ac:dyDescent="0.25">
      <c r="A162" t="s">
        <v>1303</v>
      </c>
      <c r="B162" t="s">
        <v>1042</v>
      </c>
      <c r="C162" t="s">
        <v>324</v>
      </c>
      <c r="D162" t="s">
        <v>999</v>
      </c>
      <c r="E162" s="1">
        <v>45667.31527777778</v>
      </c>
      <c r="F162" s="1">
        <v>45677.31527777778</v>
      </c>
      <c r="G162" t="s">
        <v>446</v>
      </c>
      <c r="H162" s="11">
        <v>120</v>
      </c>
      <c r="I162" s="15">
        <v>4.42</v>
      </c>
      <c r="J162">
        <v>7.5</v>
      </c>
      <c r="K162">
        <v>490.62</v>
      </c>
      <c r="L162">
        <f t="shared" si="4"/>
        <v>490.62</v>
      </c>
      <c r="M162" t="str">
        <f t="shared" si="5"/>
        <v>Pass</v>
      </c>
      <c r="N162" t="s">
        <v>3271</v>
      </c>
    </row>
    <row r="163" spans="1:14" x14ac:dyDescent="0.25">
      <c r="A163" t="s">
        <v>1304</v>
      </c>
      <c r="B163" t="s">
        <v>1042</v>
      </c>
      <c r="C163" t="s">
        <v>324</v>
      </c>
      <c r="D163" t="s">
        <v>999</v>
      </c>
      <c r="E163" s="1">
        <v>45667.31527777778</v>
      </c>
      <c r="F163" s="1">
        <v>45677.31527777778</v>
      </c>
      <c r="G163" t="s">
        <v>645</v>
      </c>
      <c r="H163" s="11">
        <v>240</v>
      </c>
      <c r="I163" s="15">
        <v>6.77</v>
      </c>
      <c r="J163">
        <v>5</v>
      </c>
      <c r="K163">
        <v>1543.56</v>
      </c>
      <c r="L163">
        <f t="shared" si="4"/>
        <v>1543.56</v>
      </c>
      <c r="M163" t="str">
        <f t="shared" si="5"/>
        <v>Pass</v>
      </c>
      <c r="N163" t="s">
        <v>1258</v>
      </c>
    </row>
    <row r="164" spans="1:14" x14ac:dyDescent="0.25">
      <c r="A164" t="s">
        <v>1305</v>
      </c>
      <c r="B164" t="s">
        <v>1043</v>
      </c>
      <c r="C164" t="s">
        <v>344</v>
      </c>
      <c r="D164" t="s">
        <v>959</v>
      </c>
      <c r="E164" s="1">
        <v>45659.486111111109</v>
      </c>
      <c r="F164" s="1">
        <v>45663.486111111109</v>
      </c>
      <c r="G164" t="s">
        <v>798</v>
      </c>
      <c r="H164" s="11">
        <v>84</v>
      </c>
      <c r="I164" s="15">
        <v>16.670000000000002</v>
      </c>
      <c r="J164">
        <v>0</v>
      </c>
      <c r="K164">
        <v>1400.28</v>
      </c>
      <c r="L164">
        <f t="shared" si="4"/>
        <v>1400.28</v>
      </c>
      <c r="M164" t="str">
        <f t="shared" si="5"/>
        <v>Pass</v>
      </c>
      <c r="N164" t="s">
        <v>3271</v>
      </c>
    </row>
    <row r="165" spans="1:14" x14ac:dyDescent="0.25">
      <c r="A165" t="s">
        <v>1306</v>
      </c>
      <c r="B165" t="s">
        <v>1043</v>
      </c>
      <c r="C165" t="s">
        <v>344</v>
      </c>
      <c r="D165" t="s">
        <v>959</v>
      </c>
      <c r="E165" s="1">
        <v>45659.486111111109</v>
      </c>
      <c r="F165" s="1">
        <v>45663.486111111109</v>
      </c>
      <c r="G165" t="s">
        <v>735</v>
      </c>
      <c r="H165" s="11">
        <v>202</v>
      </c>
      <c r="I165" s="15">
        <v>5.83</v>
      </c>
      <c r="J165">
        <v>5</v>
      </c>
      <c r="K165">
        <v>1118.78</v>
      </c>
      <c r="L165">
        <f t="shared" si="4"/>
        <v>1118.78</v>
      </c>
      <c r="M165" t="str">
        <f t="shared" si="5"/>
        <v>Pass</v>
      </c>
      <c r="N165" t="s">
        <v>1258</v>
      </c>
    </row>
    <row r="166" spans="1:14" x14ac:dyDescent="0.25">
      <c r="A166" t="s">
        <v>1307</v>
      </c>
      <c r="B166" t="s">
        <v>1043</v>
      </c>
      <c r="C166" t="s">
        <v>344</v>
      </c>
      <c r="D166" t="s">
        <v>959</v>
      </c>
      <c r="E166" s="1">
        <v>45659.486111111109</v>
      </c>
      <c r="F166" s="1">
        <v>45663.486111111109</v>
      </c>
      <c r="G166" t="s">
        <v>514</v>
      </c>
      <c r="H166" s="11">
        <v>229</v>
      </c>
      <c r="I166" s="15">
        <v>13.46</v>
      </c>
      <c r="J166">
        <v>7.5</v>
      </c>
      <c r="K166">
        <v>2851.16</v>
      </c>
      <c r="L166">
        <f t="shared" si="4"/>
        <v>2851.16</v>
      </c>
      <c r="M166" t="str">
        <f t="shared" si="5"/>
        <v>Pass</v>
      </c>
      <c r="N166" t="s">
        <v>1258</v>
      </c>
    </row>
    <row r="167" spans="1:14" x14ac:dyDescent="0.25">
      <c r="A167" t="s">
        <v>1308</v>
      </c>
      <c r="B167" t="s">
        <v>1044</v>
      </c>
      <c r="C167" t="s">
        <v>294</v>
      </c>
      <c r="D167" t="s">
        <v>990</v>
      </c>
      <c r="E167" s="1">
        <v>45678.56527777778</v>
      </c>
      <c r="F167" s="1">
        <v>45682.56527777778</v>
      </c>
      <c r="G167" t="s">
        <v>417</v>
      </c>
      <c r="H167" s="11">
        <v>14</v>
      </c>
      <c r="I167" s="15">
        <v>8.39</v>
      </c>
      <c r="J167">
        <v>2.5</v>
      </c>
      <c r="K167">
        <v>114.52</v>
      </c>
      <c r="L167">
        <f t="shared" si="4"/>
        <v>114.52</v>
      </c>
      <c r="M167" t="str">
        <f t="shared" si="5"/>
        <v>Pass</v>
      </c>
      <c r="N167" t="s">
        <v>1258</v>
      </c>
    </row>
    <row r="168" spans="1:14" x14ac:dyDescent="0.25">
      <c r="A168" t="s">
        <v>1309</v>
      </c>
      <c r="B168" t="s">
        <v>1044</v>
      </c>
      <c r="C168" t="s">
        <v>294</v>
      </c>
      <c r="D168" t="s">
        <v>990</v>
      </c>
      <c r="E168" s="1">
        <v>45678.56527777778</v>
      </c>
      <c r="F168" s="1">
        <v>45682.56527777778</v>
      </c>
      <c r="G168" t="s">
        <v>696</v>
      </c>
      <c r="H168" s="11">
        <v>83</v>
      </c>
      <c r="I168" s="15">
        <v>4.72</v>
      </c>
      <c r="J168">
        <v>10</v>
      </c>
      <c r="K168">
        <v>352.58</v>
      </c>
      <c r="L168">
        <f t="shared" si="4"/>
        <v>352.58</v>
      </c>
      <c r="M168" t="str">
        <f t="shared" si="5"/>
        <v>Pass</v>
      </c>
      <c r="N168" t="s">
        <v>1248</v>
      </c>
    </row>
    <row r="169" spans="1:14" x14ac:dyDescent="0.25">
      <c r="A169" t="s">
        <v>1310</v>
      </c>
      <c r="B169" t="s">
        <v>1044</v>
      </c>
      <c r="C169" t="s">
        <v>294</v>
      </c>
      <c r="D169" t="s">
        <v>990</v>
      </c>
      <c r="E169" s="1">
        <v>45678.56527777778</v>
      </c>
      <c r="F169" s="1">
        <v>45682.56527777778</v>
      </c>
      <c r="G169" t="s">
        <v>837</v>
      </c>
      <c r="H169" s="11">
        <v>171</v>
      </c>
      <c r="I169" s="15">
        <v>13.48</v>
      </c>
      <c r="J169">
        <v>0</v>
      </c>
      <c r="K169">
        <v>2305.08</v>
      </c>
      <c r="L169">
        <f t="shared" si="4"/>
        <v>2305.08</v>
      </c>
      <c r="M169" t="str">
        <f t="shared" si="5"/>
        <v>Pass</v>
      </c>
      <c r="N169" t="s">
        <v>3271</v>
      </c>
    </row>
    <row r="170" spans="1:14" x14ac:dyDescent="0.25">
      <c r="A170" t="s">
        <v>1311</v>
      </c>
      <c r="B170" t="s">
        <v>1045</v>
      </c>
      <c r="C170" t="s">
        <v>125</v>
      </c>
      <c r="D170" t="s">
        <v>959</v>
      </c>
      <c r="E170" s="1">
        <v>45711.321527777778</v>
      </c>
      <c r="F170" s="1">
        <v>45732.321527777778</v>
      </c>
      <c r="G170" t="s">
        <v>496</v>
      </c>
      <c r="H170" s="11">
        <v>165</v>
      </c>
      <c r="I170" s="15">
        <v>7.93</v>
      </c>
      <c r="J170">
        <v>0</v>
      </c>
      <c r="K170">
        <v>1308.45</v>
      </c>
      <c r="L170">
        <f t="shared" si="4"/>
        <v>1308.45</v>
      </c>
      <c r="M170" t="str">
        <f t="shared" si="5"/>
        <v>Pass</v>
      </c>
      <c r="N170" t="s">
        <v>1248</v>
      </c>
    </row>
    <row r="171" spans="1:14" x14ac:dyDescent="0.25">
      <c r="A171" t="s">
        <v>1312</v>
      </c>
      <c r="B171" t="s">
        <v>1045</v>
      </c>
      <c r="C171" t="s">
        <v>125</v>
      </c>
      <c r="D171" t="s">
        <v>959</v>
      </c>
      <c r="E171" s="1">
        <v>45711.321527777778</v>
      </c>
      <c r="F171" s="1">
        <v>45732.321527777778</v>
      </c>
      <c r="G171" t="s">
        <v>496</v>
      </c>
      <c r="H171" s="11">
        <v>226</v>
      </c>
      <c r="I171" s="15">
        <v>7.5</v>
      </c>
      <c r="J171">
        <v>2.5</v>
      </c>
      <c r="K171">
        <v>1652.62</v>
      </c>
      <c r="L171">
        <f t="shared" si="4"/>
        <v>1652.63</v>
      </c>
      <c r="M171" t="str">
        <f t="shared" si="5"/>
        <v>Pass</v>
      </c>
      <c r="N171" t="s">
        <v>1248</v>
      </c>
    </row>
    <row r="172" spans="1:14" x14ac:dyDescent="0.25">
      <c r="A172" t="s">
        <v>1313</v>
      </c>
      <c r="B172" t="s">
        <v>1045</v>
      </c>
      <c r="C172" t="s">
        <v>125</v>
      </c>
      <c r="D172" t="s">
        <v>959</v>
      </c>
      <c r="E172" s="1">
        <v>45711.321527777778</v>
      </c>
      <c r="F172" s="1">
        <v>45732.321527777778</v>
      </c>
      <c r="G172" t="s">
        <v>496</v>
      </c>
      <c r="H172" s="11">
        <v>145</v>
      </c>
      <c r="I172" s="15">
        <v>7.96</v>
      </c>
      <c r="J172">
        <v>0</v>
      </c>
      <c r="K172">
        <v>1154.2</v>
      </c>
      <c r="L172">
        <f t="shared" si="4"/>
        <v>1154.2</v>
      </c>
      <c r="M172" t="str">
        <f t="shared" si="5"/>
        <v>Pass</v>
      </c>
      <c r="N172" t="s">
        <v>1258</v>
      </c>
    </row>
    <row r="173" spans="1:14" x14ac:dyDescent="0.25">
      <c r="A173" t="s">
        <v>1314</v>
      </c>
      <c r="B173" t="s">
        <v>1046</v>
      </c>
      <c r="C173" t="s">
        <v>65</v>
      </c>
      <c r="D173" t="s">
        <v>964</v>
      </c>
      <c r="E173" s="1">
        <v>45670.664583333331</v>
      </c>
      <c r="F173" s="1">
        <v>45683.664583333331</v>
      </c>
      <c r="G173" t="s">
        <v>437</v>
      </c>
      <c r="H173" s="11">
        <v>95</v>
      </c>
      <c r="I173" s="15">
        <v>3.3</v>
      </c>
      <c r="J173">
        <v>10</v>
      </c>
      <c r="K173">
        <v>282.14999999999998</v>
      </c>
      <c r="L173">
        <f t="shared" si="4"/>
        <v>282.14999999999998</v>
      </c>
      <c r="M173" t="str">
        <f t="shared" si="5"/>
        <v>Pass</v>
      </c>
      <c r="N173" t="s">
        <v>1258</v>
      </c>
    </row>
    <row r="174" spans="1:14" x14ac:dyDescent="0.25">
      <c r="A174" t="s">
        <v>1315</v>
      </c>
      <c r="B174" t="s">
        <v>1046</v>
      </c>
      <c r="C174" t="s">
        <v>65</v>
      </c>
      <c r="D174" t="s">
        <v>964</v>
      </c>
      <c r="E174" s="1">
        <v>45670.664583333331</v>
      </c>
      <c r="F174" s="1">
        <v>45683.664583333331</v>
      </c>
      <c r="G174" t="s">
        <v>437</v>
      </c>
      <c r="H174" s="11">
        <v>71</v>
      </c>
      <c r="I174" s="15">
        <v>3.28</v>
      </c>
      <c r="J174">
        <v>5</v>
      </c>
      <c r="K174">
        <v>221.24</v>
      </c>
      <c r="L174">
        <f t="shared" si="4"/>
        <v>221.24</v>
      </c>
      <c r="M174" t="str">
        <f t="shared" si="5"/>
        <v>Pass</v>
      </c>
      <c r="N174" t="s">
        <v>1248</v>
      </c>
    </row>
    <row r="175" spans="1:14" x14ac:dyDescent="0.25">
      <c r="A175" t="s">
        <v>1316</v>
      </c>
      <c r="B175" t="s">
        <v>1046</v>
      </c>
      <c r="C175" t="s">
        <v>65</v>
      </c>
      <c r="D175" t="s">
        <v>964</v>
      </c>
      <c r="E175" s="1">
        <v>45670.664583333331</v>
      </c>
      <c r="F175" s="1">
        <v>45683.664583333331</v>
      </c>
      <c r="G175" t="s">
        <v>564</v>
      </c>
      <c r="H175" s="11">
        <v>65</v>
      </c>
      <c r="I175" s="15">
        <v>12.2</v>
      </c>
      <c r="J175">
        <v>10</v>
      </c>
      <c r="K175">
        <v>713.7</v>
      </c>
      <c r="L175">
        <f t="shared" si="4"/>
        <v>713.7</v>
      </c>
      <c r="M175" t="str">
        <f t="shared" si="5"/>
        <v>Pass</v>
      </c>
      <c r="N175" t="s">
        <v>3271</v>
      </c>
    </row>
    <row r="176" spans="1:14" x14ac:dyDescent="0.25">
      <c r="A176" t="s">
        <v>1317</v>
      </c>
      <c r="B176" t="s">
        <v>1047</v>
      </c>
      <c r="C176" t="s">
        <v>17</v>
      </c>
      <c r="D176" t="s">
        <v>980</v>
      </c>
      <c r="E176" s="1">
        <v>45671.92083333333</v>
      </c>
      <c r="F176" s="1">
        <v>45678.92083333333</v>
      </c>
      <c r="G176" t="s">
        <v>876</v>
      </c>
      <c r="H176" s="11">
        <v>37</v>
      </c>
      <c r="I176" s="15">
        <v>6.08</v>
      </c>
      <c r="J176">
        <v>0</v>
      </c>
      <c r="K176">
        <v>224.96</v>
      </c>
      <c r="L176">
        <f t="shared" si="4"/>
        <v>224.96</v>
      </c>
      <c r="M176" t="str">
        <f t="shared" si="5"/>
        <v>Pass</v>
      </c>
      <c r="N176" t="s">
        <v>1248</v>
      </c>
    </row>
    <row r="177" spans="1:14" x14ac:dyDescent="0.25">
      <c r="A177" t="s">
        <v>1318</v>
      </c>
      <c r="B177" t="s">
        <v>1047</v>
      </c>
      <c r="C177" t="s">
        <v>17</v>
      </c>
      <c r="D177" t="s">
        <v>980</v>
      </c>
      <c r="E177" s="1">
        <v>45671.92083333333</v>
      </c>
      <c r="F177" s="1">
        <v>45678.92083333333</v>
      </c>
      <c r="G177" t="s">
        <v>921</v>
      </c>
      <c r="H177" s="11">
        <v>20</v>
      </c>
      <c r="I177" s="15">
        <v>15.68</v>
      </c>
      <c r="J177">
        <v>0</v>
      </c>
      <c r="K177">
        <v>313.60000000000002</v>
      </c>
      <c r="L177">
        <f t="shared" si="4"/>
        <v>313.60000000000002</v>
      </c>
      <c r="M177" t="str">
        <f t="shared" si="5"/>
        <v>Pass</v>
      </c>
      <c r="N177" t="s">
        <v>3271</v>
      </c>
    </row>
    <row r="178" spans="1:14" x14ac:dyDescent="0.25">
      <c r="A178" t="s">
        <v>1319</v>
      </c>
      <c r="B178" t="s">
        <v>1047</v>
      </c>
      <c r="C178" t="s">
        <v>17</v>
      </c>
      <c r="D178" t="s">
        <v>980</v>
      </c>
      <c r="E178" s="1">
        <v>45671.92083333333</v>
      </c>
      <c r="F178" s="1">
        <v>45678.92083333333</v>
      </c>
      <c r="G178" t="s">
        <v>648</v>
      </c>
      <c r="H178" s="11">
        <v>45</v>
      </c>
      <c r="I178" s="15">
        <v>8.9700000000000006</v>
      </c>
      <c r="J178">
        <v>0</v>
      </c>
      <c r="K178">
        <v>403.65</v>
      </c>
      <c r="L178">
        <f t="shared" si="4"/>
        <v>403.65</v>
      </c>
      <c r="M178" t="str">
        <f t="shared" si="5"/>
        <v>Pass</v>
      </c>
      <c r="N178" t="s">
        <v>1248</v>
      </c>
    </row>
    <row r="179" spans="1:14" x14ac:dyDescent="0.25">
      <c r="A179" t="s">
        <v>1320</v>
      </c>
      <c r="B179" t="s">
        <v>1048</v>
      </c>
      <c r="C179" t="s">
        <v>56</v>
      </c>
      <c r="D179" t="s">
        <v>972</v>
      </c>
      <c r="E179" s="1">
        <v>45658.749305555553</v>
      </c>
      <c r="F179" s="1">
        <v>45677.749305555553</v>
      </c>
      <c r="G179" t="s">
        <v>615</v>
      </c>
      <c r="H179" s="11">
        <v>19</v>
      </c>
      <c r="I179" s="15">
        <v>6.7</v>
      </c>
      <c r="J179">
        <v>5</v>
      </c>
      <c r="K179">
        <v>120.93</v>
      </c>
      <c r="L179">
        <f t="shared" si="4"/>
        <v>120.94</v>
      </c>
      <c r="M179" t="str">
        <f t="shared" si="5"/>
        <v>Pass</v>
      </c>
      <c r="N179" t="s">
        <v>3271</v>
      </c>
    </row>
    <row r="180" spans="1:14" x14ac:dyDescent="0.25">
      <c r="A180" t="s">
        <v>1321</v>
      </c>
      <c r="B180" t="s">
        <v>1048</v>
      </c>
      <c r="C180" t="s">
        <v>56</v>
      </c>
      <c r="D180" t="s">
        <v>972</v>
      </c>
      <c r="E180" s="1">
        <v>45658.749305555553</v>
      </c>
      <c r="F180" s="1">
        <v>45677.749305555553</v>
      </c>
      <c r="G180" t="s">
        <v>615</v>
      </c>
      <c r="H180" s="11">
        <v>115</v>
      </c>
      <c r="I180" s="15">
        <v>6.47</v>
      </c>
      <c r="J180">
        <v>5</v>
      </c>
      <c r="K180">
        <v>706.85</v>
      </c>
      <c r="L180">
        <f t="shared" si="4"/>
        <v>706.85</v>
      </c>
      <c r="M180" t="str">
        <f t="shared" si="5"/>
        <v>Pass</v>
      </c>
      <c r="N180" t="s">
        <v>3271</v>
      </c>
    </row>
    <row r="181" spans="1:14" x14ac:dyDescent="0.25">
      <c r="A181" t="s">
        <v>1322</v>
      </c>
      <c r="B181" t="s">
        <v>1048</v>
      </c>
      <c r="C181" t="s">
        <v>56</v>
      </c>
      <c r="D181" t="s">
        <v>972</v>
      </c>
      <c r="E181" s="1">
        <v>45658.749305555553</v>
      </c>
      <c r="F181" s="1">
        <v>45677.749305555553</v>
      </c>
      <c r="G181" t="s">
        <v>615</v>
      </c>
      <c r="H181" s="11">
        <v>80</v>
      </c>
      <c r="I181" s="15">
        <v>6.08</v>
      </c>
      <c r="J181">
        <v>0</v>
      </c>
      <c r="K181">
        <v>486.4</v>
      </c>
      <c r="L181">
        <f t="shared" si="4"/>
        <v>486.4</v>
      </c>
      <c r="M181" t="str">
        <f t="shared" si="5"/>
        <v>Pass</v>
      </c>
      <c r="N181" t="s">
        <v>1248</v>
      </c>
    </row>
    <row r="182" spans="1:14" x14ac:dyDescent="0.25">
      <c r="A182" t="s">
        <v>1323</v>
      </c>
      <c r="B182" t="s">
        <v>1049</v>
      </c>
      <c r="C182" t="s">
        <v>349</v>
      </c>
      <c r="D182" t="s">
        <v>959</v>
      </c>
      <c r="E182" s="1">
        <v>45717.265277777777</v>
      </c>
      <c r="F182" s="1">
        <v>45738.265277777777</v>
      </c>
      <c r="G182" t="s">
        <v>606</v>
      </c>
      <c r="H182" s="11">
        <v>126</v>
      </c>
      <c r="I182" s="15">
        <v>2.58</v>
      </c>
      <c r="J182">
        <v>5</v>
      </c>
      <c r="K182">
        <v>308.83</v>
      </c>
      <c r="L182">
        <f t="shared" si="4"/>
        <v>308.83</v>
      </c>
      <c r="M182" t="str">
        <f t="shared" si="5"/>
        <v>Pass</v>
      </c>
      <c r="N182" t="s">
        <v>1258</v>
      </c>
    </row>
    <row r="183" spans="1:14" x14ac:dyDescent="0.25">
      <c r="A183" t="s">
        <v>1324</v>
      </c>
      <c r="B183" t="s">
        <v>1049</v>
      </c>
      <c r="C183" t="s">
        <v>349</v>
      </c>
      <c r="D183" t="s">
        <v>959</v>
      </c>
      <c r="E183" s="1">
        <v>45717.265277777777</v>
      </c>
      <c r="F183" s="1">
        <v>45738.265277777777</v>
      </c>
      <c r="G183" t="s">
        <v>843</v>
      </c>
      <c r="H183" s="11">
        <v>54</v>
      </c>
      <c r="I183" s="15">
        <v>8.09</v>
      </c>
      <c r="J183">
        <v>2.5</v>
      </c>
      <c r="K183">
        <v>425.94</v>
      </c>
      <c r="L183">
        <f t="shared" si="4"/>
        <v>425.94</v>
      </c>
      <c r="M183" t="str">
        <f t="shared" si="5"/>
        <v>Pass</v>
      </c>
      <c r="N183" t="s">
        <v>1248</v>
      </c>
    </row>
    <row r="184" spans="1:14" x14ac:dyDescent="0.25">
      <c r="A184" t="s">
        <v>1325</v>
      </c>
      <c r="B184" t="s">
        <v>1049</v>
      </c>
      <c r="C184" t="s">
        <v>349</v>
      </c>
      <c r="D184" t="s">
        <v>959</v>
      </c>
      <c r="E184" s="1">
        <v>45717.265277777777</v>
      </c>
      <c r="F184" s="1">
        <v>45738.265277777777</v>
      </c>
      <c r="G184" t="s">
        <v>606</v>
      </c>
      <c r="H184" s="11">
        <v>157</v>
      </c>
      <c r="I184" s="15">
        <v>2.38</v>
      </c>
      <c r="J184">
        <v>2.5</v>
      </c>
      <c r="K184">
        <v>364.32</v>
      </c>
      <c r="L184">
        <f t="shared" si="4"/>
        <v>364.32</v>
      </c>
      <c r="M184" t="str">
        <f t="shared" si="5"/>
        <v>Pass</v>
      </c>
      <c r="N184" t="s">
        <v>3271</v>
      </c>
    </row>
    <row r="185" spans="1:14" x14ac:dyDescent="0.25">
      <c r="A185" t="s">
        <v>1326</v>
      </c>
      <c r="B185" t="s">
        <v>1050</v>
      </c>
      <c r="C185" t="s">
        <v>349</v>
      </c>
      <c r="D185" t="s">
        <v>980</v>
      </c>
      <c r="E185" s="1">
        <v>45699.700694444444</v>
      </c>
      <c r="F185" s="1">
        <v>45720.700694444444</v>
      </c>
      <c r="G185" t="s">
        <v>843</v>
      </c>
      <c r="H185" s="11">
        <v>144</v>
      </c>
      <c r="I185" s="15">
        <v>8.6300000000000008</v>
      </c>
      <c r="J185">
        <v>0.05</v>
      </c>
      <c r="K185">
        <v>1180.58</v>
      </c>
      <c r="L185">
        <f t="shared" si="4"/>
        <v>1242.0999999999999</v>
      </c>
      <c r="M185" t="str">
        <f t="shared" si="5"/>
        <v>Investigate</v>
      </c>
      <c r="N185" t="s">
        <v>1248</v>
      </c>
    </row>
    <row r="186" spans="1:14" x14ac:dyDescent="0.25">
      <c r="A186" t="s">
        <v>1327</v>
      </c>
      <c r="B186" t="s">
        <v>1050</v>
      </c>
      <c r="C186" t="s">
        <v>349</v>
      </c>
      <c r="D186" t="s">
        <v>980</v>
      </c>
      <c r="E186" s="1">
        <v>45699.700694444444</v>
      </c>
      <c r="F186" s="1">
        <v>45720.700694444444</v>
      </c>
      <c r="G186" t="s">
        <v>606</v>
      </c>
      <c r="H186" s="11">
        <v>196</v>
      </c>
      <c r="I186" s="15">
        <v>2.65</v>
      </c>
      <c r="J186">
        <v>7.5</v>
      </c>
      <c r="K186">
        <v>480.44</v>
      </c>
      <c r="L186">
        <f t="shared" si="4"/>
        <v>480.45</v>
      </c>
      <c r="M186" t="str">
        <f t="shared" si="5"/>
        <v>Pass</v>
      </c>
      <c r="N186" t="s">
        <v>1248</v>
      </c>
    </row>
    <row r="187" spans="1:14" x14ac:dyDescent="0.25">
      <c r="A187" t="s">
        <v>1328</v>
      </c>
      <c r="B187" t="s">
        <v>1050</v>
      </c>
      <c r="C187" t="s">
        <v>349</v>
      </c>
      <c r="D187" t="s">
        <v>980</v>
      </c>
      <c r="E187" s="1">
        <v>45699.700694444444</v>
      </c>
      <c r="F187" s="1">
        <v>45720.700694444444</v>
      </c>
      <c r="G187" t="s">
        <v>843</v>
      </c>
      <c r="H187" s="11">
        <v>140</v>
      </c>
      <c r="I187" s="15">
        <v>8.4600000000000009</v>
      </c>
      <c r="J187">
        <v>7.4999999999999997E-2</v>
      </c>
      <c r="K187">
        <v>1095.57</v>
      </c>
      <c r="L187">
        <f t="shared" si="4"/>
        <v>1183.51</v>
      </c>
      <c r="M187" t="str">
        <f t="shared" si="5"/>
        <v>Investigate</v>
      </c>
      <c r="N187" t="s">
        <v>1258</v>
      </c>
    </row>
    <row r="188" spans="1:14" x14ac:dyDescent="0.25">
      <c r="A188" t="s">
        <v>1329</v>
      </c>
      <c r="B188" t="s">
        <v>1051</v>
      </c>
      <c r="C188" t="s">
        <v>68</v>
      </c>
      <c r="D188" t="s">
        <v>990</v>
      </c>
      <c r="E188" s="1">
        <v>45719.078472222223</v>
      </c>
      <c r="F188" s="1">
        <v>45738.078472222223</v>
      </c>
      <c r="G188" t="s">
        <v>873</v>
      </c>
      <c r="H188" s="11">
        <v>137</v>
      </c>
      <c r="I188" s="15">
        <v>15.82</v>
      </c>
      <c r="J188">
        <v>5</v>
      </c>
      <c r="K188">
        <v>2058.9699999999998</v>
      </c>
      <c r="L188">
        <f t="shared" si="4"/>
        <v>2058.9699999999998</v>
      </c>
      <c r="M188" t="str">
        <f t="shared" si="5"/>
        <v>Pass</v>
      </c>
      <c r="N188" t="s">
        <v>1248</v>
      </c>
    </row>
    <row r="189" spans="1:14" x14ac:dyDescent="0.25">
      <c r="A189" t="s">
        <v>1330</v>
      </c>
      <c r="B189" t="s">
        <v>1051</v>
      </c>
      <c r="C189" t="s">
        <v>68</v>
      </c>
      <c r="D189" t="s">
        <v>990</v>
      </c>
      <c r="E189" s="1">
        <v>45719.078472222223</v>
      </c>
      <c r="F189" s="1">
        <v>45738.078472222223</v>
      </c>
      <c r="G189" t="s">
        <v>405</v>
      </c>
      <c r="H189" s="11">
        <v>48</v>
      </c>
      <c r="I189" s="15">
        <v>14.49</v>
      </c>
      <c r="J189">
        <v>0</v>
      </c>
      <c r="K189">
        <v>695.52</v>
      </c>
      <c r="L189">
        <f t="shared" si="4"/>
        <v>695.52</v>
      </c>
      <c r="M189" t="str">
        <f t="shared" si="5"/>
        <v>Pass</v>
      </c>
      <c r="N189" t="s">
        <v>1248</v>
      </c>
    </row>
    <row r="190" spans="1:14" x14ac:dyDescent="0.25">
      <c r="A190" t="s">
        <v>1331</v>
      </c>
      <c r="B190" t="s">
        <v>1051</v>
      </c>
      <c r="C190" t="s">
        <v>68</v>
      </c>
      <c r="D190" t="s">
        <v>990</v>
      </c>
      <c r="E190" s="1">
        <v>45719.078472222223</v>
      </c>
      <c r="F190" s="1">
        <v>45738.078472222223</v>
      </c>
      <c r="G190" t="s">
        <v>493</v>
      </c>
      <c r="H190" s="11">
        <v>179</v>
      </c>
      <c r="I190" s="15">
        <v>6.62</v>
      </c>
      <c r="J190">
        <v>0</v>
      </c>
      <c r="K190">
        <v>1184.98</v>
      </c>
      <c r="L190">
        <f t="shared" si="4"/>
        <v>1184.98</v>
      </c>
      <c r="M190" t="str">
        <f t="shared" si="5"/>
        <v>Pass</v>
      </c>
      <c r="N190" t="s">
        <v>1248</v>
      </c>
    </row>
    <row r="191" spans="1:14" x14ac:dyDescent="0.25">
      <c r="A191" t="s">
        <v>1332</v>
      </c>
      <c r="B191" t="s">
        <v>1052</v>
      </c>
      <c r="C191" t="s">
        <v>306</v>
      </c>
      <c r="D191" t="s">
        <v>987</v>
      </c>
      <c r="E191" s="1">
        <v>45679.505555555559</v>
      </c>
      <c r="F191" s="1">
        <v>45684.505555555559</v>
      </c>
      <c r="G191" t="s">
        <v>933</v>
      </c>
      <c r="H191" s="11">
        <v>30</v>
      </c>
      <c r="I191" s="15">
        <v>4.6399999999999997</v>
      </c>
      <c r="J191">
        <v>5</v>
      </c>
      <c r="K191">
        <v>132.24</v>
      </c>
      <c r="L191">
        <f t="shared" si="4"/>
        <v>132.24</v>
      </c>
      <c r="M191" t="str">
        <f t="shared" si="5"/>
        <v>Pass</v>
      </c>
      <c r="N191" t="s">
        <v>3271</v>
      </c>
    </row>
    <row r="192" spans="1:14" x14ac:dyDescent="0.25">
      <c r="A192" t="s">
        <v>1333</v>
      </c>
      <c r="B192" t="s">
        <v>1052</v>
      </c>
      <c r="C192" t="s">
        <v>306</v>
      </c>
      <c r="D192" t="s">
        <v>987</v>
      </c>
      <c r="E192" s="1">
        <v>45679.505555555559</v>
      </c>
      <c r="F192" s="1">
        <v>45684.505555555559</v>
      </c>
      <c r="G192" t="s">
        <v>933</v>
      </c>
      <c r="H192" s="11">
        <v>240</v>
      </c>
      <c r="I192" s="15">
        <v>4.67</v>
      </c>
      <c r="J192">
        <v>0</v>
      </c>
      <c r="K192">
        <v>1120.8</v>
      </c>
      <c r="L192">
        <f t="shared" si="4"/>
        <v>1120.8</v>
      </c>
      <c r="M192" t="str">
        <f t="shared" si="5"/>
        <v>Pass</v>
      </c>
      <c r="N192" t="s">
        <v>1258</v>
      </c>
    </row>
    <row r="193" spans="1:14" x14ac:dyDescent="0.25">
      <c r="A193" t="s">
        <v>1334</v>
      </c>
      <c r="B193" t="s">
        <v>1052</v>
      </c>
      <c r="C193" t="s">
        <v>306</v>
      </c>
      <c r="D193" t="s">
        <v>987</v>
      </c>
      <c r="E193" s="1">
        <v>45679.505555555559</v>
      </c>
      <c r="F193" s="1">
        <v>45684.505555555559</v>
      </c>
      <c r="G193" t="s">
        <v>933</v>
      </c>
      <c r="H193" s="11">
        <v>203</v>
      </c>
      <c r="I193" s="15">
        <v>5.09</v>
      </c>
      <c r="J193">
        <v>2.5</v>
      </c>
      <c r="K193">
        <v>1007.44</v>
      </c>
      <c r="L193">
        <f t="shared" si="4"/>
        <v>1007.44</v>
      </c>
      <c r="M193" t="str">
        <f t="shared" si="5"/>
        <v>Pass</v>
      </c>
      <c r="N193" t="s">
        <v>1248</v>
      </c>
    </row>
    <row r="194" spans="1:14" x14ac:dyDescent="0.25">
      <c r="A194" t="s">
        <v>1335</v>
      </c>
      <c r="B194" t="s">
        <v>1053</v>
      </c>
      <c r="C194" t="s">
        <v>28</v>
      </c>
      <c r="D194" t="s">
        <v>987</v>
      </c>
      <c r="E194" s="1">
        <v>45681.527777777781</v>
      </c>
      <c r="F194" s="1">
        <v>45699.527777777781</v>
      </c>
      <c r="G194" t="s">
        <v>440</v>
      </c>
      <c r="H194" s="11">
        <v>185</v>
      </c>
      <c r="I194" s="15">
        <v>6.19</v>
      </c>
      <c r="J194">
        <v>2.5</v>
      </c>
      <c r="K194">
        <v>1116.52</v>
      </c>
      <c r="L194">
        <f t="shared" ref="L194:L257" si="6">ROUND((H194*I194)-(J194/100)*(H194*I194),2)</f>
        <v>1116.52</v>
      </c>
      <c r="M194" t="str">
        <f t="shared" ref="M194:M257" si="7">IF(K194=L194,"Pass",IF(K194=L194-0.01,"Pass","Investigate"))</f>
        <v>Pass</v>
      </c>
      <c r="N194" t="s">
        <v>1248</v>
      </c>
    </row>
    <row r="195" spans="1:14" x14ac:dyDescent="0.25">
      <c r="A195" t="s">
        <v>1336</v>
      </c>
      <c r="B195" t="s">
        <v>1053</v>
      </c>
      <c r="C195" t="s">
        <v>28</v>
      </c>
      <c r="D195" t="s">
        <v>987</v>
      </c>
      <c r="E195" s="1">
        <v>45681.527777777781</v>
      </c>
      <c r="F195" s="1">
        <v>45699.527777777781</v>
      </c>
      <c r="G195" t="s">
        <v>681</v>
      </c>
      <c r="H195" s="11">
        <v>69</v>
      </c>
      <c r="I195" s="15">
        <v>4.1399999999999997</v>
      </c>
      <c r="J195">
        <v>0</v>
      </c>
      <c r="K195">
        <v>285.66000000000003</v>
      </c>
      <c r="L195">
        <f t="shared" si="6"/>
        <v>285.66000000000003</v>
      </c>
      <c r="M195" t="str">
        <f t="shared" si="7"/>
        <v>Pass</v>
      </c>
      <c r="N195" t="s">
        <v>1248</v>
      </c>
    </row>
    <row r="196" spans="1:14" x14ac:dyDescent="0.25">
      <c r="A196" t="s">
        <v>1337</v>
      </c>
      <c r="B196" t="s">
        <v>1053</v>
      </c>
      <c r="C196" t="s">
        <v>28</v>
      </c>
      <c r="D196" t="s">
        <v>987</v>
      </c>
      <c r="E196" s="1">
        <v>45681.527777777781</v>
      </c>
      <c r="F196" s="1">
        <v>45699.527777777781</v>
      </c>
      <c r="G196" t="s">
        <v>417</v>
      </c>
      <c r="H196" s="11">
        <v>63</v>
      </c>
      <c r="I196" s="15">
        <v>7.53</v>
      </c>
      <c r="J196">
        <v>10</v>
      </c>
      <c r="K196">
        <v>426.95</v>
      </c>
      <c r="L196">
        <f t="shared" si="6"/>
        <v>426.95</v>
      </c>
      <c r="M196" t="str">
        <f t="shared" si="7"/>
        <v>Pass</v>
      </c>
      <c r="N196" t="s">
        <v>1258</v>
      </c>
    </row>
    <row r="197" spans="1:14" x14ac:dyDescent="0.25">
      <c r="A197" t="s">
        <v>1338</v>
      </c>
      <c r="B197" t="s">
        <v>1054</v>
      </c>
      <c r="C197" t="s">
        <v>274</v>
      </c>
      <c r="D197" t="s">
        <v>972</v>
      </c>
      <c r="E197" s="1">
        <v>45708.025000000001</v>
      </c>
      <c r="F197" s="1">
        <v>45729.025000000001</v>
      </c>
      <c r="G197" t="s">
        <v>460</v>
      </c>
      <c r="H197" s="11">
        <v>21</v>
      </c>
      <c r="I197" s="15">
        <v>9.43</v>
      </c>
      <c r="J197">
        <v>0</v>
      </c>
      <c r="K197">
        <v>198.03</v>
      </c>
      <c r="L197">
        <f t="shared" si="6"/>
        <v>198.03</v>
      </c>
      <c r="M197" t="str">
        <f t="shared" si="7"/>
        <v>Pass</v>
      </c>
      <c r="N197" t="s">
        <v>1248</v>
      </c>
    </row>
    <row r="198" spans="1:14" x14ac:dyDescent="0.25">
      <c r="A198" t="s">
        <v>1339</v>
      </c>
      <c r="B198" t="s">
        <v>1054</v>
      </c>
      <c r="C198" t="s">
        <v>274</v>
      </c>
      <c r="D198" t="s">
        <v>972</v>
      </c>
      <c r="E198" s="1">
        <v>45708.025000000001</v>
      </c>
      <c r="F198" s="1">
        <v>45729.025000000001</v>
      </c>
      <c r="G198" t="s">
        <v>714</v>
      </c>
      <c r="H198" s="11">
        <v>128</v>
      </c>
      <c r="I198" s="15">
        <v>8.18</v>
      </c>
      <c r="J198">
        <v>10</v>
      </c>
      <c r="K198">
        <v>942.34</v>
      </c>
      <c r="L198">
        <f t="shared" si="6"/>
        <v>942.34</v>
      </c>
      <c r="M198" t="str">
        <f t="shared" si="7"/>
        <v>Pass</v>
      </c>
      <c r="N198" t="s">
        <v>1248</v>
      </c>
    </row>
    <row r="199" spans="1:14" x14ac:dyDescent="0.25">
      <c r="A199" t="s">
        <v>1340</v>
      </c>
      <c r="B199" t="s">
        <v>1054</v>
      </c>
      <c r="C199" t="s">
        <v>274</v>
      </c>
      <c r="D199" t="s">
        <v>972</v>
      </c>
      <c r="E199" s="1">
        <v>45708.025000000001</v>
      </c>
      <c r="F199" s="1">
        <v>45729.025000000001</v>
      </c>
      <c r="G199" t="s">
        <v>714</v>
      </c>
      <c r="H199" s="11">
        <v>225</v>
      </c>
      <c r="I199" s="15">
        <v>8.0500000000000007</v>
      </c>
      <c r="J199">
        <v>0</v>
      </c>
      <c r="K199">
        <v>1811.25</v>
      </c>
      <c r="L199">
        <f t="shared" si="6"/>
        <v>1811.25</v>
      </c>
      <c r="M199" t="str">
        <f t="shared" si="7"/>
        <v>Pass</v>
      </c>
      <c r="N199" t="s">
        <v>1248</v>
      </c>
    </row>
    <row r="200" spans="1:14" x14ac:dyDescent="0.25">
      <c r="A200" t="s">
        <v>1341</v>
      </c>
      <c r="B200" t="s">
        <v>1055</v>
      </c>
      <c r="C200" t="s">
        <v>346</v>
      </c>
      <c r="D200" t="s">
        <v>996</v>
      </c>
      <c r="E200" s="1">
        <v>45717.859027777777</v>
      </c>
      <c r="F200" s="1">
        <v>45737.859027777777</v>
      </c>
      <c r="G200" t="s">
        <v>777</v>
      </c>
      <c r="H200" s="11">
        <v>223</v>
      </c>
      <c r="I200" s="15">
        <v>15.35</v>
      </c>
      <c r="J200">
        <v>0</v>
      </c>
      <c r="K200">
        <v>3423.05</v>
      </c>
      <c r="L200">
        <f t="shared" si="6"/>
        <v>3423.05</v>
      </c>
      <c r="M200" t="str">
        <f t="shared" si="7"/>
        <v>Pass</v>
      </c>
      <c r="N200" t="s">
        <v>1248</v>
      </c>
    </row>
    <row r="201" spans="1:14" x14ac:dyDescent="0.25">
      <c r="A201" t="s">
        <v>1342</v>
      </c>
      <c r="B201" t="s">
        <v>1055</v>
      </c>
      <c r="C201" t="s">
        <v>346</v>
      </c>
      <c r="D201" t="s">
        <v>996</v>
      </c>
      <c r="E201" s="1">
        <v>45717.859027777777</v>
      </c>
      <c r="F201" s="1">
        <v>45737.859027777777</v>
      </c>
      <c r="G201" t="s">
        <v>777</v>
      </c>
      <c r="H201" s="11">
        <v>199</v>
      </c>
      <c r="I201" s="15">
        <v>15.48</v>
      </c>
      <c r="J201">
        <v>7.5</v>
      </c>
      <c r="K201">
        <v>2849.48</v>
      </c>
      <c r="L201">
        <f t="shared" si="6"/>
        <v>2849.48</v>
      </c>
      <c r="M201" t="str">
        <f t="shared" si="7"/>
        <v>Pass</v>
      </c>
      <c r="N201" t="s">
        <v>1248</v>
      </c>
    </row>
    <row r="202" spans="1:14" x14ac:dyDescent="0.25">
      <c r="A202" t="s">
        <v>1343</v>
      </c>
      <c r="B202" t="s">
        <v>1055</v>
      </c>
      <c r="C202" t="s">
        <v>346</v>
      </c>
      <c r="D202" t="s">
        <v>996</v>
      </c>
      <c r="E202" s="1">
        <v>45717.859027777777</v>
      </c>
      <c r="F202" s="1">
        <v>45737.859027777777</v>
      </c>
      <c r="G202" t="s">
        <v>777</v>
      </c>
      <c r="H202" s="11">
        <v>101</v>
      </c>
      <c r="I202" s="15">
        <v>14.52</v>
      </c>
      <c r="J202">
        <v>5</v>
      </c>
      <c r="K202">
        <v>1393.19</v>
      </c>
      <c r="L202">
        <f t="shared" si="6"/>
        <v>1393.19</v>
      </c>
      <c r="M202" t="str">
        <f t="shared" si="7"/>
        <v>Pass</v>
      </c>
      <c r="N202" t="s">
        <v>3271</v>
      </c>
    </row>
    <row r="203" spans="1:14" x14ac:dyDescent="0.25">
      <c r="A203" t="s">
        <v>1344</v>
      </c>
      <c r="B203" t="s">
        <v>1056</v>
      </c>
      <c r="C203" t="s">
        <v>336</v>
      </c>
      <c r="D203" t="s">
        <v>972</v>
      </c>
      <c r="E203" s="1">
        <v>45693.838888888888</v>
      </c>
      <c r="F203" s="1">
        <v>45711.838888888888</v>
      </c>
      <c r="G203" t="s">
        <v>630</v>
      </c>
      <c r="H203" s="11">
        <v>135</v>
      </c>
      <c r="I203" s="15">
        <v>11.25</v>
      </c>
      <c r="J203">
        <v>2.5000000000000001E-2</v>
      </c>
      <c r="K203">
        <v>1480.78</v>
      </c>
      <c r="L203">
        <f t="shared" si="6"/>
        <v>1518.37</v>
      </c>
      <c r="M203" t="str">
        <f t="shared" si="7"/>
        <v>Investigate</v>
      </c>
      <c r="N203" t="s">
        <v>1248</v>
      </c>
    </row>
    <row r="204" spans="1:14" x14ac:dyDescent="0.25">
      <c r="A204" t="s">
        <v>1345</v>
      </c>
      <c r="B204" t="s">
        <v>1056</v>
      </c>
      <c r="C204" t="s">
        <v>336</v>
      </c>
      <c r="D204" t="s">
        <v>972</v>
      </c>
      <c r="E204" s="1">
        <v>45693.838888888888</v>
      </c>
      <c r="F204" s="1">
        <v>45711.838888888888</v>
      </c>
      <c r="G204" t="s">
        <v>861</v>
      </c>
      <c r="H204" s="11">
        <v>94</v>
      </c>
      <c r="I204" s="15">
        <v>7.7</v>
      </c>
      <c r="J204">
        <v>7.5</v>
      </c>
      <c r="K204">
        <v>669.52</v>
      </c>
      <c r="L204">
        <f t="shared" si="6"/>
        <v>669.52</v>
      </c>
      <c r="M204" t="str">
        <f t="shared" si="7"/>
        <v>Pass</v>
      </c>
      <c r="N204" t="s">
        <v>1258</v>
      </c>
    </row>
    <row r="205" spans="1:14" x14ac:dyDescent="0.25">
      <c r="A205" t="s">
        <v>1346</v>
      </c>
      <c r="B205" t="s">
        <v>1056</v>
      </c>
      <c r="C205" t="s">
        <v>336</v>
      </c>
      <c r="D205" t="s">
        <v>972</v>
      </c>
      <c r="E205" s="1">
        <v>45693.838888888888</v>
      </c>
      <c r="F205" s="1">
        <v>45711.838888888888</v>
      </c>
      <c r="G205" t="s">
        <v>909</v>
      </c>
      <c r="H205" s="11">
        <v>207</v>
      </c>
      <c r="I205" s="15">
        <v>16.59</v>
      </c>
      <c r="J205">
        <v>0</v>
      </c>
      <c r="K205">
        <v>3434.13</v>
      </c>
      <c r="L205">
        <f t="shared" si="6"/>
        <v>3434.13</v>
      </c>
      <c r="M205" t="str">
        <f t="shared" si="7"/>
        <v>Pass</v>
      </c>
      <c r="N205" t="s">
        <v>1258</v>
      </c>
    </row>
    <row r="206" spans="1:14" x14ac:dyDescent="0.25">
      <c r="A206" t="s">
        <v>1347</v>
      </c>
      <c r="B206" t="s">
        <v>1057</v>
      </c>
      <c r="C206" t="s">
        <v>382</v>
      </c>
      <c r="D206" t="s">
        <v>987</v>
      </c>
      <c r="E206" s="1">
        <v>45703.220138888886</v>
      </c>
      <c r="F206" s="1">
        <v>45709.220138888886</v>
      </c>
      <c r="G206" t="s">
        <v>666</v>
      </c>
      <c r="H206" s="11">
        <v>130</v>
      </c>
      <c r="I206" s="15">
        <v>13.42</v>
      </c>
      <c r="J206">
        <v>0</v>
      </c>
      <c r="K206">
        <v>1744.6</v>
      </c>
      <c r="L206">
        <f t="shared" si="6"/>
        <v>1744.6</v>
      </c>
      <c r="M206" t="str">
        <f t="shared" si="7"/>
        <v>Pass</v>
      </c>
      <c r="N206" t="s">
        <v>1248</v>
      </c>
    </row>
    <row r="207" spans="1:14" x14ac:dyDescent="0.25">
      <c r="A207" t="s">
        <v>1348</v>
      </c>
      <c r="B207" t="s">
        <v>1057</v>
      </c>
      <c r="C207" t="s">
        <v>382</v>
      </c>
      <c r="D207" t="s">
        <v>987</v>
      </c>
      <c r="E207" s="1">
        <v>45703.220138888886</v>
      </c>
      <c r="F207" s="1">
        <v>45709.220138888886</v>
      </c>
      <c r="G207" t="s">
        <v>936</v>
      </c>
      <c r="H207" s="11">
        <v>48</v>
      </c>
      <c r="I207" s="15">
        <v>8.39</v>
      </c>
      <c r="J207">
        <v>2.5</v>
      </c>
      <c r="K207">
        <v>392.65</v>
      </c>
      <c r="L207">
        <f t="shared" si="6"/>
        <v>392.65</v>
      </c>
      <c r="M207" t="str">
        <f t="shared" si="7"/>
        <v>Pass</v>
      </c>
      <c r="N207" t="s">
        <v>1258</v>
      </c>
    </row>
    <row r="208" spans="1:14" x14ac:dyDescent="0.25">
      <c r="A208" t="s">
        <v>1349</v>
      </c>
      <c r="B208" t="s">
        <v>1058</v>
      </c>
      <c r="C208" t="s">
        <v>137</v>
      </c>
      <c r="D208" t="s">
        <v>996</v>
      </c>
      <c r="E208" s="1">
        <v>45725.613194444442</v>
      </c>
      <c r="F208" s="1">
        <v>45746.613194444442</v>
      </c>
      <c r="G208" t="s">
        <v>449</v>
      </c>
      <c r="H208" s="11">
        <v>144</v>
      </c>
      <c r="I208" s="15">
        <v>15.82</v>
      </c>
      <c r="J208">
        <v>0</v>
      </c>
      <c r="K208">
        <v>2278.08</v>
      </c>
      <c r="L208">
        <f t="shared" si="6"/>
        <v>2278.08</v>
      </c>
      <c r="M208" t="str">
        <f t="shared" si="7"/>
        <v>Pass</v>
      </c>
      <c r="N208" t="s">
        <v>1258</v>
      </c>
    </row>
    <row r="209" spans="1:14" x14ac:dyDescent="0.25">
      <c r="A209" t="s">
        <v>1350</v>
      </c>
      <c r="B209" t="s">
        <v>1058</v>
      </c>
      <c r="C209" t="s">
        <v>137</v>
      </c>
      <c r="D209" t="s">
        <v>996</v>
      </c>
      <c r="E209" s="1">
        <v>45725.613194444442</v>
      </c>
      <c r="F209" s="1">
        <v>45746.613194444442</v>
      </c>
      <c r="G209" t="s">
        <v>449</v>
      </c>
      <c r="H209" s="11">
        <v>110</v>
      </c>
      <c r="I209" s="15">
        <v>15.85</v>
      </c>
      <c r="J209">
        <v>0</v>
      </c>
      <c r="K209">
        <v>1743.5</v>
      </c>
      <c r="L209">
        <f t="shared" si="6"/>
        <v>1743.5</v>
      </c>
      <c r="M209" t="str">
        <f t="shared" si="7"/>
        <v>Pass</v>
      </c>
      <c r="N209" t="s">
        <v>1258</v>
      </c>
    </row>
    <row r="210" spans="1:14" x14ac:dyDescent="0.25">
      <c r="A210" t="s">
        <v>1351</v>
      </c>
      <c r="B210" t="s">
        <v>1058</v>
      </c>
      <c r="C210" t="s">
        <v>137</v>
      </c>
      <c r="D210" t="s">
        <v>996</v>
      </c>
      <c r="E210" s="1">
        <v>45725.613194444442</v>
      </c>
      <c r="F210" s="1">
        <v>45746.613194444442</v>
      </c>
      <c r="G210" t="s">
        <v>449</v>
      </c>
      <c r="H210" s="11">
        <v>235</v>
      </c>
      <c r="I210" s="15">
        <v>15.94</v>
      </c>
      <c r="J210">
        <v>0</v>
      </c>
      <c r="K210">
        <v>3745.9</v>
      </c>
      <c r="L210">
        <f t="shared" si="6"/>
        <v>3745.9</v>
      </c>
      <c r="M210" t="str">
        <f t="shared" si="7"/>
        <v>Pass</v>
      </c>
      <c r="N210" t="s">
        <v>1258</v>
      </c>
    </row>
    <row r="211" spans="1:14" x14ac:dyDescent="0.25">
      <c r="A211" t="s">
        <v>1352</v>
      </c>
      <c r="B211" t="s">
        <v>1059</v>
      </c>
      <c r="C211" t="s">
        <v>83</v>
      </c>
      <c r="D211" t="s">
        <v>972</v>
      </c>
      <c r="E211" s="1">
        <v>45708.27847222222</v>
      </c>
      <c r="F211" s="1">
        <v>45724.27847222222</v>
      </c>
      <c r="G211" t="s">
        <v>879</v>
      </c>
      <c r="H211" s="11">
        <v>111</v>
      </c>
      <c r="I211" s="15">
        <v>14.49</v>
      </c>
      <c r="J211">
        <v>0</v>
      </c>
      <c r="K211">
        <v>1608.39</v>
      </c>
      <c r="L211">
        <f t="shared" si="6"/>
        <v>1608.39</v>
      </c>
      <c r="M211" t="str">
        <f t="shared" si="7"/>
        <v>Pass</v>
      </c>
      <c r="N211" t="s">
        <v>1248</v>
      </c>
    </row>
    <row r="212" spans="1:14" x14ac:dyDescent="0.25">
      <c r="A212" t="s">
        <v>1353</v>
      </c>
      <c r="B212" t="s">
        <v>1059</v>
      </c>
      <c r="C212" t="s">
        <v>83</v>
      </c>
      <c r="D212" t="s">
        <v>972</v>
      </c>
      <c r="E212" s="1">
        <v>45708.27847222222</v>
      </c>
      <c r="F212" s="1">
        <v>45724.27847222222</v>
      </c>
      <c r="G212" t="s">
        <v>548</v>
      </c>
      <c r="H212" s="11">
        <v>181</v>
      </c>
      <c r="I212" s="15">
        <v>15.28</v>
      </c>
      <c r="J212">
        <v>0</v>
      </c>
      <c r="K212">
        <v>2765.68</v>
      </c>
      <c r="L212">
        <f t="shared" si="6"/>
        <v>2765.68</v>
      </c>
      <c r="M212" t="str">
        <f t="shared" si="7"/>
        <v>Pass</v>
      </c>
      <c r="N212" t="s">
        <v>1248</v>
      </c>
    </row>
    <row r="213" spans="1:14" x14ac:dyDescent="0.25">
      <c r="A213" t="s">
        <v>1354</v>
      </c>
      <c r="B213" t="s">
        <v>1059</v>
      </c>
      <c r="C213" t="s">
        <v>83</v>
      </c>
      <c r="D213" t="s">
        <v>972</v>
      </c>
      <c r="E213" s="1">
        <v>45708.27847222222</v>
      </c>
      <c r="F213" s="1">
        <v>45724.27847222222</v>
      </c>
      <c r="G213" t="s">
        <v>885</v>
      </c>
      <c r="H213" s="11">
        <v>89</v>
      </c>
      <c r="I213" s="15">
        <v>16.34</v>
      </c>
      <c r="J213">
        <v>0</v>
      </c>
      <c r="K213">
        <v>1454.26</v>
      </c>
      <c r="L213">
        <f t="shared" si="6"/>
        <v>1454.26</v>
      </c>
      <c r="M213" t="str">
        <f t="shared" si="7"/>
        <v>Pass</v>
      </c>
      <c r="N213" t="s">
        <v>1258</v>
      </c>
    </row>
    <row r="214" spans="1:14" x14ac:dyDescent="0.25">
      <c r="A214" t="s">
        <v>1355</v>
      </c>
      <c r="B214" t="s">
        <v>1060</v>
      </c>
      <c r="C214" t="s">
        <v>199</v>
      </c>
      <c r="D214" t="s">
        <v>968</v>
      </c>
      <c r="E214" s="1">
        <v>45659.864583333336</v>
      </c>
      <c r="F214" s="1">
        <v>45664.864583333336</v>
      </c>
      <c r="G214" t="s">
        <v>423</v>
      </c>
      <c r="H214" s="11">
        <v>51</v>
      </c>
      <c r="I214" s="15">
        <v>15.11</v>
      </c>
      <c r="J214">
        <v>0</v>
      </c>
      <c r="K214">
        <v>770.61</v>
      </c>
      <c r="L214">
        <f t="shared" si="6"/>
        <v>770.61</v>
      </c>
      <c r="M214" t="str">
        <f t="shared" si="7"/>
        <v>Pass</v>
      </c>
      <c r="N214" t="s">
        <v>1248</v>
      </c>
    </row>
    <row r="215" spans="1:14" x14ac:dyDescent="0.25">
      <c r="A215" t="s">
        <v>1356</v>
      </c>
      <c r="B215" t="s">
        <v>1060</v>
      </c>
      <c r="C215" t="s">
        <v>199</v>
      </c>
      <c r="D215" t="s">
        <v>968</v>
      </c>
      <c r="E215" s="1">
        <v>45659.864583333336</v>
      </c>
      <c r="F215" s="1">
        <v>45664.864583333336</v>
      </c>
      <c r="G215" t="s">
        <v>526</v>
      </c>
      <c r="H215" s="11">
        <v>44</v>
      </c>
      <c r="I215" s="15">
        <v>12.58</v>
      </c>
      <c r="J215">
        <v>7.5</v>
      </c>
      <c r="K215">
        <v>512.01</v>
      </c>
      <c r="L215">
        <f t="shared" si="6"/>
        <v>512.01</v>
      </c>
      <c r="M215" t="str">
        <f t="shared" si="7"/>
        <v>Pass</v>
      </c>
      <c r="N215" t="s">
        <v>1258</v>
      </c>
    </row>
    <row r="216" spans="1:14" x14ac:dyDescent="0.25">
      <c r="A216" t="s">
        <v>1357</v>
      </c>
      <c r="B216" t="s">
        <v>1060</v>
      </c>
      <c r="C216" t="s">
        <v>199</v>
      </c>
      <c r="D216" t="s">
        <v>968</v>
      </c>
      <c r="E216" s="1">
        <v>45659.864583333336</v>
      </c>
      <c r="F216" s="1">
        <v>45664.864583333336</v>
      </c>
      <c r="G216" t="s">
        <v>423</v>
      </c>
      <c r="H216" s="11">
        <v>37</v>
      </c>
      <c r="I216" s="15">
        <v>15.25</v>
      </c>
      <c r="J216">
        <v>10</v>
      </c>
      <c r="K216">
        <v>507.82</v>
      </c>
      <c r="L216">
        <f t="shared" si="6"/>
        <v>507.83</v>
      </c>
      <c r="M216" t="str">
        <f t="shared" si="7"/>
        <v>Pass</v>
      </c>
      <c r="N216" t="s">
        <v>1258</v>
      </c>
    </row>
    <row r="217" spans="1:14" x14ac:dyDescent="0.25">
      <c r="A217" t="s">
        <v>1358</v>
      </c>
      <c r="B217" t="s">
        <v>1061</v>
      </c>
      <c r="C217" t="s">
        <v>376</v>
      </c>
      <c r="D217" t="s">
        <v>964</v>
      </c>
      <c r="E217" s="1">
        <v>45659.629166666666</v>
      </c>
      <c r="F217" s="1">
        <v>45680.629166666666</v>
      </c>
      <c r="G217" t="s">
        <v>502</v>
      </c>
      <c r="H217" s="11">
        <v>51</v>
      </c>
      <c r="I217" s="15">
        <v>12.2</v>
      </c>
      <c r="J217">
        <v>0</v>
      </c>
      <c r="K217">
        <v>622.20000000000005</v>
      </c>
      <c r="L217">
        <f t="shared" si="6"/>
        <v>622.20000000000005</v>
      </c>
      <c r="M217" t="str">
        <f t="shared" si="7"/>
        <v>Pass</v>
      </c>
      <c r="N217" t="s">
        <v>1258</v>
      </c>
    </row>
    <row r="218" spans="1:14" x14ac:dyDescent="0.25">
      <c r="A218" t="s">
        <v>1359</v>
      </c>
      <c r="B218" t="s">
        <v>1061</v>
      </c>
      <c r="C218" t="s">
        <v>376</v>
      </c>
      <c r="D218" t="s">
        <v>964</v>
      </c>
      <c r="E218" s="1">
        <v>45659.629166666666</v>
      </c>
      <c r="F218" s="1">
        <v>45680.629166666666</v>
      </c>
      <c r="G218" t="s">
        <v>654</v>
      </c>
      <c r="H218" s="11">
        <v>92</v>
      </c>
      <c r="I218" s="15">
        <v>2.2000000000000002</v>
      </c>
      <c r="J218">
        <v>0</v>
      </c>
      <c r="K218">
        <v>202.4</v>
      </c>
      <c r="L218">
        <f t="shared" si="6"/>
        <v>202.4</v>
      </c>
      <c r="M218" t="str">
        <f t="shared" si="7"/>
        <v>Pass</v>
      </c>
      <c r="N218" t="s">
        <v>1248</v>
      </c>
    </row>
    <row r="219" spans="1:14" x14ac:dyDescent="0.25">
      <c r="A219" t="s">
        <v>1360</v>
      </c>
      <c r="B219" t="s">
        <v>1061</v>
      </c>
      <c r="C219" t="s">
        <v>376</v>
      </c>
      <c r="D219" t="s">
        <v>964</v>
      </c>
      <c r="E219" s="1">
        <v>45659.629166666666</v>
      </c>
      <c r="F219" s="1">
        <v>45680.629166666666</v>
      </c>
      <c r="G219" t="s">
        <v>502</v>
      </c>
      <c r="H219" s="11">
        <v>51</v>
      </c>
      <c r="I219" s="15">
        <v>12.59</v>
      </c>
      <c r="J219">
        <v>0</v>
      </c>
      <c r="K219">
        <v>642.09</v>
      </c>
      <c r="L219">
        <f t="shared" si="6"/>
        <v>642.09</v>
      </c>
      <c r="M219" t="str">
        <f t="shared" si="7"/>
        <v>Pass</v>
      </c>
      <c r="N219" t="s">
        <v>1248</v>
      </c>
    </row>
    <row r="220" spans="1:14" x14ac:dyDescent="0.25">
      <c r="A220" t="s">
        <v>1361</v>
      </c>
      <c r="B220" t="s">
        <v>1062</v>
      </c>
      <c r="C220" t="s">
        <v>33</v>
      </c>
      <c r="D220" t="s">
        <v>959</v>
      </c>
      <c r="E220" s="1">
        <v>45677.607638888891</v>
      </c>
      <c r="F220" s="1">
        <v>45684.607638888891</v>
      </c>
      <c r="G220" t="s">
        <v>570</v>
      </c>
      <c r="H220" s="11">
        <v>169</v>
      </c>
      <c r="I220" s="15">
        <v>10.66</v>
      </c>
      <c r="J220">
        <v>10</v>
      </c>
      <c r="K220">
        <v>1621.39</v>
      </c>
      <c r="L220">
        <f t="shared" si="6"/>
        <v>1621.39</v>
      </c>
      <c r="M220" t="str">
        <f t="shared" si="7"/>
        <v>Pass</v>
      </c>
      <c r="N220" t="s">
        <v>1258</v>
      </c>
    </row>
    <row r="221" spans="1:14" x14ac:dyDescent="0.25">
      <c r="A221" t="s">
        <v>1362</v>
      </c>
      <c r="B221" t="s">
        <v>1062</v>
      </c>
      <c r="C221" t="s">
        <v>33</v>
      </c>
      <c r="D221" t="s">
        <v>959</v>
      </c>
      <c r="E221" s="1">
        <v>45677.607638888891</v>
      </c>
      <c r="F221" s="1">
        <v>45684.607638888891</v>
      </c>
      <c r="G221" t="s">
        <v>570</v>
      </c>
      <c r="H221" s="11">
        <v>30</v>
      </c>
      <c r="I221" s="15">
        <v>11.54</v>
      </c>
      <c r="J221">
        <v>0</v>
      </c>
      <c r="K221">
        <v>346.2</v>
      </c>
      <c r="L221">
        <f t="shared" si="6"/>
        <v>346.2</v>
      </c>
      <c r="M221" t="str">
        <f t="shared" si="7"/>
        <v>Pass</v>
      </c>
      <c r="N221" t="s">
        <v>1248</v>
      </c>
    </row>
    <row r="222" spans="1:14" x14ac:dyDescent="0.25">
      <c r="A222" t="s">
        <v>1363</v>
      </c>
      <c r="B222" t="s">
        <v>1062</v>
      </c>
      <c r="C222" t="s">
        <v>33</v>
      </c>
      <c r="D222" t="s">
        <v>959</v>
      </c>
      <c r="E222" s="1">
        <v>45677.607638888891</v>
      </c>
      <c r="F222" s="1">
        <v>45684.607638888891</v>
      </c>
      <c r="G222" t="s">
        <v>570</v>
      </c>
      <c r="H222" s="11">
        <v>120</v>
      </c>
      <c r="I222" s="15">
        <v>11.34</v>
      </c>
      <c r="J222">
        <v>0</v>
      </c>
      <c r="K222">
        <v>1360.8</v>
      </c>
      <c r="L222">
        <f t="shared" si="6"/>
        <v>1360.8</v>
      </c>
      <c r="M222" t="str">
        <f t="shared" si="7"/>
        <v>Pass</v>
      </c>
      <c r="N222" t="s">
        <v>1258</v>
      </c>
    </row>
    <row r="223" spans="1:14" x14ac:dyDescent="0.25">
      <c r="A223" t="s">
        <v>1364</v>
      </c>
      <c r="B223" t="s">
        <v>1063</v>
      </c>
      <c r="C223" t="s">
        <v>93</v>
      </c>
      <c r="D223" t="s">
        <v>968</v>
      </c>
      <c r="E223" s="1">
        <v>45724.838888888888</v>
      </c>
      <c r="F223" s="1">
        <v>45729.838888888888</v>
      </c>
      <c r="G223" t="s">
        <v>427</v>
      </c>
      <c r="H223" s="11">
        <v>231</v>
      </c>
      <c r="I223" s="15">
        <v>3.69</v>
      </c>
      <c r="J223">
        <v>5</v>
      </c>
      <c r="K223">
        <v>809.77</v>
      </c>
      <c r="L223">
        <f t="shared" si="6"/>
        <v>809.77</v>
      </c>
      <c r="M223" t="str">
        <f t="shared" si="7"/>
        <v>Pass</v>
      </c>
      <c r="N223" t="s">
        <v>1258</v>
      </c>
    </row>
    <row r="224" spans="1:14" x14ac:dyDescent="0.25">
      <c r="A224" t="s">
        <v>1365</v>
      </c>
      <c r="B224" t="s">
        <v>1063</v>
      </c>
      <c r="C224" t="s">
        <v>93</v>
      </c>
      <c r="D224" t="s">
        <v>968</v>
      </c>
      <c r="E224" s="1">
        <v>45724.838888888888</v>
      </c>
      <c r="F224" s="1">
        <v>45729.838888888888</v>
      </c>
      <c r="G224" t="s">
        <v>427</v>
      </c>
      <c r="H224" s="11">
        <v>92</v>
      </c>
      <c r="I224" s="15">
        <v>3.78</v>
      </c>
      <c r="J224">
        <v>5</v>
      </c>
      <c r="K224">
        <v>330.37</v>
      </c>
      <c r="L224">
        <f t="shared" si="6"/>
        <v>330.37</v>
      </c>
      <c r="M224" t="str">
        <f t="shared" si="7"/>
        <v>Pass</v>
      </c>
      <c r="N224" t="s">
        <v>1258</v>
      </c>
    </row>
    <row r="225" spans="1:14" x14ac:dyDescent="0.25">
      <c r="A225" t="s">
        <v>1366</v>
      </c>
      <c r="B225" t="s">
        <v>1063</v>
      </c>
      <c r="C225" t="s">
        <v>93</v>
      </c>
      <c r="D225" t="s">
        <v>968</v>
      </c>
      <c r="E225" s="1">
        <v>45724.838888888888</v>
      </c>
      <c r="F225" s="1">
        <v>45729.838888888888</v>
      </c>
      <c r="G225" t="s">
        <v>855</v>
      </c>
      <c r="H225" s="11">
        <v>157</v>
      </c>
      <c r="I225" s="15">
        <v>14.37</v>
      </c>
      <c r="J225">
        <v>5</v>
      </c>
      <c r="K225">
        <v>2143.29</v>
      </c>
      <c r="L225">
        <f t="shared" si="6"/>
        <v>2143.29</v>
      </c>
      <c r="M225" t="str">
        <f t="shared" si="7"/>
        <v>Pass</v>
      </c>
      <c r="N225" t="s">
        <v>1258</v>
      </c>
    </row>
    <row r="226" spans="1:14" x14ac:dyDescent="0.25">
      <c r="A226" t="s">
        <v>1367</v>
      </c>
      <c r="B226" t="s">
        <v>1064</v>
      </c>
      <c r="C226" t="s">
        <v>99</v>
      </c>
      <c r="D226" t="s">
        <v>999</v>
      </c>
      <c r="E226" s="1">
        <v>45679.802083333336</v>
      </c>
      <c r="F226" s="1">
        <v>45687.802083333336</v>
      </c>
      <c r="G226" t="s">
        <v>708</v>
      </c>
      <c r="H226" s="11">
        <v>47</v>
      </c>
      <c r="I226" s="15">
        <v>10.93</v>
      </c>
      <c r="J226">
        <v>7.5</v>
      </c>
      <c r="K226">
        <v>475.18</v>
      </c>
      <c r="L226">
        <f t="shared" si="6"/>
        <v>475.18</v>
      </c>
      <c r="M226" t="str">
        <f t="shared" si="7"/>
        <v>Pass</v>
      </c>
      <c r="N226" t="s">
        <v>1258</v>
      </c>
    </row>
    <row r="227" spans="1:14" x14ac:dyDescent="0.25">
      <c r="A227" t="s">
        <v>1368</v>
      </c>
      <c r="B227" t="s">
        <v>1064</v>
      </c>
      <c r="C227" t="s">
        <v>99</v>
      </c>
      <c r="D227" t="s">
        <v>999</v>
      </c>
      <c r="E227" s="1">
        <v>45679.802083333336</v>
      </c>
      <c r="F227" s="1">
        <v>45687.802083333336</v>
      </c>
      <c r="G227" t="s">
        <v>678</v>
      </c>
      <c r="H227" s="11">
        <v>214</v>
      </c>
      <c r="I227" s="15">
        <v>12.51</v>
      </c>
      <c r="J227">
        <v>0</v>
      </c>
      <c r="K227">
        <v>2677.14</v>
      </c>
      <c r="L227">
        <f t="shared" si="6"/>
        <v>2677.14</v>
      </c>
      <c r="M227" t="str">
        <f t="shared" si="7"/>
        <v>Pass</v>
      </c>
      <c r="N227" t="s">
        <v>1248</v>
      </c>
    </row>
    <row r="228" spans="1:14" x14ac:dyDescent="0.25">
      <c r="A228" t="s">
        <v>1369</v>
      </c>
      <c r="B228" t="s">
        <v>1064</v>
      </c>
      <c r="C228" t="s">
        <v>99</v>
      </c>
      <c r="D228" t="s">
        <v>999</v>
      </c>
      <c r="E228" s="1">
        <v>45679.802083333336</v>
      </c>
      <c r="F228" s="1">
        <v>45687.802083333336</v>
      </c>
      <c r="G228" t="s">
        <v>861</v>
      </c>
      <c r="H228" s="11">
        <v>33</v>
      </c>
      <c r="I228" s="15">
        <v>7.89</v>
      </c>
      <c r="J228">
        <v>2.5</v>
      </c>
      <c r="K228">
        <v>253.86</v>
      </c>
      <c r="L228">
        <f t="shared" si="6"/>
        <v>253.86</v>
      </c>
      <c r="M228" t="str">
        <f t="shared" si="7"/>
        <v>Pass</v>
      </c>
      <c r="N228" t="s">
        <v>1248</v>
      </c>
    </row>
    <row r="229" spans="1:14" x14ac:dyDescent="0.25">
      <c r="A229" t="s">
        <v>1370</v>
      </c>
      <c r="B229" t="s">
        <v>1065</v>
      </c>
      <c r="C229" t="s">
        <v>131</v>
      </c>
      <c r="D229" t="s">
        <v>972</v>
      </c>
      <c r="E229" s="1">
        <v>45659.933333333334</v>
      </c>
      <c r="F229" s="1">
        <v>45664.933333333334</v>
      </c>
      <c r="G229" t="s">
        <v>440</v>
      </c>
      <c r="H229" s="11">
        <v>121</v>
      </c>
      <c r="I229" s="15">
        <v>6.55</v>
      </c>
      <c r="J229">
        <v>5</v>
      </c>
      <c r="K229">
        <v>752.92</v>
      </c>
      <c r="L229">
        <f t="shared" si="6"/>
        <v>752.92</v>
      </c>
      <c r="M229" t="str">
        <f t="shared" si="7"/>
        <v>Pass</v>
      </c>
      <c r="N229" t="s">
        <v>1248</v>
      </c>
    </row>
    <row r="230" spans="1:14" x14ac:dyDescent="0.25">
      <c r="A230" t="s">
        <v>1371</v>
      </c>
      <c r="B230" t="s">
        <v>1065</v>
      </c>
      <c r="C230" t="s">
        <v>131</v>
      </c>
      <c r="D230" t="s">
        <v>972</v>
      </c>
      <c r="E230" s="1">
        <v>45659.933333333334</v>
      </c>
      <c r="F230" s="1">
        <v>45664.933333333334</v>
      </c>
      <c r="G230" t="s">
        <v>440</v>
      </c>
      <c r="H230" s="11">
        <v>36</v>
      </c>
      <c r="I230" s="15">
        <v>6.17</v>
      </c>
      <c r="J230">
        <v>2.5</v>
      </c>
      <c r="K230">
        <v>216.57</v>
      </c>
      <c r="L230">
        <f t="shared" si="6"/>
        <v>216.57</v>
      </c>
      <c r="M230" t="str">
        <f t="shared" si="7"/>
        <v>Pass</v>
      </c>
      <c r="N230" t="s">
        <v>1258</v>
      </c>
    </row>
    <row r="231" spans="1:14" x14ac:dyDescent="0.25">
      <c r="A231" t="s">
        <v>1372</v>
      </c>
      <c r="B231" t="s">
        <v>1065</v>
      </c>
      <c r="C231" t="s">
        <v>131</v>
      </c>
      <c r="D231" t="s">
        <v>972</v>
      </c>
      <c r="E231" s="1">
        <v>45659.933333333334</v>
      </c>
      <c r="F231" s="1">
        <v>45664.933333333334</v>
      </c>
      <c r="G231" t="s">
        <v>554</v>
      </c>
      <c r="H231" s="11">
        <v>166</v>
      </c>
      <c r="I231" s="15">
        <v>16.38</v>
      </c>
      <c r="J231">
        <v>5</v>
      </c>
      <c r="K231">
        <v>2583.13</v>
      </c>
      <c r="L231">
        <f t="shared" si="6"/>
        <v>2583.13</v>
      </c>
      <c r="M231" t="str">
        <f t="shared" si="7"/>
        <v>Pass</v>
      </c>
      <c r="N231" t="s">
        <v>3271</v>
      </c>
    </row>
    <row r="232" spans="1:14" x14ac:dyDescent="0.25">
      <c r="A232" t="s">
        <v>1373</v>
      </c>
      <c r="B232" t="s">
        <v>1066</v>
      </c>
      <c r="C232" t="s">
        <v>327</v>
      </c>
      <c r="D232" t="s">
        <v>987</v>
      </c>
      <c r="E232" s="1">
        <v>45665.081944444442</v>
      </c>
      <c r="F232" s="1">
        <v>45668.081944444442</v>
      </c>
      <c r="G232" t="s">
        <v>600</v>
      </c>
      <c r="H232" s="11">
        <v>90</v>
      </c>
      <c r="I232" s="15">
        <v>17.82</v>
      </c>
      <c r="J232">
        <v>0</v>
      </c>
      <c r="K232">
        <v>1603.8</v>
      </c>
      <c r="L232">
        <f t="shared" si="6"/>
        <v>1603.8</v>
      </c>
      <c r="M232" t="str">
        <f t="shared" si="7"/>
        <v>Pass</v>
      </c>
      <c r="N232" t="s">
        <v>1258</v>
      </c>
    </row>
    <row r="233" spans="1:14" x14ac:dyDescent="0.25">
      <c r="A233" t="s">
        <v>1374</v>
      </c>
      <c r="B233" t="s">
        <v>1066</v>
      </c>
      <c r="C233" t="s">
        <v>327</v>
      </c>
      <c r="D233" t="s">
        <v>987</v>
      </c>
      <c r="E233" s="1">
        <v>45665.081944444442</v>
      </c>
      <c r="F233" s="1">
        <v>45668.081944444442</v>
      </c>
      <c r="G233" t="s">
        <v>612</v>
      </c>
      <c r="H233" s="11">
        <v>69</v>
      </c>
      <c r="I233" s="15">
        <v>10.53</v>
      </c>
      <c r="J233">
        <v>2.5</v>
      </c>
      <c r="K233">
        <v>708.41</v>
      </c>
      <c r="L233">
        <f t="shared" si="6"/>
        <v>708.41</v>
      </c>
      <c r="M233" t="str">
        <f t="shared" si="7"/>
        <v>Pass</v>
      </c>
      <c r="N233" t="s">
        <v>3271</v>
      </c>
    </row>
    <row r="234" spans="1:14" x14ac:dyDescent="0.25">
      <c r="A234" t="s">
        <v>1375</v>
      </c>
      <c r="B234" t="s">
        <v>1066</v>
      </c>
      <c r="C234" t="s">
        <v>327</v>
      </c>
      <c r="D234" t="s">
        <v>987</v>
      </c>
      <c r="E234" s="1">
        <v>45665.081944444442</v>
      </c>
      <c r="F234" s="1">
        <v>45668.081944444442</v>
      </c>
      <c r="G234" t="s">
        <v>505</v>
      </c>
      <c r="H234" s="11">
        <v>201</v>
      </c>
      <c r="I234" s="15">
        <v>6.27</v>
      </c>
      <c r="J234">
        <v>0</v>
      </c>
      <c r="K234">
        <v>1260.27</v>
      </c>
      <c r="L234">
        <f t="shared" si="6"/>
        <v>1260.27</v>
      </c>
      <c r="M234" t="str">
        <f t="shared" si="7"/>
        <v>Pass</v>
      </c>
      <c r="N234" t="s">
        <v>1248</v>
      </c>
    </row>
    <row r="235" spans="1:14" x14ac:dyDescent="0.25">
      <c r="A235" t="s">
        <v>1376</v>
      </c>
      <c r="B235" t="s">
        <v>1067</v>
      </c>
      <c r="C235" t="s">
        <v>226</v>
      </c>
      <c r="D235" t="s">
        <v>990</v>
      </c>
      <c r="E235" s="1">
        <v>45671.048611111109</v>
      </c>
      <c r="F235" s="1">
        <v>45692.048611111109</v>
      </c>
      <c r="G235" t="s">
        <v>466</v>
      </c>
      <c r="H235" s="11">
        <v>53</v>
      </c>
      <c r="I235" s="15">
        <v>8.4</v>
      </c>
      <c r="J235">
        <v>10</v>
      </c>
      <c r="K235">
        <v>400.68</v>
      </c>
      <c r="L235">
        <f t="shared" si="6"/>
        <v>400.68</v>
      </c>
      <c r="M235" t="str">
        <f t="shared" si="7"/>
        <v>Pass</v>
      </c>
      <c r="N235" t="s">
        <v>1248</v>
      </c>
    </row>
    <row r="236" spans="1:14" x14ac:dyDescent="0.25">
      <c r="A236" t="s">
        <v>1377</v>
      </c>
      <c r="B236" t="s">
        <v>1067</v>
      </c>
      <c r="C236" t="s">
        <v>226</v>
      </c>
      <c r="D236" t="s">
        <v>990</v>
      </c>
      <c r="E236" s="1">
        <v>45671.048611111109</v>
      </c>
      <c r="F236" s="1">
        <v>45692.048611111109</v>
      </c>
      <c r="G236" t="s">
        <v>466</v>
      </c>
      <c r="H236" s="11">
        <v>209</v>
      </c>
      <c r="I236" s="15">
        <v>8.0500000000000007</v>
      </c>
      <c r="J236">
        <v>2.5</v>
      </c>
      <c r="K236">
        <v>1640.39</v>
      </c>
      <c r="L236">
        <f t="shared" si="6"/>
        <v>1640.39</v>
      </c>
      <c r="M236" t="str">
        <f t="shared" si="7"/>
        <v>Pass</v>
      </c>
      <c r="N236" t="s">
        <v>1258</v>
      </c>
    </row>
    <row r="237" spans="1:14" x14ac:dyDescent="0.25">
      <c r="A237" t="s">
        <v>1378</v>
      </c>
      <c r="B237" t="s">
        <v>1067</v>
      </c>
      <c r="C237" t="s">
        <v>226</v>
      </c>
      <c r="D237" t="s">
        <v>990</v>
      </c>
      <c r="E237" s="1">
        <v>45671.048611111109</v>
      </c>
      <c r="F237" s="1">
        <v>45692.048611111109</v>
      </c>
      <c r="G237" t="s">
        <v>466</v>
      </c>
      <c r="H237" s="11">
        <v>95</v>
      </c>
      <c r="I237" s="15">
        <v>7.48</v>
      </c>
      <c r="J237">
        <v>2.5</v>
      </c>
      <c r="K237">
        <v>692.84</v>
      </c>
      <c r="L237">
        <f t="shared" si="6"/>
        <v>692.84</v>
      </c>
      <c r="M237" t="str">
        <f t="shared" si="7"/>
        <v>Pass</v>
      </c>
      <c r="N237" t="s">
        <v>1248</v>
      </c>
    </row>
    <row r="238" spans="1:14" x14ac:dyDescent="0.25">
      <c r="A238" t="s">
        <v>1379</v>
      </c>
      <c r="B238" t="s">
        <v>1068</v>
      </c>
      <c r="C238" t="s">
        <v>202</v>
      </c>
      <c r="D238" t="s">
        <v>980</v>
      </c>
      <c r="E238" s="1">
        <v>45697.084027777775</v>
      </c>
      <c r="F238" s="1">
        <v>45702.084027777775</v>
      </c>
      <c r="G238" t="s">
        <v>915</v>
      </c>
      <c r="H238" s="11">
        <v>86</v>
      </c>
      <c r="I238" s="15">
        <v>9.75</v>
      </c>
      <c r="J238">
        <v>0</v>
      </c>
      <c r="K238">
        <v>838.5</v>
      </c>
      <c r="L238">
        <f t="shared" si="6"/>
        <v>838.5</v>
      </c>
      <c r="M238" t="str">
        <f t="shared" si="7"/>
        <v>Pass</v>
      </c>
      <c r="N238" t="s">
        <v>1248</v>
      </c>
    </row>
    <row r="239" spans="1:14" x14ac:dyDescent="0.25">
      <c r="A239" t="s">
        <v>1380</v>
      </c>
      <c r="B239" t="s">
        <v>1068</v>
      </c>
      <c r="C239" t="s">
        <v>202</v>
      </c>
      <c r="D239" t="s">
        <v>980</v>
      </c>
      <c r="E239" s="1">
        <v>45697.084027777775</v>
      </c>
      <c r="F239" s="1">
        <v>45702.084027777775</v>
      </c>
      <c r="G239" t="s">
        <v>915</v>
      </c>
      <c r="H239" s="11">
        <v>191</v>
      </c>
      <c r="I239" s="15">
        <v>10.11</v>
      </c>
      <c r="J239">
        <v>10</v>
      </c>
      <c r="K239">
        <v>1737.91</v>
      </c>
      <c r="L239">
        <f t="shared" si="6"/>
        <v>1737.91</v>
      </c>
      <c r="M239" t="str">
        <f t="shared" si="7"/>
        <v>Pass</v>
      </c>
      <c r="N239" t="s">
        <v>1258</v>
      </c>
    </row>
    <row r="240" spans="1:14" x14ac:dyDescent="0.25">
      <c r="A240" t="s">
        <v>1381</v>
      </c>
      <c r="B240" t="s">
        <v>1068</v>
      </c>
      <c r="C240" t="s">
        <v>202</v>
      </c>
      <c r="D240" t="s">
        <v>980</v>
      </c>
      <c r="E240" s="1">
        <v>45697.084027777775</v>
      </c>
      <c r="F240" s="1">
        <v>45702.084027777775</v>
      </c>
      <c r="G240" t="s">
        <v>915</v>
      </c>
      <c r="H240" s="11">
        <v>122</v>
      </c>
      <c r="I240" s="15">
        <v>10.79</v>
      </c>
      <c r="J240">
        <v>2.5</v>
      </c>
      <c r="K240">
        <v>1283.47</v>
      </c>
      <c r="L240">
        <f t="shared" si="6"/>
        <v>1283.47</v>
      </c>
      <c r="M240" t="str">
        <f t="shared" si="7"/>
        <v>Pass</v>
      </c>
      <c r="N240" t="s">
        <v>1248</v>
      </c>
    </row>
    <row r="241" spans="1:14" x14ac:dyDescent="0.25">
      <c r="A241" t="s">
        <v>1382</v>
      </c>
      <c r="B241" t="s">
        <v>1069</v>
      </c>
      <c r="C241" t="s">
        <v>137</v>
      </c>
      <c r="D241" t="s">
        <v>987</v>
      </c>
      <c r="E241" s="1">
        <v>45724.330555555556</v>
      </c>
      <c r="F241" s="1">
        <v>45745.330555555556</v>
      </c>
      <c r="G241" t="s">
        <v>449</v>
      </c>
      <c r="H241" s="11">
        <v>192</v>
      </c>
      <c r="I241" s="15">
        <v>15.57</v>
      </c>
      <c r="J241">
        <v>5</v>
      </c>
      <c r="K241">
        <v>2839.97</v>
      </c>
      <c r="L241">
        <f t="shared" si="6"/>
        <v>2839.97</v>
      </c>
      <c r="M241" t="str">
        <f t="shared" si="7"/>
        <v>Pass</v>
      </c>
      <c r="N241" t="s">
        <v>1258</v>
      </c>
    </row>
    <row r="242" spans="1:14" x14ac:dyDescent="0.25">
      <c r="A242" t="s">
        <v>1383</v>
      </c>
      <c r="B242" t="s">
        <v>1069</v>
      </c>
      <c r="C242" t="s">
        <v>137</v>
      </c>
      <c r="D242" t="s">
        <v>987</v>
      </c>
      <c r="E242" s="1">
        <v>45724.330555555556</v>
      </c>
      <c r="F242" s="1">
        <v>45745.330555555556</v>
      </c>
      <c r="G242" t="s">
        <v>449</v>
      </c>
      <c r="H242" s="11">
        <v>57</v>
      </c>
      <c r="I242" s="15">
        <v>14.63</v>
      </c>
      <c r="J242">
        <v>0</v>
      </c>
      <c r="K242">
        <v>833.91</v>
      </c>
      <c r="L242">
        <f t="shared" si="6"/>
        <v>833.91</v>
      </c>
      <c r="M242" t="str">
        <f t="shared" si="7"/>
        <v>Pass</v>
      </c>
      <c r="N242" t="s">
        <v>1248</v>
      </c>
    </row>
    <row r="243" spans="1:14" x14ac:dyDescent="0.25">
      <c r="A243" t="s">
        <v>1384</v>
      </c>
      <c r="B243" t="s">
        <v>1070</v>
      </c>
      <c r="C243" t="s">
        <v>93</v>
      </c>
      <c r="D243" t="s">
        <v>968</v>
      </c>
      <c r="E243" s="1">
        <v>45696.052083333336</v>
      </c>
      <c r="F243" s="1">
        <v>45704.052083333336</v>
      </c>
      <c r="G243" t="s">
        <v>855</v>
      </c>
      <c r="H243" s="11">
        <v>185</v>
      </c>
      <c r="I243" s="15">
        <v>13.31</v>
      </c>
      <c r="J243">
        <v>2.5</v>
      </c>
      <c r="K243">
        <v>2400.79</v>
      </c>
      <c r="L243">
        <f t="shared" si="6"/>
        <v>2400.79</v>
      </c>
      <c r="M243" t="str">
        <f t="shared" si="7"/>
        <v>Pass</v>
      </c>
      <c r="N243" t="s">
        <v>1258</v>
      </c>
    </row>
    <row r="244" spans="1:14" x14ac:dyDescent="0.25">
      <c r="A244" t="s">
        <v>1385</v>
      </c>
      <c r="B244" t="s">
        <v>1070</v>
      </c>
      <c r="C244" t="s">
        <v>93</v>
      </c>
      <c r="D244" t="s">
        <v>968</v>
      </c>
      <c r="E244" s="1">
        <v>45696.052083333336</v>
      </c>
      <c r="F244" s="1">
        <v>45704.052083333336</v>
      </c>
      <c r="G244" t="s">
        <v>427</v>
      </c>
      <c r="H244" s="11">
        <v>237</v>
      </c>
      <c r="I244" s="15">
        <v>3.95</v>
      </c>
      <c r="J244">
        <v>0</v>
      </c>
      <c r="K244">
        <v>936.15</v>
      </c>
      <c r="L244">
        <f t="shared" si="6"/>
        <v>936.15</v>
      </c>
      <c r="M244" t="str">
        <f t="shared" si="7"/>
        <v>Pass</v>
      </c>
      <c r="N244" t="s">
        <v>1258</v>
      </c>
    </row>
    <row r="245" spans="1:14" x14ac:dyDescent="0.25">
      <c r="A245" t="s">
        <v>1386</v>
      </c>
      <c r="B245" t="s">
        <v>1070</v>
      </c>
      <c r="C245" t="s">
        <v>93</v>
      </c>
      <c r="D245" t="s">
        <v>968</v>
      </c>
      <c r="E245" s="1">
        <v>45696.052083333336</v>
      </c>
      <c r="F245" s="1">
        <v>45704.052083333336</v>
      </c>
      <c r="G245" t="s">
        <v>855</v>
      </c>
      <c r="H245" s="11">
        <v>169</v>
      </c>
      <c r="I245" s="15">
        <v>13.43</v>
      </c>
      <c r="J245">
        <v>0</v>
      </c>
      <c r="K245">
        <v>2269.67</v>
      </c>
      <c r="L245">
        <f t="shared" si="6"/>
        <v>2269.67</v>
      </c>
      <c r="M245" t="str">
        <f t="shared" si="7"/>
        <v>Pass</v>
      </c>
      <c r="N245" t="s">
        <v>1248</v>
      </c>
    </row>
    <row r="246" spans="1:14" x14ac:dyDescent="0.25">
      <c r="A246" t="s">
        <v>1387</v>
      </c>
      <c r="B246" t="s">
        <v>1071</v>
      </c>
      <c r="C246" t="s">
        <v>321</v>
      </c>
      <c r="D246" t="s">
        <v>999</v>
      </c>
      <c r="E246" s="1">
        <v>45713.490277777775</v>
      </c>
      <c r="F246" s="1">
        <v>45735.490277777775</v>
      </c>
      <c r="G246" t="s">
        <v>870</v>
      </c>
      <c r="H246" s="11">
        <v>234</v>
      </c>
      <c r="I246" s="15">
        <v>14.11</v>
      </c>
      <c r="J246">
        <v>2.5</v>
      </c>
      <c r="K246">
        <v>3219.2</v>
      </c>
      <c r="L246">
        <f t="shared" si="6"/>
        <v>3219.2</v>
      </c>
      <c r="M246" t="str">
        <f t="shared" si="7"/>
        <v>Pass</v>
      </c>
      <c r="N246" t="s">
        <v>1258</v>
      </c>
    </row>
    <row r="247" spans="1:14" x14ac:dyDescent="0.25">
      <c r="A247" t="s">
        <v>1388</v>
      </c>
      <c r="B247" t="s">
        <v>1071</v>
      </c>
      <c r="C247" t="s">
        <v>321</v>
      </c>
      <c r="D247" t="s">
        <v>999</v>
      </c>
      <c r="E247" s="1">
        <v>45713.490277777775</v>
      </c>
      <c r="F247" s="1">
        <v>45735.490277777775</v>
      </c>
      <c r="G247" t="s">
        <v>551</v>
      </c>
      <c r="H247" s="11">
        <v>188</v>
      </c>
      <c r="I247" s="15">
        <v>17.579999999999998</v>
      </c>
      <c r="J247">
        <v>5</v>
      </c>
      <c r="K247">
        <v>3139.79</v>
      </c>
      <c r="L247">
        <f t="shared" si="6"/>
        <v>3139.79</v>
      </c>
      <c r="M247" t="str">
        <f t="shared" si="7"/>
        <v>Pass</v>
      </c>
      <c r="N247" t="s">
        <v>1248</v>
      </c>
    </row>
    <row r="248" spans="1:14" x14ac:dyDescent="0.25">
      <c r="A248" t="s">
        <v>1389</v>
      </c>
      <c r="B248" t="s">
        <v>1072</v>
      </c>
      <c r="C248" t="s">
        <v>276</v>
      </c>
      <c r="D248" t="s">
        <v>990</v>
      </c>
      <c r="E248" s="1">
        <v>45685.029166666667</v>
      </c>
      <c r="F248" s="1">
        <v>45704.029166666667</v>
      </c>
      <c r="G248" t="s">
        <v>420</v>
      </c>
      <c r="H248" s="11">
        <v>17</v>
      </c>
      <c r="I248" s="15">
        <v>11.99</v>
      </c>
      <c r="J248">
        <v>7.5</v>
      </c>
      <c r="K248">
        <v>188.54</v>
      </c>
      <c r="L248">
        <f t="shared" si="6"/>
        <v>188.54</v>
      </c>
      <c r="M248" t="str">
        <f t="shared" si="7"/>
        <v>Pass</v>
      </c>
      <c r="N248" t="s">
        <v>1248</v>
      </c>
    </row>
    <row r="249" spans="1:14" x14ac:dyDescent="0.25">
      <c r="A249" t="s">
        <v>1390</v>
      </c>
      <c r="B249" t="s">
        <v>1072</v>
      </c>
      <c r="C249" t="s">
        <v>276</v>
      </c>
      <c r="D249" t="s">
        <v>990</v>
      </c>
      <c r="E249" s="1">
        <v>45685.029166666667</v>
      </c>
      <c r="F249" s="1">
        <v>45704.029166666667</v>
      </c>
      <c r="G249" t="s">
        <v>627</v>
      </c>
      <c r="H249" s="11">
        <v>71</v>
      </c>
      <c r="I249" s="15">
        <v>3.28</v>
      </c>
      <c r="J249">
        <v>0</v>
      </c>
      <c r="K249">
        <v>232.88</v>
      </c>
      <c r="L249">
        <f t="shared" si="6"/>
        <v>232.88</v>
      </c>
      <c r="M249" t="str">
        <f t="shared" si="7"/>
        <v>Pass</v>
      </c>
      <c r="N249" t="s">
        <v>1248</v>
      </c>
    </row>
    <row r="250" spans="1:14" x14ac:dyDescent="0.25">
      <c r="A250" t="s">
        <v>1391</v>
      </c>
      <c r="B250" t="s">
        <v>1072</v>
      </c>
      <c r="C250" t="s">
        <v>276</v>
      </c>
      <c r="D250" t="s">
        <v>990</v>
      </c>
      <c r="E250" s="1">
        <v>45685.029166666667</v>
      </c>
      <c r="F250" s="1">
        <v>45704.029166666667</v>
      </c>
      <c r="G250" t="s">
        <v>720</v>
      </c>
      <c r="H250" s="11">
        <v>180</v>
      </c>
      <c r="I250" s="15">
        <v>8.9600000000000009</v>
      </c>
      <c r="J250">
        <v>0</v>
      </c>
      <c r="K250">
        <v>1612.8</v>
      </c>
      <c r="L250">
        <f t="shared" si="6"/>
        <v>1612.8</v>
      </c>
      <c r="M250" t="str">
        <f t="shared" si="7"/>
        <v>Pass</v>
      </c>
      <c r="N250" t="s">
        <v>1248</v>
      </c>
    </row>
    <row r="251" spans="1:14" x14ac:dyDescent="0.25">
      <c r="A251" t="s">
        <v>1392</v>
      </c>
      <c r="B251" t="s">
        <v>1073</v>
      </c>
      <c r="C251" t="s">
        <v>279</v>
      </c>
      <c r="D251" t="s">
        <v>972</v>
      </c>
      <c r="E251" s="1">
        <v>45702.611111111109</v>
      </c>
      <c r="F251" s="1">
        <v>45714.611111111109</v>
      </c>
      <c r="G251" t="s">
        <v>942</v>
      </c>
      <c r="H251" s="11">
        <v>144</v>
      </c>
      <c r="I251" s="15">
        <v>8.44</v>
      </c>
      <c r="J251">
        <v>10</v>
      </c>
      <c r="K251">
        <v>1093.82</v>
      </c>
      <c r="L251">
        <f t="shared" si="6"/>
        <v>1093.82</v>
      </c>
      <c r="M251" t="str">
        <f t="shared" si="7"/>
        <v>Pass</v>
      </c>
      <c r="N251" t="s">
        <v>3271</v>
      </c>
    </row>
    <row r="252" spans="1:14" x14ac:dyDescent="0.25">
      <c r="A252" t="s">
        <v>1393</v>
      </c>
      <c r="B252" t="s">
        <v>1073</v>
      </c>
      <c r="C252" t="s">
        <v>279</v>
      </c>
      <c r="D252" t="s">
        <v>972</v>
      </c>
      <c r="E252" s="1">
        <v>45702.611111111109</v>
      </c>
      <c r="F252" s="1">
        <v>45714.611111111109</v>
      </c>
      <c r="G252" t="s">
        <v>612</v>
      </c>
      <c r="H252" s="11">
        <v>163</v>
      </c>
      <c r="I252" s="15">
        <v>11.2</v>
      </c>
      <c r="J252">
        <v>10</v>
      </c>
      <c r="K252">
        <v>1643.04</v>
      </c>
      <c r="L252">
        <f t="shared" si="6"/>
        <v>1643.04</v>
      </c>
      <c r="M252" t="str">
        <f t="shared" si="7"/>
        <v>Pass</v>
      </c>
      <c r="N252" t="s">
        <v>1258</v>
      </c>
    </row>
    <row r="253" spans="1:14" x14ac:dyDescent="0.25">
      <c r="A253" t="s">
        <v>1394</v>
      </c>
      <c r="B253" t="s">
        <v>1073</v>
      </c>
      <c r="C253" t="s">
        <v>279</v>
      </c>
      <c r="D253" t="s">
        <v>972</v>
      </c>
      <c r="E253" s="1">
        <v>45702.611111111109</v>
      </c>
      <c r="F253" s="1">
        <v>45714.611111111109</v>
      </c>
      <c r="G253" t="s">
        <v>672</v>
      </c>
      <c r="H253" s="11">
        <v>231</v>
      </c>
      <c r="I253" s="15">
        <v>10.41</v>
      </c>
      <c r="J253">
        <v>10</v>
      </c>
      <c r="K253">
        <v>2164.2399999999998</v>
      </c>
      <c r="L253">
        <f t="shared" si="6"/>
        <v>2164.2399999999998</v>
      </c>
      <c r="M253" t="str">
        <f t="shared" si="7"/>
        <v>Pass</v>
      </c>
      <c r="N253" t="s">
        <v>1248</v>
      </c>
    </row>
    <row r="254" spans="1:14" x14ac:dyDescent="0.25">
      <c r="A254" t="s">
        <v>1395</v>
      </c>
      <c r="B254" t="s">
        <v>1074</v>
      </c>
      <c r="C254" t="s">
        <v>253</v>
      </c>
      <c r="D254" t="s">
        <v>990</v>
      </c>
      <c r="E254" s="1">
        <v>45678.325694444444</v>
      </c>
      <c r="F254" s="1">
        <v>45699.325694444444</v>
      </c>
      <c r="G254" t="s">
        <v>768</v>
      </c>
      <c r="H254" s="11">
        <v>236</v>
      </c>
      <c r="I254" s="15">
        <v>10.36</v>
      </c>
      <c r="J254">
        <v>5</v>
      </c>
      <c r="K254">
        <v>2322.71</v>
      </c>
      <c r="L254">
        <f t="shared" si="6"/>
        <v>2322.71</v>
      </c>
      <c r="M254" t="str">
        <f t="shared" si="7"/>
        <v>Pass</v>
      </c>
      <c r="N254" t="s">
        <v>3271</v>
      </c>
    </row>
    <row r="255" spans="1:14" x14ac:dyDescent="0.25">
      <c r="A255" t="s">
        <v>1396</v>
      </c>
      <c r="B255" t="s">
        <v>1074</v>
      </c>
      <c r="C255" t="s">
        <v>253</v>
      </c>
      <c r="D255" t="s">
        <v>990</v>
      </c>
      <c r="E255" s="1">
        <v>45678.325694444444</v>
      </c>
      <c r="F255" s="1">
        <v>45699.325694444444</v>
      </c>
      <c r="G255" t="s">
        <v>511</v>
      </c>
      <c r="H255" s="11">
        <v>208</v>
      </c>
      <c r="I255" s="15">
        <v>12.22</v>
      </c>
      <c r="J255">
        <v>10</v>
      </c>
      <c r="K255">
        <v>2287.58</v>
      </c>
      <c r="L255">
        <f t="shared" si="6"/>
        <v>2287.58</v>
      </c>
      <c r="M255" t="str">
        <f t="shared" si="7"/>
        <v>Pass</v>
      </c>
      <c r="N255" t="s">
        <v>1258</v>
      </c>
    </row>
    <row r="256" spans="1:14" x14ac:dyDescent="0.25">
      <c r="A256" t="s">
        <v>1397</v>
      </c>
      <c r="B256" t="s">
        <v>1074</v>
      </c>
      <c r="C256" t="s">
        <v>253</v>
      </c>
      <c r="D256" t="s">
        <v>990</v>
      </c>
      <c r="E256" s="1">
        <v>45678.325694444444</v>
      </c>
      <c r="F256" s="1">
        <v>45699.325694444444</v>
      </c>
      <c r="G256" t="s">
        <v>768</v>
      </c>
      <c r="H256" s="11">
        <v>49</v>
      </c>
      <c r="I256" s="15">
        <v>10.44</v>
      </c>
      <c r="J256">
        <v>10</v>
      </c>
      <c r="K256">
        <v>460.4</v>
      </c>
      <c r="L256">
        <f t="shared" si="6"/>
        <v>460.4</v>
      </c>
      <c r="M256" t="str">
        <f t="shared" si="7"/>
        <v>Pass</v>
      </c>
      <c r="N256" t="s">
        <v>1248</v>
      </c>
    </row>
    <row r="257" spans="1:14" x14ac:dyDescent="0.25">
      <c r="A257" t="s">
        <v>1398</v>
      </c>
      <c r="B257" t="s">
        <v>1075</v>
      </c>
      <c r="C257" t="s">
        <v>376</v>
      </c>
      <c r="D257" t="s">
        <v>976</v>
      </c>
      <c r="E257" s="1">
        <v>45728.963194444441</v>
      </c>
      <c r="F257" s="1">
        <v>45747.963194444441</v>
      </c>
      <c r="G257" t="s">
        <v>502</v>
      </c>
      <c r="H257" s="11">
        <v>174</v>
      </c>
      <c r="I257" s="15">
        <v>12.24</v>
      </c>
      <c r="J257">
        <v>2.5</v>
      </c>
      <c r="K257">
        <v>2076.52</v>
      </c>
      <c r="L257">
        <f t="shared" si="6"/>
        <v>2076.52</v>
      </c>
      <c r="M257" t="str">
        <f t="shared" si="7"/>
        <v>Pass</v>
      </c>
      <c r="N257" t="s">
        <v>1248</v>
      </c>
    </row>
    <row r="258" spans="1:14" x14ac:dyDescent="0.25">
      <c r="A258" t="s">
        <v>1399</v>
      </c>
      <c r="B258" t="s">
        <v>1075</v>
      </c>
      <c r="C258" t="s">
        <v>376</v>
      </c>
      <c r="D258" t="s">
        <v>976</v>
      </c>
      <c r="E258" s="1">
        <v>45728.963194444441</v>
      </c>
      <c r="F258" s="1">
        <v>45747.963194444441</v>
      </c>
      <c r="G258" t="s">
        <v>472</v>
      </c>
      <c r="H258" s="11">
        <v>229</v>
      </c>
      <c r="I258" s="15">
        <v>10</v>
      </c>
      <c r="J258">
        <v>0</v>
      </c>
      <c r="K258">
        <v>2290</v>
      </c>
      <c r="L258">
        <f t="shared" ref="L258:L321" si="8">ROUND((H258*I258)-(J258/100)*(H258*I258),2)</f>
        <v>2290</v>
      </c>
      <c r="M258" t="str">
        <f t="shared" ref="M258:M321" si="9">IF(K258=L258,"Pass",IF(K258=L258-0.01,"Pass","Investigate"))</f>
        <v>Pass</v>
      </c>
      <c r="N258" t="s">
        <v>1248</v>
      </c>
    </row>
    <row r="259" spans="1:14" x14ac:dyDescent="0.25">
      <c r="A259" t="s">
        <v>1400</v>
      </c>
      <c r="B259" t="s">
        <v>1076</v>
      </c>
      <c r="C259" t="s">
        <v>109</v>
      </c>
      <c r="D259" t="s">
        <v>976</v>
      </c>
      <c r="E259" s="1">
        <v>45677.952777777777</v>
      </c>
      <c r="F259" s="1">
        <v>45698.952777777777</v>
      </c>
      <c r="G259" t="s">
        <v>597</v>
      </c>
      <c r="H259" s="11">
        <v>68</v>
      </c>
      <c r="I259" s="15">
        <v>2.82</v>
      </c>
      <c r="J259">
        <v>5</v>
      </c>
      <c r="K259">
        <v>182.17</v>
      </c>
      <c r="L259">
        <f t="shared" si="8"/>
        <v>182.17</v>
      </c>
      <c r="M259" t="str">
        <f t="shared" si="9"/>
        <v>Pass</v>
      </c>
      <c r="N259" t="s">
        <v>3271</v>
      </c>
    </row>
    <row r="260" spans="1:14" x14ac:dyDescent="0.25">
      <c r="A260" t="s">
        <v>1401</v>
      </c>
      <c r="B260" t="s">
        <v>1076</v>
      </c>
      <c r="C260" t="s">
        <v>109</v>
      </c>
      <c r="D260" t="s">
        <v>976</v>
      </c>
      <c r="E260" s="1">
        <v>45677.952777777777</v>
      </c>
      <c r="F260" s="1">
        <v>45698.952777777777</v>
      </c>
      <c r="G260" t="s">
        <v>609</v>
      </c>
      <c r="H260" s="11">
        <v>221</v>
      </c>
      <c r="I260" s="15">
        <v>2.7</v>
      </c>
      <c r="J260">
        <v>10</v>
      </c>
      <c r="K260">
        <v>537.03</v>
      </c>
      <c r="L260">
        <f t="shared" si="8"/>
        <v>537.03</v>
      </c>
      <c r="M260" t="str">
        <f t="shared" si="9"/>
        <v>Pass</v>
      </c>
      <c r="N260" t="s">
        <v>1248</v>
      </c>
    </row>
    <row r="261" spans="1:14" x14ac:dyDescent="0.25">
      <c r="A261" t="s">
        <v>1402</v>
      </c>
      <c r="B261" t="s">
        <v>1076</v>
      </c>
      <c r="C261" t="s">
        <v>109</v>
      </c>
      <c r="D261" t="s">
        <v>976</v>
      </c>
      <c r="E261" s="1">
        <v>45677.952777777777</v>
      </c>
      <c r="F261" s="1">
        <v>45698.952777777777</v>
      </c>
      <c r="G261" t="s">
        <v>443</v>
      </c>
      <c r="H261" s="11">
        <v>223</v>
      </c>
      <c r="I261" s="15">
        <v>7.23</v>
      </c>
      <c r="J261">
        <v>0</v>
      </c>
      <c r="K261">
        <v>1612.29</v>
      </c>
      <c r="L261">
        <f t="shared" si="8"/>
        <v>1612.29</v>
      </c>
      <c r="M261" t="str">
        <f t="shared" si="9"/>
        <v>Pass</v>
      </c>
      <c r="N261" t="s">
        <v>1258</v>
      </c>
    </row>
    <row r="262" spans="1:14" x14ac:dyDescent="0.25">
      <c r="A262" t="s">
        <v>1403</v>
      </c>
      <c r="B262" t="s">
        <v>1077</v>
      </c>
      <c r="C262" t="s">
        <v>10</v>
      </c>
      <c r="D262" t="s">
        <v>964</v>
      </c>
      <c r="E262" s="1">
        <v>45727.822916666664</v>
      </c>
      <c r="F262" s="1">
        <v>45742.822916666664</v>
      </c>
      <c r="G262" t="s">
        <v>484</v>
      </c>
      <c r="H262" s="11">
        <v>221</v>
      </c>
      <c r="I262" s="15">
        <v>3.98</v>
      </c>
      <c r="J262">
        <v>0</v>
      </c>
      <c r="K262">
        <v>879.58</v>
      </c>
      <c r="L262">
        <f t="shared" si="8"/>
        <v>879.58</v>
      </c>
      <c r="M262" t="str">
        <f t="shared" si="9"/>
        <v>Pass</v>
      </c>
      <c r="N262" t="s">
        <v>1248</v>
      </c>
    </row>
    <row r="263" spans="1:14" x14ac:dyDescent="0.25">
      <c r="A263" t="s">
        <v>1404</v>
      </c>
      <c r="B263" t="s">
        <v>1077</v>
      </c>
      <c r="C263" t="s">
        <v>10</v>
      </c>
      <c r="D263" t="s">
        <v>964</v>
      </c>
      <c r="E263" s="1">
        <v>45727.822916666664</v>
      </c>
      <c r="F263" s="1">
        <v>45742.822916666664</v>
      </c>
      <c r="G263" t="s">
        <v>484</v>
      </c>
      <c r="H263" s="11">
        <v>72</v>
      </c>
      <c r="I263" s="15">
        <v>3.99</v>
      </c>
      <c r="J263">
        <v>2.5</v>
      </c>
      <c r="K263">
        <v>280.10000000000002</v>
      </c>
      <c r="L263">
        <f t="shared" si="8"/>
        <v>280.10000000000002</v>
      </c>
      <c r="M263" t="str">
        <f t="shared" si="9"/>
        <v>Pass</v>
      </c>
      <c r="N263" t="s">
        <v>3271</v>
      </c>
    </row>
    <row r="264" spans="1:14" x14ac:dyDescent="0.25">
      <c r="A264" t="s">
        <v>1405</v>
      </c>
      <c r="B264" t="s">
        <v>1077</v>
      </c>
      <c r="C264" t="s">
        <v>10</v>
      </c>
      <c r="D264" t="s">
        <v>964</v>
      </c>
      <c r="E264" s="1">
        <v>45727.822916666664</v>
      </c>
      <c r="F264" s="1">
        <v>45742.822916666664</v>
      </c>
      <c r="G264" t="s">
        <v>484</v>
      </c>
      <c r="H264" s="11">
        <v>180</v>
      </c>
      <c r="I264" s="15">
        <v>4.16</v>
      </c>
      <c r="J264">
        <v>5</v>
      </c>
      <c r="K264">
        <v>711.36</v>
      </c>
      <c r="L264">
        <f t="shared" si="8"/>
        <v>711.36</v>
      </c>
      <c r="M264" t="str">
        <f t="shared" si="9"/>
        <v>Pass</v>
      </c>
      <c r="N264" t="s">
        <v>1248</v>
      </c>
    </row>
    <row r="265" spans="1:14" x14ac:dyDescent="0.25">
      <c r="A265" t="s">
        <v>1406</v>
      </c>
      <c r="B265" t="s">
        <v>1078</v>
      </c>
      <c r="C265" t="s">
        <v>274</v>
      </c>
      <c r="D265" t="s">
        <v>968</v>
      </c>
      <c r="E265" s="1">
        <v>45662.570138888892</v>
      </c>
      <c r="F265" s="1">
        <v>45684.570138888892</v>
      </c>
      <c r="G265" t="s">
        <v>460</v>
      </c>
      <c r="H265" s="11">
        <v>220</v>
      </c>
      <c r="I265" s="15">
        <v>9.1999999999999993</v>
      </c>
      <c r="J265">
        <v>5</v>
      </c>
      <c r="K265">
        <v>1922.8</v>
      </c>
      <c r="L265">
        <f t="shared" si="8"/>
        <v>1922.8</v>
      </c>
      <c r="M265" t="str">
        <f t="shared" si="9"/>
        <v>Pass</v>
      </c>
      <c r="N265" t="s">
        <v>3271</v>
      </c>
    </row>
    <row r="266" spans="1:14" x14ac:dyDescent="0.25">
      <c r="A266" t="s">
        <v>1407</v>
      </c>
      <c r="B266" t="s">
        <v>1078</v>
      </c>
      <c r="C266" t="s">
        <v>274</v>
      </c>
      <c r="D266" t="s">
        <v>968</v>
      </c>
      <c r="E266" s="1">
        <v>45662.570138888892</v>
      </c>
      <c r="F266" s="1">
        <v>45684.570138888892</v>
      </c>
      <c r="G266" t="s">
        <v>460</v>
      </c>
      <c r="H266" s="11">
        <v>67</v>
      </c>
      <c r="I266" s="15">
        <v>9.42</v>
      </c>
      <c r="J266">
        <v>2.5</v>
      </c>
      <c r="K266">
        <v>615.36</v>
      </c>
      <c r="L266">
        <f t="shared" si="8"/>
        <v>615.36</v>
      </c>
      <c r="M266" t="str">
        <f t="shared" si="9"/>
        <v>Pass</v>
      </c>
      <c r="N266" t="s">
        <v>3271</v>
      </c>
    </row>
    <row r="267" spans="1:14" x14ac:dyDescent="0.25">
      <c r="A267" t="s">
        <v>1408</v>
      </c>
      <c r="B267" t="s">
        <v>1078</v>
      </c>
      <c r="C267" t="s">
        <v>274</v>
      </c>
      <c r="D267" t="s">
        <v>968</v>
      </c>
      <c r="E267" s="1">
        <v>45662.570138888892</v>
      </c>
      <c r="F267" s="1">
        <v>45684.570138888892</v>
      </c>
      <c r="G267" t="s">
        <v>460</v>
      </c>
      <c r="H267" s="11">
        <v>44</v>
      </c>
      <c r="I267" s="15">
        <v>9.6999999999999993</v>
      </c>
      <c r="J267">
        <v>2.5</v>
      </c>
      <c r="K267">
        <v>416.13</v>
      </c>
      <c r="L267">
        <f t="shared" si="8"/>
        <v>416.13</v>
      </c>
      <c r="M267" t="str">
        <f t="shared" si="9"/>
        <v>Pass</v>
      </c>
      <c r="N267" t="s">
        <v>1248</v>
      </c>
    </row>
    <row r="268" spans="1:14" x14ac:dyDescent="0.25">
      <c r="A268" t="s">
        <v>1409</v>
      </c>
      <c r="B268" t="s">
        <v>1079</v>
      </c>
      <c r="C268" t="s">
        <v>146</v>
      </c>
      <c r="D268" t="s">
        <v>964</v>
      </c>
      <c r="E268" s="1">
        <v>45722.723611111112</v>
      </c>
      <c r="F268" s="1">
        <v>45734.723611111112</v>
      </c>
      <c r="G268" t="s">
        <v>517</v>
      </c>
      <c r="H268" s="11">
        <v>58</v>
      </c>
      <c r="I268" s="15">
        <v>8.86</v>
      </c>
      <c r="J268">
        <v>7.5</v>
      </c>
      <c r="K268">
        <v>475.34</v>
      </c>
      <c r="L268">
        <f t="shared" si="8"/>
        <v>475.34</v>
      </c>
      <c r="M268" t="str">
        <f t="shared" si="9"/>
        <v>Pass</v>
      </c>
      <c r="N268" t="s">
        <v>1258</v>
      </c>
    </row>
    <row r="269" spans="1:14" x14ac:dyDescent="0.25">
      <c r="A269" t="s">
        <v>1410</v>
      </c>
      <c r="B269" t="s">
        <v>1079</v>
      </c>
      <c r="C269" t="s">
        <v>146</v>
      </c>
      <c r="D269" t="s">
        <v>964</v>
      </c>
      <c r="E269" s="1">
        <v>45722.723611111112</v>
      </c>
      <c r="F269" s="1">
        <v>45734.723611111112</v>
      </c>
      <c r="G269" t="s">
        <v>517</v>
      </c>
      <c r="H269" s="11">
        <v>206</v>
      </c>
      <c r="I269" s="15">
        <v>9.14</v>
      </c>
      <c r="J269">
        <v>0</v>
      </c>
      <c r="K269">
        <v>1882.84</v>
      </c>
      <c r="L269">
        <f t="shared" si="8"/>
        <v>1882.84</v>
      </c>
      <c r="M269" t="str">
        <f t="shared" si="9"/>
        <v>Pass</v>
      </c>
      <c r="N269" t="s">
        <v>1258</v>
      </c>
    </row>
    <row r="270" spans="1:14" x14ac:dyDescent="0.25">
      <c r="A270" t="s">
        <v>1411</v>
      </c>
      <c r="B270" t="s">
        <v>1079</v>
      </c>
      <c r="C270" t="s">
        <v>146</v>
      </c>
      <c r="D270" t="s">
        <v>964</v>
      </c>
      <c r="E270" s="1">
        <v>45722.723611111112</v>
      </c>
      <c r="F270" s="1">
        <v>45734.723611111112</v>
      </c>
      <c r="G270" t="s">
        <v>696</v>
      </c>
      <c r="H270" s="11">
        <v>100</v>
      </c>
      <c r="I270" s="15">
        <v>5.09</v>
      </c>
      <c r="J270">
        <v>7.5</v>
      </c>
      <c r="K270">
        <v>470.83</v>
      </c>
      <c r="L270">
        <f t="shared" si="8"/>
        <v>470.83</v>
      </c>
      <c r="M270" t="str">
        <f t="shared" si="9"/>
        <v>Pass</v>
      </c>
      <c r="N270" t="s">
        <v>1258</v>
      </c>
    </row>
    <row r="271" spans="1:14" x14ac:dyDescent="0.25">
      <c r="A271" t="s">
        <v>1412</v>
      </c>
      <c r="B271" t="s">
        <v>1080</v>
      </c>
      <c r="C271" t="s">
        <v>205</v>
      </c>
      <c r="D271" t="s">
        <v>964</v>
      </c>
      <c r="E271" s="1">
        <v>45682.35</v>
      </c>
      <c r="F271" s="1">
        <v>45691.35</v>
      </c>
      <c r="G271" t="s">
        <v>771</v>
      </c>
      <c r="H271" s="11">
        <v>108</v>
      </c>
      <c r="I271" s="15">
        <v>4.03</v>
      </c>
      <c r="J271">
        <v>0</v>
      </c>
      <c r="K271">
        <v>435.24</v>
      </c>
      <c r="L271">
        <f t="shared" si="8"/>
        <v>435.24</v>
      </c>
      <c r="M271" t="str">
        <f t="shared" si="9"/>
        <v>Pass</v>
      </c>
      <c r="N271" t="s">
        <v>1248</v>
      </c>
    </row>
    <row r="272" spans="1:14" x14ac:dyDescent="0.25">
      <c r="A272" t="s">
        <v>1413</v>
      </c>
      <c r="B272" t="s">
        <v>1080</v>
      </c>
      <c r="C272" t="s">
        <v>205</v>
      </c>
      <c r="D272" t="s">
        <v>964</v>
      </c>
      <c r="E272" s="1">
        <v>45682.35</v>
      </c>
      <c r="F272" s="1">
        <v>45691.35</v>
      </c>
      <c r="G272" t="s">
        <v>801</v>
      </c>
      <c r="H272" s="11">
        <v>173</v>
      </c>
      <c r="I272" s="15">
        <v>5.42</v>
      </c>
      <c r="J272">
        <v>0</v>
      </c>
      <c r="K272">
        <v>937.66</v>
      </c>
      <c r="L272">
        <f t="shared" si="8"/>
        <v>937.66</v>
      </c>
      <c r="M272" t="str">
        <f t="shared" si="9"/>
        <v>Pass</v>
      </c>
      <c r="N272" t="s">
        <v>3271</v>
      </c>
    </row>
    <row r="273" spans="1:14" x14ac:dyDescent="0.25">
      <c r="A273" t="s">
        <v>1414</v>
      </c>
      <c r="B273" t="s">
        <v>1080</v>
      </c>
      <c r="C273" t="s">
        <v>205</v>
      </c>
      <c r="D273" t="s">
        <v>964</v>
      </c>
      <c r="E273" s="1">
        <v>45682.35</v>
      </c>
      <c r="F273" s="1">
        <v>45691.35</v>
      </c>
      <c r="G273" t="s">
        <v>576</v>
      </c>
      <c r="H273" s="11">
        <v>199</v>
      </c>
      <c r="I273" s="15">
        <v>16.329999999999998</v>
      </c>
      <c r="J273">
        <v>7.5</v>
      </c>
      <c r="K273">
        <v>3005.94</v>
      </c>
      <c r="L273">
        <f t="shared" si="8"/>
        <v>3005.94</v>
      </c>
      <c r="M273" t="str">
        <f t="shared" si="9"/>
        <v>Pass</v>
      </c>
      <c r="N273" t="s">
        <v>1248</v>
      </c>
    </row>
    <row r="274" spans="1:14" x14ac:dyDescent="0.25">
      <c r="A274" t="s">
        <v>1415</v>
      </c>
      <c r="B274" t="s">
        <v>1081</v>
      </c>
      <c r="C274" t="s">
        <v>223</v>
      </c>
      <c r="D274" t="s">
        <v>968</v>
      </c>
      <c r="E274" s="1">
        <v>45710.276388888888</v>
      </c>
      <c r="F274" s="1">
        <v>45721.276388888888</v>
      </c>
      <c r="G274" t="s">
        <v>466</v>
      </c>
      <c r="H274" s="11">
        <v>95</v>
      </c>
      <c r="I274" s="15">
        <v>7.69</v>
      </c>
      <c r="J274">
        <v>2.5</v>
      </c>
      <c r="K274">
        <v>712.29</v>
      </c>
      <c r="L274">
        <f t="shared" si="8"/>
        <v>712.29</v>
      </c>
      <c r="M274" t="str">
        <f t="shared" si="9"/>
        <v>Pass</v>
      </c>
      <c r="N274" t="s">
        <v>1258</v>
      </c>
    </row>
    <row r="275" spans="1:14" x14ac:dyDescent="0.25">
      <c r="A275" t="s">
        <v>1416</v>
      </c>
      <c r="B275" t="s">
        <v>1081</v>
      </c>
      <c r="C275" t="s">
        <v>223</v>
      </c>
      <c r="D275" t="s">
        <v>968</v>
      </c>
      <c r="E275" s="1">
        <v>45710.276388888888</v>
      </c>
      <c r="F275" s="1">
        <v>45721.276388888888</v>
      </c>
      <c r="G275" t="s">
        <v>684</v>
      </c>
      <c r="H275" s="11">
        <v>139</v>
      </c>
      <c r="I275" s="15">
        <v>15.33</v>
      </c>
      <c r="J275">
        <v>0</v>
      </c>
      <c r="K275">
        <v>2130.87</v>
      </c>
      <c r="L275">
        <f t="shared" si="8"/>
        <v>2130.87</v>
      </c>
      <c r="M275" t="str">
        <f t="shared" si="9"/>
        <v>Pass</v>
      </c>
      <c r="N275" t="s">
        <v>1258</v>
      </c>
    </row>
    <row r="276" spans="1:14" x14ac:dyDescent="0.25">
      <c r="A276" t="s">
        <v>1417</v>
      </c>
      <c r="B276" t="s">
        <v>1081</v>
      </c>
      <c r="C276" t="s">
        <v>223</v>
      </c>
      <c r="D276" t="s">
        <v>968</v>
      </c>
      <c r="E276" s="1">
        <v>45710.276388888888</v>
      </c>
      <c r="F276" s="1">
        <v>45721.276388888888</v>
      </c>
      <c r="G276" t="s">
        <v>684</v>
      </c>
      <c r="H276" s="11">
        <v>146</v>
      </c>
      <c r="I276" s="15">
        <v>14.13</v>
      </c>
      <c r="J276">
        <v>7.5</v>
      </c>
      <c r="K276">
        <v>1908.26</v>
      </c>
      <c r="L276">
        <f t="shared" si="8"/>
        <v>1908.26</v>
      </c>
      <c r="M276" t="str">
        <f t="shared" si="9"/>
        <v>Pass</v>
      </c>
      <c r="N276" t="s">
        <v>1258</v>
      </c>
    </row>
    <row r="277" spans="1:14" x14ac:dyDescent="0.25">
      <c r="A277" t="s">
        <v>1418</v>
      </c>
      <c r="B277" t="s">
        <v>1082</v>
      </c>
      <c r="C277" t="s">
        <v>306</v>
      </c>
      <c r="D277" t="s">
        <v>980</v>
      </c>
      <c r="E277" s="1">
        <v>45670.151388888888</v>
      </c>
      <c r="F277" s="1">
        <v>45673.151388888888</v>
      </c>
      <c r="G277" t="s">
        <v>933</v>
      </c>
      <c r="H277" s="11">
        <v>214</v>
      </c>
      <c r="I277" s="15">
        <v>4.54</v>
      </c>
      <c r="J277">
        <v>0</v>
      </c>
      <c r="K277">
        <v>971.56</v>
      </c>
      <c r="L277">
        <f t="shared" si="8"/>
        <v>971.56</v>
      </c>
      <c r="M277" t="str">
        <f t="shared" si="9"/>
        <v>Pass</v>
      </c>
      <c r="N277" t="s">
        <v>1248</v>
      </c>
    </row>
    <row r="278" spans="1:14" x14ac:dyDescent="0.25">
      <c r="A278" t="s">
        <v>1419</v>
      </c>
      <c r="B278" t="s">
        <v>1082</v>
      </c>
      <c r="C278" t="s">
        <v>306</v>
      </c>
      <c r="D278" t="s">
        <v>980</v>
      </c>
      <c r="E278" s="1">
        <v>45670.151388888888</v>
      </c>
      <c r="F278" s="1">
        <v>45673.151388888888</v>
      </c>
      <c r="G278" t="s">
        <v>933</v>
      </c>
      <c r="H278" s="11">
        <v>64</v>
      </c>
      <c r="I278" s="15">
        <v>4.6100000000000003</v>
      </c>
      <c r="J278">
        <v>7.5</v>
      </c>
      <c r="K278">
        <v>272.91000000000003</v>
      </c>
      <c r="L278">
        <f t="shared" si="8"/>
        <v>272.91000000000003</v>
      </c>
      <c r="M278" t="str">
        <f t="shared" si="9"/>
        <v>Pass</v>
      </c>
      <c r="N278" t="s">
        <v>1258</v>
      </c>
    </row>
    <row r="279" spans="1:14" x14ac:dyDescent="0.25">
      <c r="A279" t="s">
        <v>1420</v>
      </c>
      <c r="B279" t="s">
        <v>1082</v>
      </c>
      <c r="C279" t="s">
        <v>306</v>
      </c>
      <c r="D279" t="s">
        <v>980</v>
      </c>
      <c r="E279" s="1">
        <v>45670.151388888888</v>
      </c>
      <c r="F279" s="1">
        <v>45673.151388888888</v>
      </c>
      <c r="G279" t="s">
        <v>933</v>
      </c>
      <c r="H279" s="11">
        <v>184</v>
      </c>
      <c r="I279" s="15">
        <v>4.8600000000000003</v>
      </c>
      <c r="J279">
        <v>0</v>
      </c>
      <c r="K279">
        <v>894.24</v>
      </c>
      <c r="L279">
        <f t="shared" si="8"/>
        <v>894.24</v>
      </c>
      <c r="M279" t="str">
        <f t="shared" si="9"/>
        <v>Pass</v>
      </c>
      <c r="N279" t="s">
        <v>1248</v>
      </c>
    </row>
    <row r="280" spans="1:14" x14ac:dyDescent="0.25">
      <c r="A280" t="s">
        <v>1421</v>
      </c>
      <c r="B280" t="s">
        <v>1083</v>
      </c>
      <c r="C280" t="s">
        <v>90</v>
      </c>
      <c r="D280" t="s">
        <v>999</v>
      </c>
      <c r="E280" s="1">
        <v>45695.816666666666</v>
      </c>
      <c r="F280" s="1">
        <v>45710.816666666666</v>
      </c>
      <c r="G280" t="s">
        <v>699</v>
      </c>
      <c r="H280" s="11">
        <v>14</v>
      </c>
      <c r="I280" s="15">
        <v>1.8</v>
      </c>
      <c r="J280">
        <v>5</v>
      </c>
      <c r="K280">
        <v>23.94</v>
      </c>
      <c r="L280">
        <f t="shared" si="8"/>
        <v>23.94</v>
      </c>
      <c r="M280" t="str">
        <f t="shared" si="9"/>
        <v>Pass</v>
      </c>
      <c r="N280" t="s">
        <v>1258</v>
      </c>
    </row>
    <row r="281" spans="1:14" x14ac:dyDescent="0.25">
      <c r="A281" t="s">
        <v>1422</v>
      </c>
      <c r="B281" t="s">
        <v>1083</v>
      </c>
      <c r="C281" t="s">
        <v>90</v>
      </c>
      <c r="D281" t="s">
        <v>999</v>
      </c>
      <c r="E281" s="1">
        <v>45695.816666666666</v>
      </c>
      <c r="F281" s="1">
        <v>45710.816666666666</v>
      </c>
      <c r="G281" t="s">
        <v>699</v>
      </c>
      <c r="H281" s="11">
        <v>88</v>
      </c>
      <c r="I281" s="15">
        <v>1.74</v>
      </c>
      <c r="J281">
        <v>5</v>
      </c>
      <c r="K281">
        <v>145.46</v>
      </c>
      <c r="L281">
        <f t="shared" si="8"/>
        <v>145.46</v>
      </c>
      <c r="M281" t="str">
        <f t="shared" si="9"/>
        <v>Pass</v>
      </c>
      <c r="N281" t="s">
        <v>1258</v>
      </c>
    </row>
    <row r="282" spans="1:14" x14ac:dyDescent="0.25">
      <c r="A282" t="s">
        <v>1423</v>
      </c>
      <c r="B282" t="s">
        <v>1083</v>
      </c>
      <c r="C282" t="s">
        <v>90</v>
      </c>
      <c r="D282" t="s">
        <v>999</v>
      </c>
      <c r="E282" s="1">
        <v>45695.816666666666</v>
      </c>
      <c r="F282" s="1">
        <v>45710.816666666666</v>
      </c>
      <c r="G282" t="s">
        <v>699</v>
      </c>
      <c r="H282" s="11">
        <v>73</v>
      </c>
      <c r="I282" s="15">
        <v>1.74</v>
      </c>
      <c r="J282">
        <v>10</v>
      </c>
      <c r="K282">
        <v>114.32</v>
      </c>
      <c r="L282">
        <f t="shared" si="8"/>
        <v>114.32</v>
      </c>
      <c r="M282" t="str">
        <f t="shared" si="9"/>
        <v>Pass</v>
      </c>
      <c r="N282" t="s">
        <v>3271</v>
      </c>
    </row>
    <row r="283" spans="1:14" x14ac:dyDescent="0.25">
      <c r="A283" t="s">
        <v>1424</v>
      </c>
      <c r="B283" t="s">
        <v>1084</v>
      </c>
      <c r="C283" t="s">
        <v>173</v>
      </c>
      <c r="D283" t="s">
        <v>999</v>
      </c>
      <c r="E283" s="1">
        <v>45710.520138888889</v>
      </c>
      <c r="F283" s="1">
        <v>45716.520138888889</v>
      </c>
      <c r="G283" t="s">
        <v>744</v>
      </c>
      <c r="H283" s="11">
        <v>89</v>
      </c>
      <c r="I283" s="15">
        <v>5.56</v>
      </c>
      <c r="J283">
        <v>0</v>
      </c>
      <c r="K283">
        <v>494.84</v>
      </c>
      <c r="L283">
        <f t="shared" si="8"/>
        <v>494.84</v>
      </c>
      <c r="M283" t="str">
        <f t="shared" si="9"/>
        <v>Pass</v>
      </c>
      <c r="N283" t="s">
        <v>1248</v>
      </c>
    </row>
    <row r="284" spans="1:14" x14ac:dyDescent="0.25">
      <c r="A284" t="s">
        <v>1425</v>
      </c>
      <c r="B284" t="s">
        <v>1084</v>
      </c>
      <c r="C284" t="s">
        <v>173</v>
      </c>
      <c r="D284" t="s">
        <v>999</v>
      </c>
      <c r="E284" s="1">
        <v>45710.520138888889</v>
      </c>
      <c r="F284" s="1">
        <v>45716.520138888889</v>
      </c>
      <c r="G284" t="s">
        <v>744</v>
      </c>
      <c r="H284" s="11">
        <v>233</v>
      </c>
      <c r="I284" s="15">
        <v>5.48</v>
      </c>
      <c r="J284">
        <v>7.5</v>
      </c>
      <c r="K284">
        <v>1181.08</v>
      </c>
      <c r="L284">
        <f t="shared" si="8"/>
        <v>1181.08</v>
      </c>
      <c r="M284" t="str">
        <f t="shared" si="9"/>
        <v>Pass</v>
      </c>
      <c r="N284" t="s">
        <v>3271</v>
      </c>
    </row>
    <row r="285" spans="1:14" x14ac:dyDescent="0.25">
      <c r="A285" t="s">
        <v>1426</v>
      </c>
      <c r="B285" t="s">
        <v>1085</v>
      </c>
      <c r="C285" t="s">
        <v>80</v>
      </c>
      <c r="D285" t="s">
        <v>980</v>
      </c>
      <c r="E285" s="1">
        <v>45694.631249999999</v>
      </c>
      <c r="F285" s="1">
        <v>45697.631249999999</v>
      </c>
      <c r="G285" t="s">
        <v>720</v>
      </c>
      <c r="H285" s="11">
        <v>225</v>
      </c>
      <c r="I285" s="15">
        <v>8.9499999999999993</v>
      </c>
      <c r="J285">
        <v>5</v>
      </c>
      <c r="K285">
        <v>1913.06</v>
      </c>
      <c r="L285">
        <f t="shared" si="8"/>
        <v>1913.06</v>
      </c>
      <c r="M285" t="str">
        <f t="shared" si="9"/>
        <v>Pass</v>
      </c>
      <c r="N285" t="s">
        <v>1258</v>
      </c>
    </row>
    <row r="286" spans="1:14" x14ac:dyDescent="0.25">
      <c r="A286" t="s">
        <v>1427</v>
      </c>
      <c r="B286" t="s">
        <v>1085</v>
      </c>
      <c r="C286" t="s">
        <v>80</v>
      </c>
      <c r="D286" t="s">
        <v>980</v>
      </c>
      <c r="E286" s="1">
        <v>45694.631249999999</v>
      </c>
      <c r="F286" s="1">
        <v>45697.631249999999</v>
      </c>
      <c r="G286" t="s">
        <v>816</v>
      </c>
      <c r="H286" s="11">
        <v>43</v>
      </c>
      <c r="I286" s="15">
        <v>10.29</v>
      </c>
      <c r="J286">
        <v>2.5</v>
      </c>
      <c r="K286">
        <v>431.41</v>
      </c>
      <c r="L286">
        <f t="shared" si="8"/>
        <v>431.41</v>
      </c>
      <c r="M286" t="str">
        <f t="shared" si="9"/>
        <v>Pass</v>
      </c>
      <c r="N286" t="s">
        <v>3271</v>
      </c>
    </row>
    <row r="287" spans="1:14" x14ac:dyDescent="0.25">
      <c r="A287" t="s">
        <v>1428</v>
      </c>
      <c r="B287" t="s">
        <v>1085</v>
      </c>
      <c r="C287" t="s">
        <v>80</v>
      </c>
      <c r="D287" t="s">
        <v>980</v>
      </c>
      <c r="E287" s="1">
        <v>45694.631249999999</v>
      </c>
      <c r="F287" s="1">
        <v>45697.631249999999</v>
      </c>
      <c r="G287" t="s">
        <v>816</v>
      </c>
      <c r="H287" s="11">
        <v>86</v>
      </c>
      <c r="I287" s="15">
        <v>10.8</v>
      </c>
      <c r="J287">
        <v>2.5</v>
      </c>
      <c r="K287">
        <v>905.58</v>
      </c>
      <c r="L287">
        <f t="shared" si="8"/>
        <v>905.58</v>
      </c>
      <c r="M287" t="str">
        <f t="shared" si="9"/>
        <v>Pass</v>
      </c>
      <c r="N287" t="s">
        <v>3271</v>
      </c>
    </row>
    <row r="288" spans="1:14" x14ac:dyDescent="0.25">
      <c r="A288" t="s">
        <v>1429</v>
      </c>
      <c r="B288" t="s">
        <v>1086</v>
      </c>
      <c r="C288" t="s">
        <v>376</v>
      </c>
      <c r="D288" t="s">
        <v>968</v>
      </c>
      <c r="E288" s="1">
        <v>45675.05</v>
      </c>
      <c r="F288" s="1">
        <v>45695.05</v>
      </c>
      <c r="G288" t="s">
        <v>666</v>
      </c>
      <c r="H288" s="11">
        <v>221</v>
      </c>
      <c r="I288" s="15">
        <v>14.48</v>
      </c>
      <c r="J288">
        <v>2.5</v>
      </c>
      <c r="K288">
        <v>3120.08</v>
      </c>
      <c r="L288">
        <f t="shared" si="8"/>
        <v>3120.08</v>
      </c>
      <c r="M288" t="str">
        <f t="shared" si="9"/>
        <v>Pass</v>
      </c>
      <c r="N288" t="s">
        <v>1248</v>
      </c>
    </row>
    <row r="289" spans="1:14" x14ac:dyDescent="0.25">
      <c r="A289" t="s">
        <v>1430</v>
      </c>
      <c r="B289" t="s">
        <v>1086</v>
      </c>
      <c r="C289" t="s">
        <v>376</v>
      </c>
      <c r="D289" t="s">
        <v>968</v>
      </c>
      <c r="E289" s="1">
        <v>45675.05</v>
      </c>
      <c r="F289" s="1">
        <v>45695.05</v>
      </c>
      <c r="G289" t="s">
        <v>502</v>
      </c>
      <c r="H289" s="11">
        <v>141</v>
      </c>
      <c r="I289" s="15">
        <v>13.42</v>
      </c>
      <c r="J289">
        <v>0</v>
      </c>
      <c r="K289">
        <v>1892.22</v>
      </c>
      <c r="L289">
        <f t="shared" si="8"/>
        <v>1892.22</v>
      </c>
      <c r="M289" t="str">
        <f t="shared" si="9"/>
        <v>Pass</v>
      </c>
      <c r="N289" t="s">
        <v>1258</v>
      </c>
    </row>
    <row r="290" spans="1:14" x14ac:dyDescent="0.25">
      <c r="A290" t="s">
        <v>1431</v>
      </c>
      <c r="B290" t="s">
        <v>1087</v>
      </c>
      <c r="C290" t="s">
        <v>247</v>
      </c>
      <c r="D290" t="s">
        <v>996</v>
      </c>
      <c r="E290" s="1">
        <v>45689.352083333331</v>
      </c>
      <c r="F290" s="1">
        <v>45707.352083333331</v>
      </c>
      <c r="G290" t="s">
        <v>726</v>
      </c>
      <c r="H290" s="11">
        <v>51</v>
      </c>
      <c r="I290" s="15">
        <v>11.56</v>
      </c>
      <c r="J290">
        <v>0</v>
      </c>
      <c r="K290">
        <v>589.55999999999995</v>
      </c>
      <c r="L290">
        <f t="shared" si="8"/>
        <v>589.55999999999995</v>
      </c>
      <c r="M290" t="str">
        <f t="shared" si="9"/>
        <v>Pass</v>
      </c>
      <c r="N290" t="s">
        <v>3271</v>
      </c>
    </row>
    <row r="291" spans="1:14" x14ac:dyDescent="0.25">
      <c r="A291" t="s">
        <v>1432</v>
      </c>
      <c r="B291" t="s">
        <v>1087</v>
      </c>
      <c r="C291" t="s">
        <v>247</v>
      </c>
      <c r="D291" t="s">
        <v>996</v>
      </c>
      <c r="E291" s="1">
        <v>45689.352083333331</v>
      </c>
      <c r="F291" s="1">
        <v>45707.352083333331</v>
      </c>
      <c r="G291" t="s">
        <v>882</v>
      </c>
      <c r="H291" s="11">
        <v>208</v>
      </c>
      <c r="I291" s="15">
        <v>3.44</v>
      </c>
      <c r="J291">
        <v>7.5</v>
      </c>
      <c r="K291">
        <v>661.86</v>
      </c>
      <c r="L291">
        <f t="shared" si="8"/>
        <v>661.86</v>
      </c>
      <c r="M291" t="str">
        <f t="shared" si="9"/>
        <v>Pass</v>
      </c>
      <c r="N291" t="s">
        <v>1258</v>
      </c>
    </row>
    <row r="292" spans="1:14" x14ac:dyDescent="0.25">
      <c r="A292" t="s">
        <v>1433</v>
      </c>
      <c r="B292" t="s">
        <v>1087</v>
      </c>
      <c r="C292" t="s">
        <v>247</v>
      </c>
      <c r="D292" t="s">
        <v>996</v>
      </c>
      <c r="E292" s="1">
        <v>45689.352083333331</v>
      </c>
      <c r="F292" s="1">
        <v>45707.352083333331</v>
      </c>
      <c r="G292" t="s">
        <v>469</v>
      </c>
      <c r="H292" s="11">
        <v>237</v>
      </c>
      <c r="I292" s="15">
        <v>1.81</v>
      </c>
      <c r="J292">
        <v>10</v>
      </c>
      <c r="K292">
        <v>386.07</v>
      </c>
      <c r="L292">
        <f t="shared" si="8"/>
        <v>386.07</v>
      </c>
      <c r="M292" t="str">
        <f t="shared" si="9"/>
        <v>Pass</v>
      </c>
      <c r="N292" t="s">
        <v>1258</v>
      </c>
    </row>
    <row r="293" spans="1:14" x14ac:dyDescent="0.25">
      <c r="A293" t="s">
        <v>1434</v>
      </c>
      <c r="B293" t="s">
        <v>1088</v>
      </c>
      <c r="C293" t="s">
        <v>238</v>
      </c>
      <c r="D293" t="s">
        <v>996</v>
      </c>
      <c r="E293" s="1">
        <v>45680.913194444445</v>
      </c>
      <c r="F293" s="1">
        <v>45685.913194444445</v>
      </c>
      <c r="G293" t="s">
        <v>536</v>
      </c>
      <c r="H293" s="11">
        <v>113</v>
      </c>
      <c r="I293" s="15">
        <v>2.1</v>
      </c>
      <c r="J293">
        <v>5</v>
      </c>
      <c r="K293">
        <v>225.44</v>
      </c>
      <c r="L293">
        <f t="shared" si="8"/>
        <v>225.44</v>
      </c>
      <c r="M293" t="str">
        <f t="shared" si="9"/>
        <v>Pass</v>
      </c>
      <c r="N293" t="s">
        <v>1248</v>
      </c>
    </row>
    <row r="294" spans="1:14" x14ac:dyDescent="0.25">
      <c r="A294" t="s">
        <v>1435</v>
      </c>
      <c r="B294" t="s">
        <v>1088</v>
      </c>
      <c r="C294" t="s">
        <v>238</v>
      </c>
      <c r="D294" t="s">
        <v>996</v>
      </c>
      <c r="E294" s="1">
        <v>45680.913194444445</v>
      </c>
      <c r="F294" s="1">
        <v>45685.913194444445</v>
      </c>
      <c r="G294" t="s">
        <v>762</v>
      </c>
      <c r="H294" s="11">
        <v>28</v>
      </c>
      <c r="I294" s="15">
        <v>8.4700000000000006</v>
      </c>
      <c r="J294">
        <v>0</v>
      </c>
      <c r="K294">
        <v>237.16</v>
      </c>
      <c r="L294">
        <f t="shared" si="8"/>
        <v>237.16</v>
      </c>
      <c r="M294" t="str">
        <f t="shared" si="9"/>
        <v>Pass</v>
      </c>
      <c r="N294" t="s">
        <v>1248</v>
      </c>
    </row>
    <row r="295" spans="1:14" x14ac:dyDescent="0.25">
      <c r="A295" t="s">
        <v>1436</v>
      </c>
      <c r="B295" t="s">
        <v>1088</v>
      </c>
      <c r="C295" t="s">
        <v>238</v>
      </c>
      <c r="D295" t="s">
        <v>996</v>
      </c>
      <c r="E295" s="1">
        <v>45680.913194444445</v>
      </c>
      <c r="F295" s="1">
        <v>45685.913194444445</v>
      </c>
      <c r="G295" t="s">
        <v>536</v>
      </c>
      <c r="H295" s="11">
        <v>166</v>
      </c>
      <c r="I295" s="15">
        <v>2.23</v>
      </c>
      <c r="J295">
        <v>0</v>
      </c>
      <c r="K295">
        <v>370.18</v>
      </c>
      <c r="L295">
        <f t="shared" si="8"/>
        <v>370.18</v>
      </c>
      <c r="M295" t="str">
        <f t="shared" si="9"/>
        <v>Pass</v>
      </c>
      <c r="N295" t="s">
        <v>1248</v>
      </c>
    </row>
    <row r="296" spans="1:14" x14ac:dyDescent="0.25">
      <c r="A296" t="s">
        <v>1437</v>
      </c>
      <c r="B296" t="s">
        <v>1089</v>
      </c>
      <c r="C296" t="s">
        <v>87</v>
      </c>
      <c r="D296" t="s">
        <v>959</v>
      </c>
      <c r="E296" s="1">
        <v>45659.636111111111</v>
      </c>
      <c r="F296" s="1">
        <v>45678.636111111111</v>
      </c>
      <c r="G296" t="s">
        <v>542</v>
      </c>
      <c r="H296" s="11">
        <v>24</v>
      </c>
      <c r="I296" s="15">
        <v>3.12</v>
      </c>
      <c r="J296">
        <v>0</v>
      </c>
      <c r="K296">
        <v>74.88</v>
      </c>
      <c r="L296">
        <f t="shared" si="8"/>
        <v>74.88</v>
      </c>
      <c r="M296" t="str">
        <f t="shared" si="9"/>
        <v>Pass</v>
      </c>
      <c r="N296" t="s">
        <v>1258</v>
      </c>
    </row>
    <row r="297" spans="1:14" x14ac:dyDescent="0.25">
      <c r="A297" t="s">
        <v>1438</v>
      </c>
      <c r="B297" t="s">
        <v>1089</v>
      </c>
      <c r="C297" t="s">
        <v>87</v>
      </c>
      <c r="D297" t="s">
        <v>959</v>
      </c>
      <c r="E297" s="1">
        <v>45659.636111111111</v>
      </c>
      <c r="F297" s="1">
        <v>45678.636111111111</v>
      </c>
      <c r="G297" t="s">
        <v>542</v>
      </c>
      <c r="H297" s="11">
        <v>225</v>
      </c>
      <c r="I297" s="15">
        <v>3.19</v>
      </c>
      <c r="J297">
        <v>5</v>
      </c>
      <c r="K297">
        <v>681.86</v>
      </c>
      <c r="L297">
        <f t="shared" si="8"/>
        <v>681.86</v>
      </c>
      <c r="M297" t="str">
        <f t="shared" si="9"/>
        <v>Pass</v>
      </c>
      <c r="N297" t="s">
        <v>1248</v>
      </c>
    </row>
    <row r="298" spans="1:14" x14ac:dyDescent="0.25">
      <c r="A298" t="s">
        <v>1439</v>
      </c>
      <c r="B298" t="s">
        <v>1089</v>
      </c>
      <c r="C298" t="s">
        <v>87</v>
      </c>
      <c r="D298" t="s">
        <v>959</v>
      </c>
      <c r="E298" s="1">
        <v>45659.636111111111</v>
      </c>
      <c r="F298" s="1">
        <v>45678.636111111111</v>
      </c>
      <c r="G298" t="s">
        <v>789</v>
      </c>
      <c r="H298" s="11">
        <v>153</v>
      </c>
      <c r="I298" s="15">
        <v>11.92</v>
      </c>
      <c r="J298">
        <v>5</v>
      </c>
      <c r="K298">
        <v>1732.57</v>
      </c>
      <c r="L298">
        <f t="shared" si="8"/>
        <v>1732.57</v>
      </c>
      <c r="M298" t="str">
        <f t="shared" si="9"/>
        <v>Pass</v>
      </c>
      <c r="N298" t="s">
        <v>1248</v>
      </c>
    </row>
    <row r="299" spans="1:14" x14ac:dyDescent="0.25">
      <c r="A299" t="s">
        <v>1440</v>
      </c>
      <c r="B299" t="s">
        <v>1090</v>
      </c>
      <c r="C299" t="s">
        <v>208</v>
      </c>
      <c r="D299" t="s">
        <v>999</v>
      </c>
      <c r="E299" s="1">
        <v>45703.444444444445</v>
      </c>
      <c r="F299" s="1">
        <v>45708.444444444445</v>
      </c>
      <c r="G299" t="s">
        <v>888</v>
      </c>
      <c r="H299" s="11">
        <v>80</v>
      </c>
      <c r="I299" s="15">
        <v>3.74</v>
      </c>
      <c r="J299">
        <v>2.5</v>
      </c>
      <c r="K299">
        <v>291.72000000000003</v>
      </c>
      <c r="L299">
        <f t="shared" si="8"/>
        <v>291.72000000000003</v>
      </c>
      <c r="M299" t="str">
        <f t="shared" si="9"/>
        <v>Pass</v>
      </c>
      <c r="N299" t="s">
        <v>3271</v>
      </c>
    </row>
    <row r="300" spans="1:14" x14ac:dyDescent="0.25">
      <c r="A300" t="s">
        <v>1441</v>
      </c>
      <c r="B300" t="s">
        <v>1090</v>
      </c>
      <c r="C300" t="s">
        <v>208</v>
      </c>
      <c r="D300" t="s">
        <v>999</v>
      </c>
      <c r="E300" s="1">
        <v>45703.444444444445</v>
      </c>
      <c r="F300" s="1">
        <v>45708.444444444445</v>
      </c>
      <c r="G300" t="s">
        <v>888</v>
      </c>
      <c r="H300" s="11">
        <v>155</v>
      </c>
      <c r="I300" s="15">
        <v>4.1100000000000003</v>
      </c>
      <c r="J300">
        <v>10</v>
      </c>
      <c r="K300">
        <v>573.35</v>
      </c>
      <c r="L300">
        <f t="shared" si="8"/>
        <v>573.35</v>
      </c>
      <c r="M300" t="str">
        <f t="shared" si="9"/>
        <v>Pass</v>
      </c>
      <c r="N300" t="s">
        <v>1258</v>
      </c>
    </row>
    <row r="301" spans="1:14" x14ac:dyDescent="0.25">
      <c r="A301" t="s">
        <v>1442</v>
      </c>
      <c r="B301" t="s">
        <v>1091</v>
      </c>
      <c r="C301" t="s">
        <v>199</v>
      </c>
      <c r="D301" t="s">
        <v>996</v>
      </c>
      <c r="E301" s="1">
        <v>45712.67083333333</v>
      </c>
      <c r="F301" s="1">
        <v>45719.67083333333</v>
      </c>
      <c r="G301" t="s">
        <v>858</v>
      </c>
      <c r="H301" s="11">
        <v>235</v>
      </c>
      <c r="I301" s="15">
        <v>6.16</v>
      </c>
      <c r="J301">
        <v>0</v>
      </c>
      <c r="K301">
        <v>1447.6</v>
      </c>
      <c r="L301">
        <f t="shared" si="8"/>
        <v>1447.6</v>
      </c>
      <c r="M301" t="str">
        <f t="shared" si="9"/>
        <v>Pass</v>
      </c>
      <c r="N301" t="s">
        <v>1248</v>
      </c>
    </row>
    <row r="302" spans="1:14" x14ac:dyDescent="0.25">
      <c r="A302" t="s">
        <v>1443</v>
      </c>
      <c r="B302" t="s">
        <v>1091</v>
      </c>
      <c r="C302" t="s">
        <v>199</v>
      </c>
      <c r="D302" t="s">
        <v>996</v>
      </c>
      <c r="E302" s="1">
        <v>45712.67083333333</v>
      </c>
      <c r="F302" s="1">
        <v>45719.67083333333</v>
      </c>
      <c r="G302" t="s">
        <v>777</v>
      </c>
      <c r="H302" s="11">
        <v>134</v>
      </c>
      <c r="I302" s="15">
        <v>14.69</v>
      </c>
      <c r="J302">
        <v>10</v>
      </c>
      <c r="K302">
        <v>1771.61</v>
      </c>
      <c r="L302">
        <f t="shared" si="8"/>
        <v>1771.61</v>
      </c>
      <c r="M302" t="str">
        <f t="shared" si="9"/>
        <v>Pass</v>
      </c>
      <c r="N302" t="s">
        <v>1258</v>
      </c>
    </row>
    <row r="303" spans="1:14" x14ac:dyDescent="0.25">
      <c r="A303" t="s">
        <v>1444</v>
      </c>
      <c r="B303" t="s">
        <v>1091</v>
      </c>
      <c r="C303" t="s">
        <v>199</v>
      </c>
      <c r="D303" t="s">
        <v>996</v>
      </c>
      <c r="E303" s="1">
        <v>45712.67083333333</v>
      </c>
      <c r="F303" s="1">
        <v>45719.67083333333</v>
      </c>
      <c r="G303" t="s">
        <v>819</v>
      </c>
      <c r="H303" s="11">
        <v>76</v>
      </c>
      <c r="I303" s="15">
        <v>9.82</v>
      </c>
      <c r="J303">
        <v>0</v>
      </c>
      <c r="K303">
        <v>746.32</v>
      </c>
      <c r="L303">
        <f t="shared" si="8"/>
        <v>746.32</v>
      </c>
      <c r="M303" t="str">
        <f t="shared" si="9"/>
        <v>Pass</v>
      </c>
      <c r="N303" t="s">
        <v>3271</v>
      </c>
    </row>
    <row r="304" spans="1:14" x14ac:dyDescent="0.25">
      <c r="A304" t="s">
        <v>1445</v>
      </c>
      <c r="B304" t="s">
        <v>1092</v>
      </c>
      <c r="C304" t="s">
        <v>190</v>
      </c>
      <c r="D304" t="s">
        <v>976</v>
      </c>
      <c r="E304" s="1">
        <v>45701.683333333334</v>
      </c>
      <c r="F304" s="1">
        <v>45722.683333333334</v>
      </c>
      <c r="G304" t="s">
        <v>545</v>
      </c>
      <c r="H304" s="11">
        <v>205</v>
      </c>
      <c r="I304" s="15">
        <v>6.67</v>
      </c>
      <c r="J304">
        <v>0</v>
      </c>
      <c r="K304">
        <v>1367.35</v>
      </c>
      <c r="L304">
        <f t="shared" si="8"/>
        <v>1367.35</v>
      </c>
      <c r="M304" t="str">
        <f t="shared" si="9"/>
        <v>Pass</v>
      </c>
      <c r="N304" t="s">
        <v>1248</v>
      </c>
    </row>
    <row r="305" spans="1:14" x14ac:dyDescent="0.25">
      <c r="A305" t="s">
        <v>1446</v>
      </c>
      <c r="B305" t="s">
        <v>1092</v>
      </c>
      <c r="C305" t="s">
        <v>190</v>
      </c>
      <c r="D305" t="s">
        <v>976</v>
      </c>
      <c r="E305" s="1">
        <v>45701.683333333334</v>
      </c>
      <c r="F305" s="1">
        <v>45722.683333333334</v>
      </c>
      <c r="G305" t="s">
        <v>891</v>
      </c>
      <c r="H305" s="11">
        <v>22</v>
      </c>
      <c r="I305" s="15">
        <v>9.2799999999999994</v>
      </c>
      <c r="J305">
        <v>5</v>
      </c>
      <c r="K305">
        <v>193.95</v>
      </c>
      <c r="L305">
        <f t="shared" si="8"/>
        <v>193.95</v>
      </c>
      <c r="M305" t="str">
        <f t="shared" si="9"/>
        <v>Pass</v>
      </c>
      <c r="N305" t="s">
        <v>1258</v>
      </c>
    </row>
    <row r="306" spans="1:14" x14ac:dyDescent="0.25">
      <c r="A306" t="s">
        <v>1447</v>
      </c>
      <c r="B306" t="s">
        <v>1092</v>
      </c>
      <c r="C306" t="s">
        <v>190</v>
      </c>
      <c r="D306" t="s">
        <v>976</v>
      </c>
      <c r="E306" s="1">
        <v>45701.683333333334</v>
      </c>
      <c r="F306" s="1">
        <v>45722.683333333334</v>
      </c>
      <c r="G306" t="s">
        <v>861</v>
      </c>
      <c r="H306" s="11">
        <v>141</v>
      </c>
      <c r="I306" s="15">
        <v>7.62</v>
      </c>
      <c r="J306">
        <v>7.5</v>
      </c>
      <c r="K306">
        <v>993.84</v>
      </c>
      <c r="L306">
        <f t="shared" si="8"/>
        <v>993.84</v>
      </c>
      <c r="M306" t="str">
        <f t="shared" si="9"/>
        <v>Pass</v>
      </c>
      <c r="N306" t="s">
        <v>1258</v>
      </c>
    </row>
    <row r="307" spans="1:14" x14ac:dyDescent="0.25">
      <c r="A307" t="s">
        <v>1448</v>
      </c>
      <c r="B307" t="s">
        <v>1093</v>
      </c>
      <c r="C307" t="s">
        <v>170</v>
      </c>
      <c r="D307" t="s">
        <v>959</v>
      </c>
      <c r="E307" s="1">
        <v>45702.728472222225</v>
      </c>
      <c r="F307" s="1">
        <v>45706.728472222225</v>
      </c>
      <c r="G307" t="s">
        <v>499</v>
      </c>
      <c r="H307" s="11">
        <v>114</v>
      </c>
      <c r="I307" s="15">
        <v>2.38</v>
      </c>
      <c r="J307">
        <v>5</v>
      </c>
      <c r="K307">
        <v>257.75</v>
      </c>
      <c r="L307">
        <f t="shared" si="8"/>
        <v>257.75</v>
      </c>
      <c r="M307" t="str">
        <f t="shared" si="9"/>
        <v>Pass</v>
      </c>
      <c r="N307" t="s">
        <v>3271</v>
      </c>
    </row>
    <row r="308" spans="1:14" x14ac:dyDescent="0.25">
      <c r="A308" t="s">
        <v>1449</v>
      </c>
      <c r="B308" t="s">
        <v>1093</v>
      </c>
      <c r="C308" t="s">
        <v>170</v>
      </c>
      <c r="D308" t="s">
        <v>959</v>
      </c>
      <c r="E308" s="1">
        <v>45702.728472222225</v>
      </c>
      <c r="F308" s="1">
        <v>45706.728472222225</v>
      </c>
      <c r="G308" t="s">
        <v>729</v>
      </c>
      <c r="H308" s="11">
        <v>216</v>
      </c>
      <c r="I308" s="15">
        <v>12.76</v>
      </c>
      <c r="J308">
        <v>2.5</v>
      </c>
      <c r="K308">
        <v>2687.26</v>
      </c>
      <c r="L308">
        <f t="shared" si="8"/>
        <v>2687.26</v>
      </c>
      <c r="M308" t="str">
        <f t="shared" si="9"/>
        <v>Pass</v>
      </c>
      <c r="N308" t="s">
        <v>1248</v>
      </c>
    </row>
    <row r="309" spans="1:14" x14ac:dyDescent="0.25">
      <c r="A309" t="s">
        <v>1450</v>
      </c>
      <c r="B309" t="s">
        <v>1093</v>
      </c>
      <c r="C309" t="s">
        <v>170</v>
      </c>
      <c r="D309" t="s">
        <v>959</v>
      </c>
      <c r="E309" s="1">
        <v>45702.728472222225</v>
      </c>
      <c r="F309" s="1">
        <v>45706.728472222225</v>
      </c>
      <c r="G309" t="s">
        <v>591</v>
      </c>
      <c r="H309" s="11">
        <v>87</v>
      </c>
      <c r="I309" s="15">
        <v>15.44</v>
      </c>
      <c r="J309">
        <v>2.5</v>
      </c>
      <c r="K309">
        <v>1309.7</v>
      </c>
      <c r="L309">
        <f t="shared" si="8"/>
        <v>1309.7</v>
      </c>
      <c r="M309" t="str">
        <f t="shared" si="9"/>
        <v>Pass</v>
      </c>
      <c r="N309" t="s">
        <v>1258</v>
      </c>
    </row>
    <row r="310" spans="1:14" x14ac:dyDescent="0.25">
      <c r="A310" t="s">
        <v>1451</v>
      </c>
      <c r="B310" t="s">
        <v>1094</v>
      </c>
      <c r="C310" t="s">
        <v>253</v>
      </c>
      <c r="D310" t="s">
        <v>980</v>
      </c>
      <c r="E310" s="1">
        <v>45698.095138888886</v>
      </c>
      <c r="F310" s="1">
        <v>45721.095138888886</v>
      </c>
      <c r="G310" t="s">
        <v>768</v>
      </c>
      <c r="H310" s="11">
        <v>213</v>
      </c>
      <c r="I310" s="15">
        <v>10.59</v>
      </c>
      <c r="J310">
        <v>0</v>
      </c>
      <c r="K310">
        <v>2255.67</v>
      </c>
      <c r="L310">
        <f t="shared" si="8"/>
        <v>2255.67</v>
      </c>
      <c r="M310" t="str">
        <f t="shared" si="9"/>
        <v>Pass</v>
      </c>
      <c r="N310" t="s">
        <v>3271</v>
      </c>
    </row>
    <row r="311" spans="1:14" x14ac:dyDescent="0.25">
      <c r="A311" t="s">
        <v>1452</v>
      </c>
      <c r="B311" t="s">
        <v>1094</v>
      </c>
      <c r="C311" t="s">
        <v>253</v>
      </c>
      <c r="D311" t="s">
        <v>980</v>
      </c>
      <c r="E311" s="1">
        <v>45698.095138888886</v>
      </c>
      <c r="F311" s="1">
        <v>45721.095138888886</v>
      </c>
      <c r="G311" t="s">
        <v>831</v>
      </c>
      <c r="H311" s="11">
        <v>215</v>
      </c>
      <c r="I311" s="15">
        <v>15.5</v>
      </c>
      <c r="J311">
        <v>0</v>
      </c>
      <c r="K311">
        <v>3332.5</v>
      </c>
      <c r="L311">
        <f t="shared" si="8"/>
        <v>3332.5</v>
      </c>
      <c r="M311" t="str">
        <f t="shared" si="9"/>
        <v>Pass</v>
      </c>
      <c r="N311" t="s">
        <v>1258</v>
      </c>
    </row>
    <row r="312" spans="1:14" x14ac:dyDescent="0.25">
      <c r="A312" t="s">
        <v>1453</v>
      </c>
      <c r="B312" t="s">
        <v>1095</v>
      </c>
      <c r="C312" t="s">
        <v>346</v>
      </c>
      <c r="D312" t="s">
        <v>996</v>
      </c>
      <c r="E312" s="1">
        <v>45694.740972222222</v>
      </c>
      <c r="F312" s="1">
        <v>45717.740972222222</v>
      </c>
      <c r="G312" t="s">
        <v>777</v>
      </c>
      <c r="H312" s="11">
        <v>27</v>
      </c>
      <c r="I312" s="15">
        <v>15.91</v>
      </c>
      <c r="J312">
        <v>2.5</v>
      </c>
      <c r="K312">
        <v>418.83</v>
      </c>
      <c r="L312">
        <f t="shared" si="8"/>
        <v>418.83</v>
      </c>
      <c r="M312" t="str">
        <f t="shared" si="9"/>
        <v>Pass</v>
      </c>
      <c r="N312" t="s">
        <v>1258</v>
      </c>
    </row>
    <row r="313" spans="1:14" x14ac:dyDescent="0.25">
      <c r="A313" t="s">
        <v>1454</v>
      </c>
      <c r="B313" t="s">
        <v>1095</v>
      </c>
      <c r="C313" t="s">
        <v>346</v>
      </c>
      <c r="D313" t="s">
        <v>996</v>
      </c>
      <c r="E313" s="1">
        <v>45694.740972222222</v>
      </c>
      <c r="F313" s="1">
        <v>45717.740972222222</v>
      </c>
      <c r="G313" t="s">
        <v>777</v>
      </c>
      <c r="H313" s="11">
        <v>116</v>
      </c>
      <c r="I313" s="15">
        <v>15.19</v>
      </c>
      <c r="J313">
        <v>0</v>
      </c>
      <c r="K313">
        <v>1762.04</v>
      </c>
      <c r="L313">
        <f t="shared" si="8"/>
        <v>1762.04</v>
      </c>
      <c r="M313" t="str">
        <f t="shared" si="9"/>
        <v>Pass</v>
      </c>
      <c r="N313" t="s">
        <v>3271</v>
      </c>
    </row>
    <row r="314" spans="1:14" x14ac:dyDescent="0.25">
      <c r="A314" t="s">
        <v>1455</v>
      </c>
      <c r="B314" t="s">
        <v>1095</v>
      </c>
      <c r="C314" t="s">
        <v>346</v>
      </c>
      <c r="D314" t="s">
        <v>996</v>
      </c>
      <c r="E314" s="1">
        <v>45694.740972222222</v>
      </c>
      <c r="F314" s="1">
        <v>45717.740972222222</v>
      </c>
      <c r="G314" t="s">
        <v>777</v>
      </c>
      <c r="H314" s="11">
        <v>152</v>
      </c>
      <c r="I314" s="15">
        <v>15.02</v>
      </c>
      <c r="J314">
        <v>0</v>
      </c>
      <c r="K314">
        <v>2283.04</v>
      </c>
      <c r="L314">
        <f t="shared" si="8"/>
        <v>2283.04</v>
      </c>
      <c r="M314" t="str">
        <f t="shared" si="9"/>
        <v>Pass</v>
      </c>
      <c r="N314" t="s">
        <v>1258</v>
      </c>
    </row>
    <row r="315" spans="1:14" x14ac:dyDescent="0.25">
      <c r="A315" t="s">
        <v>1456</v>
      </c>
      <c r="B315" t="s">
        <v>1096</v>
      </c>
      <c r="C315" t="s">
        <v>315</v>
      </c>
      <c r="D315" t="s">
        <v>972</v>
      </c>
      <c r="E315" s="1">
        <v>45695.749305555553</v>
      </c>
      <c r="F315" s="1">
        <v>45703.749305555553</v>
      </c>
      <c r="G315" t="s">
        <v>463</v>
      </c>
      <c r="H315" s="11">
        <v>191</v>
      </c>
      <c r="I315" s="15">
        <v>8.26</v>
      </c>
      <c r="J315">
        <v>7.5</v>
      </c>
      <c r="K315">
        <v>1459.34</v>
      </c>
      <c r="L315">
        <f t="shared" si="8"/>
        <v>1459.34</v>
      </c>
      <c r="M315" t="str">
        <f t="shared" si="9"/>
        <v>Pass</v>
      </c>
      <c r="N315" t="s">
        <v>1258</v>
      </c>
    </row>
    <row r="316" spans="1:14" x14ac:dyDescent="0.25">
      <c r="A316" t="s">
        <v>1457</v>
      </c>
      <c r="B316" t="s">
        <v>1096</v>
      </c>
      <c r="C316" t="s">
        <v>315</v>
      </c>
      <c r="D316" t="s">
        <v>972</v>
      </c>
      <c r="E316" s="1">
        <v>45695.749305555553</v>
      </c>
      <c r="F316" s="1">
        <v>45703.749305555553</v>
      </c>
      <c r="G316" t="s">
        <v>463</v>
      </c>
      <c r="H316" s="11">
        <v>76</v>
      </c>
      <c r="I316" s="15">
        <v>8.19</v>
      </c>
      <c r="J316">
        <v>0</v>
      </c>
      <c r="K316">
        <v>622.44000000000005</v>
      </c>
      <c r="L316">
        <f t="shared" si="8"/>
        <v>622.44000000000005</v>
      </c>
      <c r="M316" t="str">
        <f t="shared" si="9"/>
        <v>Pass</v>
      </c>
      <c r="N316" t="s">
        <v>3271</v>
      </c>
    </row>
    <row r="317" spans="1:14" x14ac:dyDescent="0.25">
      <c r="A317" t="s">
        <v>1458</v>
      </c>
      <c r="B317" t="s">
        <v>1096</v>
      </c>
      <c r="C317" t="s">
        <v>315</v>
      </c>
      <c r="D317" t="s">
        <v>972</v>
      </c>
      <c r="E317" s="1">
        <v>45695.749305555553</v>
      </c>
      <c r="F317" s="1">
        <v>45703.749305555553</v>
      </c>
      <c r="G317" t="s">
        <v>463</v>
      </c>
      <c r="H317" s="11">
        <v>151</v>
      </c>
      <c r="I317" s="15">
        <v>8.41</v>
      </c>
      <c r="J317">
        <v>0</v>
      </c>
      <c r="K317">
        <v>1269.9100000000001</v>
      </c>
      <c r="L317">
        <f t="shared" si="8"/>
        <v>1269.9100000000001</v>
      </c>
      <c r="M317" t="str">
        <f t="shared" si="9"/>
        <v>Pass</v>
      </c>
      <c r="N317" t="s">
        <v>1258</v>
      </c>
    </row>
    <row r="318" spans="1:14" x14ac:dyDescent="0.25">
      <c r="A318" t="s">
        <v>1459</v>
      </c>
      <c r="B318" t="s">
        <v>1097</v>
      </c>
      <c r="C318" t="s">
        <v>62</v>
      </c>
      <c r="D318" t="s">
        <v>959</v>
      </c>
      <c r="E318" s="1">
        <v>45699.314583333333</v>
      </c>
      <c r="F318" s="1">
        <v>45715.314583333333</v>
      </c>
      <c r="G318" t="s">
        <v>557</v>
      </c>
      <c r="H318" s="11">
        <v>170</v>
      </c>
      <c r="I318" s="15">
        <v>1.79</v>
      </c>
      <c r="J318">
        <v>0</v>
      </c>
      <c r="K318">
        <v>304.3</v>
      </c>
      <c r="L318">
        <f t="shared" si="8"/>
        <v>304.3</v>
      </c>
      <c r="M318" t="str">
        <f t="shared" si="9"/>
        <v>Pass</v>
      </c>
      <c r="N318" t="s">
        <v>1248</v>
      </c>
    </row>
    <row r="319" spans="1:14" x14ac:dyDescent="0.25">
      <c r="A319" t="s">
        <v>1460</v>
      </c>
      <c r="B319" t="s">
        <v>1097</v>
      </c>
      <c r="C319" t="s">
        <v>62</v>
      </c>
      <c r="D319" t="s">
        <v>959</v>
      </c>
      <c r="E319" s="1">
        <v>45699.314583333333</v>
      </c>
      <c r="F319" s="1">
        <v>45715.314583333333</v>
      </c>
      <c r="G319" t="s">
        <v>894</v>
      </c>
      <c r="H319" s="11">
        <v>91</v>
      </c>
      <c r="I319" s="15">
        <v>8.42</v>
      </c>
      <c r="J319">
        <v>10</v>
      </c>
      <c r="K319">
        <v>689.6</v>
      </c>
      <c r="L319">
        <f t="shared" si="8"/>
        <v>689.6</v>
      </c>
      <c r="M319" t="str">
        <f t="shared" si="9"/>
        <v>Pass</v>
      </c>
      <c r="N319" t="s">
        <v>1248</v>
      </c>
    </row>
    <row r="320" spans="1:14" x14ac:dyDescent="0.25">
      <c r="A320" t="s">
        <v>1461</v>
      </c>
      <c r="B320" t="s">
        <v>1097</v>
      </c>
      <c r="C320" t="s">
        <v>62</v>
      </c>
      <c r="D320" t="s">
        <v>959</v>
      </c>
      <c r="E320" s="1">
        <v>45699.314583333333</v>
      </c>
      <c r="F320" s="1">
        <v>45715.314583333333</v>
      </c>
      <c r="G320" t="s">
        <v>557</v>
      </c>
      <c r="H320" s="11">
        <v>107</v>
      </c>
      <c r="I320" s="15">
        <v>1.75</v>
      </c>
      <c r="J320">
        <v>0</v>
      </c>
      <c r="K320">
        <v>187.25</v>
      </c>
      <c r="L320">
        <f t="shared" si="8"/>
        <v>187.25</v>
      </c>
      <c r="M320" t="str">
        <f t="shared" si="9"/>
        <v>Pass</v>
      </c>
      <c r="N320" t="s">
        <v>1248</v>
      </c>
    </row>
    <row r="321" spans="1:14" x14ac:dyDescent="0.25">
      <c r="A321" t="s">
        <v>1462</v>
      </c>
      <c r="B321" t="s">
        <v>1098</v>
      </c>
      <c r="C321" t="s">
        <v>297</v>
      </c>
      <c r="D321" t="s">
        <v>999</v>
      </c>
      <c r="E321" s="1">
        <v>45674.961805555555</v>
      </c>
      <c r="F321" s="1">
        <v>45684.961805555555</v>
      </c>
      <c r="G321" t="s">
        <v>822</v>
      </c>
      <c r="H321" s="11">
        <v>43</v>
      </c>
      <c r="I321" s="15">
        <v>9.43</v>
      </c>
      <c r="J321">
        <v>0</v>
      </c>
      <c r="K321">
        <v>405.49</v>
      </c>
      <c r="L321">
        <f t="shared" si="8"/>
        <v>405.49</v>
      </c>
      <c r="M321" t="str">
        <f t="shared" si="9"/>
        <v>Pass</v>
      </c>
      <c r="N321" t="s">
        <v>1258</v>
      </c>
    </row>
    <row r="322" spans="1:14" x14ac:dyDescent="0.25">
      <c r="A322" t="s">
        <v>1463</v>
      </c>
      <c r="B322" t="s">
        <v>1098</v>
      </c>
      <c r="C322" t="s">
        <v>297</v>
      </c>
      <c r="D322" t="s">
        <v>999</v>
      </c>
      <c r="E322" s="1">
        <v>45674.961805555555</v>
      </c>
      <c r="F322" s="1">
        <v>45684.961805555555</v>
      </c>
      <c r="G322" t="s">
        <v>894</v>
      </c>
      <c r="H322" s="11">
        <v>153</v>
      </c>
      <c r="I322" s="15">
        <v>8.76</v>
      </c>
      <c r="J322">
        <v>0</v>
      </c>
      <c r="K322">
        <v>1340.28</v>
      </c>
      <c r="L322">
        <f t="shared" ref="L322:L385" si="10">ROUND((H322*I322)-(J322/100)*(H322*I322),2)</f>
        <v>1340.28</v>
      </c>
      <c r="M322" t="str">
        <f t="shared" ref="M322:M385" si="11">IF(K322=L322,"Pass",IF(K322=L322-0.01,"Pass","Investigate"))</f>
        <v>Pass</v>
      </c>
      <c r="N322" t="s">
        <v>1258</v>
      </c>
    </row>
    <row r="323" spans="1:14" x14ac:dyDescent="0.25">
      <c r="A323" t="s">
        <v>1464</v>
      </c>
      <c r="B323" t="s">
        <v>1098</v>
      </c>
      <c r="C323" t="s">
        <v>297</v>
      </c>
      <c r="D323" t="s">
        <v>999</v>
      </c>
      <c r="E323" s="1">
        <v>45674.961805555555</v>
      </c>
      <c r="F323" s="1">
        <v>45684.961805555555</v>
      </c>
      <c r="G323" t="s">
        <v>822</v>
      </c>
      <c r="H323" s="11">
        <v>129</v>
      </c>
      <c r="I323" s="15">
        <v>8.93</v>
      </c>
      <c r="J323">
        <v>0</v>
      </c>
      <c r="K323">
        <v>1151.97</v>
      </c>
      <c r="L323">
        <f t="shared" si="10"/>
        <v>1151.97</v>
      </c>
      <c r="M323" t="str">
        <f t="shared" si="11"/>
        <v>Pass</v>
      </c>
      <c r="N323" t="s">
        <v>1248</v>
      </c>
    </row>
    <row r="324" spans="1:14" x14ac:dyDescent="0.25">
      <c r="A324" t="s">
        <v>1465</v>
      </c>
      <c r="B324" t="s">
        <v>1099</v>
      </c>
      <c r="C324" t="s">
        <v>321</v>
      </c>
      <c r="D324" t="s">
        <v>976</v>
      </c>
      <c r="E324" s="1">
        <v>45712.268055555556</v>
      </c>
      <c r="F324" s="1">
        <v>45731.268055555556</v>
      </c>
      <c r="G324" t="s">
        <v>551</v>
      </c>
      <c r="H324" s="11">
        <v>238</v>
      </c>
      <c r="I324" s="15">
        <v>17.850000000000001</v>
      </c>
      <c r="J324">
        <v>0</v>
      </c>
      <c r="K324">
        <v>4248.3</v>
      </c>
      <c r="L324">
        <f t="shared" si="10"/>
        <v>4248.3</v>
      </c>
      <c r="M324" t="str">
        <f t="shared" si="11"/>
        <v>Pass</v>
      </c>
      <c r="N324" t="s">
        <v>1248</v>
      </c>
    </row>
    <row r="325" spans="1:14" x14ac:dyDescent="0.25">
      <c r="A325" t="s">
        <v>1466</v>
      </c>
      <c r="B325" t="s">
        <v>1099</v>
      </c>
      <c r="C325" t="s">
        <v>321</v>
      </c>
      <c r="D325" t="s">
        <v>976</v>
      </c>
      <c r="E325" s="1">
        <v>45712.268055555556</v>
      </c>
      <c r="F325" s="1">
        <v>45731.268055555556</v>
      </c>
      <c r="G325" t="s">
        <v>551</v>
      </c>
      <c r="H325" s="11">
        <v>95</v>
      </c>
      <c r="I325" s="15">
        <v>17.29</v>
      </c>
      <c r="J325">
        <v>0</v>
      </c>
      <c r="K325">
        <v>1642.55</v>
      </c>
      <c r="L325">
        <f t="shared" si="10"/>
        <v>1642.55</v>
      </c>
      <c r="M325" t="str">
        <f t="shared" si="11"/>
        <v>Pass</v>
      </c>
      <c r="N325" t="s">
        <v>1258</v>
      </c>
    </row>
    <row r="326" spans="1:14" x14ac:dyDescent="0.25">
      <c r="A326" t="s">
        <v>1467</v>
      </c>
      <c r="B326" t="s">
        <v>1099</v>
      </c>
      <c r="C326" t="s">
        <v>321</v>
      </c>
      <c r="D326" t="s">
        <v>976</v>
      </c>
      <c r="E326" s="1">
        <v>45712.268055555556</v>
      </c>
      <c r="F326" s="1">
        <v>45731.268055555556</v>
      </c>
      <c r="G326" t="s">
        <v>551</v>
      </c>
      <c r="H326" s="11">
        <v>35</v>
      </c>
      <c r="I326" s="15">
        <v>16.95</v>
      </c>
      <c r="J326">
        <v>5</v>
      </c>
      <c r="K326">
        <v>563.59</v>
      </c>
      <c r="L326">
        <f t="shared" si="10"/>
        <v>563.59</v>
      </c>
      <c r="M326" t="str">
        <f t="shared" si="11"/>
        <v>Pass</v>
      </c>
      <c r="N326" t="s">
        <v>1248</v>
      </c>
    </row>
    <row r="327" spans="1:14" x14ac:dyDescent="0.25">
      <c r="A327" t="s">
        <v>1468</v>
      </c>
      <c r="B327" t="s">
        <v>1100</v>
      </c>
      <c r="C327" t="s">
        <v>294</v>
      </c>
      <c r="D327" t="s">
        <v>990</v>
      </c>
      <c r="E327" s="1">
        <v>45696.262499999997</v>
      </c>
      <c r="F327" s="1">
        <v>45699.262499999997</v>
      </c>
      <c r="G327" t="s">
        <v>417</v>
      </c>
      <c r="H327" s="11">
        <v>144</v>
      </c>
      <c r="I327" s="15">
        <v>8.1</v>
      </c>
      <c r="J327">
        <v>0</v>
      </c>
      <c r="K327">
        <v>1166.4000000000001</v>
      </c>
      <c r="L327">
        <f t="shared" si="10"/>
        <v>1166.4000000000001</v>
      </c>
      <c r="M327" t="str">
        <f t="shared" si="11"/>
        <v>Pass</v>
      </c>
      <c r="N327" t="s">
        <v>3271</v>
      </c>
    </row>
    <row r="328" spans="1:14" x14ac:dyDescent="0.25">
      <c r="A328" t="s">
        <v>1469</v>
      </c>
      <c r="B328" t="s">
        <v>1100</v>
      </c>
      <c r="C328" t="s">
        <v>294</v>
      </c>
      <c r="D328" t="s">
        <v>990</v>
      </c>
      <c r="E328" s="1">
        <v>45696.262499999997</v>
      </c>
      <c r="F328" s="1">
        <v>45699.262499999997</v>
      </c>
      <c r="G328" t="s">
        <v>837</v>
      </c>
      <c r="H328" s="11">
        <v>106</v>
      </c>
      <c r="I328" s="15">
        <v>14.25</v>
      </c>
      <c r="J328">
        <v>0</v>
      </c>
      <c r="K328">
        <v>1510.5</v>
      </c>
      <c r="L328">
        <f t="shared" si="10"/>
        <v>1510.5</v>
      </c>
      <c r="M328" t="str">
        <f t="shared" si="11"/>
        <v>Pass</v>
      </c>
      <c r="N328" t="s">
        <v>3271</v>
      </c>
    </row>
    <row r="329" spans="1:14" x14ac:dyDescent="0.25">
      <c r="A329" t="s">
        <v>1470</v>
      </c>
      <c r="B329" t="s">
        <v>1100</v>
      </c>
      <c r="C329" t="s">
        <v>294</v>
      </c>
      <c r="D329" t="s">
        <v>990</v>
      </c>
      <c r="E329" s="1">
        <v>45696.262499999997</v>
      </c>
      <c r="F329" s="1">
        <v>45699.262499999997</v>
      </c>
      <c r="G329" t="s">
        <v>417</v>
      </c>
      <c r="H329" s="11">
        <v>127</v>
      </c>
      <c r="I329" s="15">
        <v>7.78</v>
      </c>
      <c r="J329">
        <v>0</v>
      </c>
      <c r="K329">
        <v>988.06</v>
      </c>
      <c r="L329">
        <f t="shared" si="10"/>
        <v>988.06</v>
      </c>
      <c r="M329" t="str">
        <f t="shared" si="11"/>
        <v>Pass</v>
      </c>
      <c r="N329" t="s">
        <v>1248</v>
      </c>
    </row>
    <row r="330" spans="1:14" x14ac:dyDescent="0.25">
      <c r="A330" t="s">
        <v>1471</v>
      </c>
      <c r="B330" t="s">
        <v>1101</v>
      </c>
      <c r="C330" t="s">
        <v>56</v>
      </c>
      <c r="D330" t="s">
        <v>964</v>
      </c>
      <c r="E330" s="1">
        <v>45677.769444444442</v>
      </c>
      <c r="F330" s="1">
        <v>45695.769444444442</v>
      </c>
      <c r="G330" t="s">
        <v>615</v>
      </c>
      <c r="H330" s="11">
        <v>76</v>
      </c>
      <c r="I330" s="15">
        <v>5.76</v>
      </c>
      <c r="J330">
        <v>0</v>
      </c>
      <c r="K330">
        <v>437.76</v>
      </c>
      <c r="L330">
        <f t="shared" si="10"/>
        <v>437.76</v>
      </c>
      <c r="M330" t="str">
        <f t="shared" si="11"/>
        <v>Pass</v>
      </c>
      <c r="N330" t="s">
        <v>1258</v>
      </c>
    </row>
    <row r="331" spans="1:14" x14ac:dyDescent="0.25">
      <c r="A331" t="s">
        <v>1472</v>
      </c>
      <c r="B331" t="s">
        <v>1101</v>
      </c>
      <c r="C331" t="s">
        <v>56</v>
      </c>
      <c r="D331" t="s">
        <v>964</v>
      </c>
      <c r="E331" s="1">
        <v>45677.769444444442</v>
      </c>
      <c r="F331" s="1">
        <v>45695.769444444442</v>
      </c>
      <c r="G331" t="s">
        <v>615</v>
      </c>
      <c r="H331" s="11">
        <v>129</v>
      </c>
      <c r="I331" s="15">
        <v>6.41</v>
      </c>
      <c r="J331">
        <v>0</v>
      </c>
      <c r="K331">
        <v>826.89</v>
      </c>
      <c r="L331">
        <f t="shared" si="10"/>
        <v>826.89</v>
      </c>
      <c r="M331" t="str">
        <f t="shared" si="11"/>
        <v>Pass</v>
      </c>
      <c r="N331" t="s">
        <v>1258</v>
      </c>
    </row>
    <row r="332" spans="1:14" x14ac:dyDescent="0.25">
      <c r="A332" t="s">
        <v>1473</v>
      </c>
      <c r="B332" t="s">
        <v>1101</v>
      </c>
      <c r="C332" t="s">
        <v>56</v>
      </c>
      <c r="D332" t="s">
        <v>964</v>
      </c>
      <c r="E332" s="1">
        <v>45677.769444444442</v>
      </c>
      <c r="F332" s="1">
        <v>45695.769444444442</v>
      </c>
      <c r="G332" t="s">
        <v>606</v>
      </c>
      <c r="H332" s="11">
        <v>232</v>
      </c>
      <c r="I332" s="15">
        <v>2.54</v>
      </c>
      <c r="J332">
        <v>7.5</v>
      </c>
      <c r="K332">
        <v>545.08000000000004</v>
      </c>
      <c r="L332">
        <f t="shared" si="10"/>
        <v>545.08000000000004</v>
      </c>
      <c r="M332" t="str">
        <f t="shared" si="11"/>
        <v>Pass</v>
      </c>
      <c r="N332" t="s">
        <v>1248</v>
      </c>
    </row>
    <row r="333" spans="1:14" x14ac:dyDescent="0.25">
      <c r="A333" t="s">
        <v>1474</v>
      </c>
      <c r="B333" t="s">
        <v>1102</v>
      </c>
      <c r="C333" t="s">
        <v>167</v>
      </c>
      <c r="D333" t="s">
        <v>987</v>
      </c>
      <c r="E333" s="1">
        <v>45719.262499999997</v>
      </c>
      <c r="F333" s="1">
        <v>45736.262499999997</v>
      </c>
      <c r="G333" t="s">
        <v>456</v>
      </c>
      <c r="H333" s="11">
        <v>60</v>
      </c>
      <c r="I333" s="15">
        <v>10.91</v>
      </c>
      <c r="J333">
        <v>0</v>
      </c>
      <c r="K333">
        <v>654.6</v>
      </c>
      <c r="L333">
        <f t="shared" si="10"/>
        <v>654.6</v>
      </c>
      <c r="M333" t="str">
        <f t="shared" si="11"/>
        <v>Pass</v>
      </c>
      <c r="N333" t="s">
        <v>3271</v>
      </c>
    </row>
    <row r="334" spans="1:14" x14ac:dyDescent="0.25">
      <c r="A334" t="s">
        <v>1475</v>
      </c>
      <c r="B334" t="s">
        <v>1102</v>
      </c>
      <c r="C334" t="s">
        <v>167</v>
      </c>
      <c r="D334" t="s">
        <v>987</v>
      </c>
      <c r="E334" s="1">
        <v>45719.262499999997</v>
      </c>
      <c r="F334" s="1">
        <v>45736.262499999997</v>
      </c>
      <c r="G334" t="s">
        <v>456</v>
      </c>
      <c r="H334" s="11">
        <v>46</v>
      </c>
      <c r="I334" s="15">
        <v>12.33</v>
      </c>
      <c r="J334">
        <v>0</v>
      </c>
      <c r="K334">
        <v>567.17999999999995</v>
      </c>
      <c r="L334">
        <f t="shared" si="10"/>
        <v>567.17999999999995</v>
      </c>
      <c r="M334" t="str">
        <f t="shared" si="11"/>
        <v>Pass</v>
      </c>
      <c r="N334" t="s">
        <v>1248</v>
      </c>
    </row>
    <row r="335" spans="1:14" x14ac:dyDescent="0.25">
      <c r="A335" t="s">
        <v>1476</v>
      </c>
      <c r="B335" t="s">
        <v>1103</v>
      </c>
      <c r="C335" t="s">
        <v>373</v>
      </c>
      <c r="D335" t="s">
        <v>990</v>
      </c>
      <c r="E335" s="1">
        <v>45660.674305555556</v>
      </c>
      <c r="F335" s="1">
        <v>45668.674305555556</v>
      </c>
      <c r="G335" t="s">
        <v>597</v>
      </c>
      <c r="H335" s="11">
        <v>112</v>
      </c>
      <c r="I335" s="15">
        <v>2.84</v>
      </c>
      <c r="J335">
        <v>2.5</v>
      </c>
      <c r="K335">
        <v>310.13</v>
      </c>
      <c r="L335">
        <f t="shared" si="10"/>
        <v>310.13</v>
      </c>
      <c r="M335" t="str">
        <f t="shared" si="11"/>
        <v>Pass</v>
      </c>
      <c r="N335" t="s">
        <v>1248</v>
      </c>
    </row>
    <row r="336" spans="1:14" x14ac:dyDescent="0.25">
      <c r="A336" t="s">
        <v>1477</v>
      </c>
      <c r="B336" t="s">
        <v>1103</v>
      </c>
      <c r="C336" t="s">
        <v>373</v>
      </c>
      <c r="D336" t="s">
        <v>990</v>
      </c>
      <c r="E336" s="1">
        <v>45660.674305555556</v>
      </c>
      <c r="F336" s="1">
        <v>45668.674305555556</v>
      </c>
      <c r="G336" t="s">
        <v>597</v>
      </c>
      <c r="H336" s="11">
        <v>187</v>
      </c>
      <c r="I336" s="15">
        <v>2.83</v>
      </c>
      <c r="J336">
        <v>0</v>
      </c>
      <c r="K336">
        <v>529.21</v>
      </c>
      <c r="L336">
        <f t="shared" si="10"/>
        <v>529.21</v>
      </c>
      <c r="M336" t="str">
        <f t="shared" si="11"/>
        <v>Pass</v>
      </c>
      <c r="N336" t="s">
        <v>1248</v>
      </c>
    </row>
    <row r="337" spans="1:14" x14ac:dyDescent="0.25">
      <c r="A337" t="s">
        <v>1478</v>
      </c>
      <c r="B337" t="s">
        <v>1103</v>
      </c>
      <c r="C337" t="s">
        <v>373</v>
      </c>
      <c r="D337" t="s">
        <v>990</v>
      </c>
      <c r="E337" s="1">
        <v>45660.674305555556</v>
      </c>
      <c r="F337" s="1">
        <v>45668.674305555556</v>
      </c>
      <c r="G337" t="s">
        <v>597</v>
      </c>
      <c r="H337" s="11">
        <v>126</v>
      </c>
      <c r="I337" s="15">
        <v>2.84</v>
      </c>
      <c r="J337">
        <v>5</v>
      </c>
      <c r="K337">
        <v>339.95</v>
      </c>
      <c r="L337">
        <f t="shared" si="10"/>
        <v>339.95</v>
      </c>
      <c r="M337" t="str">
        <f t="shared" si="11"/>
        <v>Pass</v>
      </c>
      <c r="N337" t="s">
        <v>3271</v>
      </c>
    </row>
    <row r="338" spans="1:14" x14ac:dyDescent="0.25">
      <c r="A338" t="s">
        <v>1479</v>
      </c>
      <c r="B338" t="s">
        <v>1104</v>
      </c>
      <c r="C338" t="s">
        <v>268</v>
      </c>
      <c r="D338" t="s">
        <v>987</v>
      </c>
      <c r="E338" s="1">
        <v>45698.481249999997</v>
      </c>
      <c r="F338" s="1">
        <v>45710.481249999997</v>
      </c>
      <c r="G338" t="s">
        <v>409</v>
      </c>
      <c r="H338" s="11">
        <v>60</v>
      </c>
      <c r="I338" s="15">
        <v>5.3</v>
      </c>
      <c r="J338">
        <v>7.5</v>
      </c>
      <c r="K338">
        <v>294.14999999999998</v>
      </c>
      <c r="L338">
        <f t="shared" si="10"/>
        <v>294.14999999999998</v>
      </c>
      <c r="M338" t="str">
        <f t="shared" si="11"/>
        <v>Pass</v>
      </c>
      <c r="N338" t="s">
        <v>3271</v>
      </c>
    </row>
    <row r="339" spans="1:14" x14ac:dyDescent="0.25">
      <c r="A339" t="s">
        <v>1480</v>
      </c>
      <c r="B339" t="s">
        <v>1104</v>
      </c>
      <c r="C339" t="s">
        <v>268</v>
      </c>
      <c r="D339" t="s">
        <v>987</v>
      </c>
      <c r="E339" s="1">
        <v>45698.481249999997</v>
      </c>
      <c r="F339" s="1">
        <v>45710.481249999997</v>
      </c>
      <c r="G339" t="s">
        <v>567</v>
      </c>
      <c r="H339" s="11">
        <v>235</v>
      </c>
      <c r="I339" s="15">
        <v>1.56</v>
      </c>
      <c r="J339">
        <v>2.5</v>
      </c>
      <c r="K339">
        <v>357.44</v>
      </c>
      <c r="L339">
        <f t="shared" si="10"/>
        <v>357.44</v>
      </c>
      <c r="M339" t="str">
        <f t="shared" si="11"/>
        <v>Pass</v>
      </c>
      <c r="N339" t="s">
        <v>1258</v>
      </c>
    </row>
    <row r="340" spans="1:14" x14ac:dyDescent="0.25">
      <c r="A340" t="s">
        <v>1481</v>
      </c>
      <c r="B340" t="s">
        <v>1104</v>
      </c>
      <c r="C340" t="s">
        <v>268</v>
      </c>
      <c r="D340" t="s">
        <v>987</v>
      </c>
      <c r="E340" s="1">
        <v>45698.481249999997</v>
      </c>
      <c r="F340" s="1">
        <v>45710.481249999997</v>
      </c>
      <c r="G340" t="s">
        <v>567</v>
      </c>
      <c r="H340" s="11">
        <v>55</v>
      </c>
      <c r="I340" s="15">
        <v>1.61</v>
      </c>
      <c r="J340">
        <v>0</v>
      </c>
      <c r="K340">
        <v>88.55</v>
      </c>
      <c r="L340">
        <f t="shared" si="10"/>
        <v>88.55</v>
      </c>
      <c r="M340" t="str">
        <f t="shared" si="11"/>
        <v>Pass</v>
      </c>
      <c r="N340" t="s">
        <v>3271</v>
      </c>
    </row>
    <row r="341" spans="1:14" x14ac:dyDescent="0.25">
      <c r="A341" t="s">
        <v>1482</v>
      </c>
      <c r="B341" t="s">
        <v>1105</v>
      </c>
      <c r="C341" t="s">
        <v>173</v>
      </c>
      <c r="D341" t="s">
        <v>959</v>
      </c>
      <c r="E341" s="1">
        <v>45712.007638888892</v>
      </c>
      <c r="F341" s="1">
        <v>45715.007638888892</v>
      </c>
      <c r="G341" t="s">
        <v>744</v>
      </c>
      <c r="H341" s="11">
        <v>132</v>
      </c>
      <c r="I341" s="15">
        <v>5.15</v>
      </c>
      <c r="J341">
        <v>7.5</v>
      </c>
      <c r="K341">
        <v>628.82000000000005</v>
      </c>
      <c r="L341">
        <f t="shared" si="10"/>
        <v>628.82000000000005</v>
      </c>
      <c r="M341" t="str">
        <f t="shared" si="11"/>
        <v>Pass</v>
      </c>
      <c r="N341" t="s">
        <v>3271</v>
      </c>
    </row>
    <row r="342" spans="1:14" x14ac:dyDescent="0.25">
      <c r="A342" t="s">
        <v>1483</v>
      </c>
      <c r="B342" t="s">
        <v>1105</v>
      </c>
      <c r="C342" t="s">
        <v>173</v>
      </c>
      <c r="D342" t="s">
        <v>959</v>
      </c>
      <c r="E342" s="1">
        <v>45712.007638888892</v>
      </c>
      <c r="F342" s="1">
        <v>45715.007638888892</v>
      </c>
      <c r="G342" t="s">
        <v>744</v>
      </c>
      <c r="H342" s="11">
        <v>104</v>
      </c>
      <c r="I342" s="15">
        <v>5.14</v>
      </c>
      <c r="J342">
        <v>7.5</v>
      </c>
      <c r="K342">
        <v>494.47</v>
      </c>
      <c r="L342">
        <f t="shared" si="10"/>
        <v>494.47</v>
      </c>
      <c r="M342" t="str">
        <f t="shared" si="11"/>
        <v>Pass</v>
      </c>
      <c r="N342" t="s">
        <v>1248</v>
      </c>
    </row>
    <row r="343" spans="1:14" x14ac:dyDescent="0.25">
      <c r="A343" t="s">
        <v>1484</v>
      </c>
      <c r="B343" t="s">
        <v>1106</v>
      </c>
      <c r="C343" t="s">
        <v>349</v>
      </c>
      <c r="D343" t="s">
        <v>980</v>
      </c>
      <c r="E343" s="1">
        <v>45682.615972222222</v>
      </c>
      <c r="F343" s="1">
        <v>45701.615972222222</v>
      </c>
      <c r="G343" t="s">
        <v>843</v>
      </c>
      <c r="H343" s="11">
        <v>154</v>
      </c>
      <c r="I343" s="15">
        <v>8.16</v>
      </c>
      <c r="J343">
        <v>0</v>
      </c>
      <c r="K343">
        <v>1256.6400000000001</v>
      </c>
      <c r="L343">
        <f t="shared" si="10"/>
        <v>1256.6400000000001</v>
      </c>
      <c r="M343" t="str">
        <f t="shared" si="11"/>
        <v>Pass</v>
      </c>
      <c r="N343" t="s">
        <v>1258</v>
      </c>
    </row>
    <row r="344" spans="1:14" x14ac:dyDescent="0.25">
      <c r="A344" t="s">
        <v>1485</v>
      </c>
      <c r="B344" t="s">
        <v>1106</v>
      </c>
      <c r="C344" t="s">
        <v>349</v>
      </c>
      <c r="D344" t="s">
        <v>980</v>
      </c>
      <c r="E344" s="1">
        <v>45682.615972222222</v>
      </c>
      <c r="F344" s="1">
        <v>45701.615972222222</v>
      </c>
      <c r="G344" t="s">
        <v>843</v>
      </c>
      <c r="H344" s="11">
        <v>19</v>
      </c>
      <c r="I344" s="15">
        <v>8.06</v>
      </c>
      <c r="J344">
        <v>5</v>
      </c>
      <c r="K344">
        <v>145.47999999999999</v>
      </c>
      <c r="L344">
        <f t="shared" si="10"/>
        <v>145.47999999999999</v>
      </c>
      <c r="M344" t="str">
        <f t="shared" si="11"/>
        <v>Pass</v>
      </c>
      <c r="N344" t="s">
        <v>3271</v>
      </c>
    </row>
    <row r="345" spans="1:14" x14ac:dyDescent="0.25">
      <c r="A345" t="s">
        <v>1486</v>
      </c>
      <c r="B345" t="s">
        <v>1107</v>
      </c>
      <c r="C345" t="s">
        <v>62</v>
      </c>
      <c r="D345" t="s">
        <v>987</v>
      </c>
      <c r="E345" s="1">
        <v>45683.546527777777</v>
      </c>
      <c r="F345" s="1">
        <v>45698.546527777777</v>
      </c>
      <c r="G345" t="s">
        <v>557</v>
      </c>
      <c r="H345" s="11">
        <v>145</v>
      </c>
      <c r="I345" s="15">
        <v>1.65</v>
      </c>
      <c r="J345">
        <v>7.5</v>
      </c>
      <c r="K345">
        <v>221.31</v>
      </c>
      <c r="L345">
        <f t="shared" si="10"/>
        <v>221.31</v>
      </c>
      <c r="M345" t="str">
        <f t="shared" si="11"/>
        <v>Pass</v>
      </c>
      <c r="N345" t="s">
        <v>1258</v>
      </c>
    </row>
    <row r="346" spans="1:14" x14ac:dyDescent="0.25">
      <c r="A346" t="s">
        <v>1487</v>
      </c>
      <c r="B346" t="s">
        <v>1107</v>
      </c>
      <c r="C346" t="s">
        <v>62</v>
      </c>
      <c r="D346" t="s">
        <v>987</v>
      </c>
      <c r="E346" s="1">
        <v>45683.546527777777</v>
      </c>
      <c r="F346" s="1">
        <v>45698.546527777777</v>
      </c>
      <c r="G346" t="s">
        <v>557</v>
      </c>
      <c r="H346" s="11">
        <v>103</v>
      </c>
      <c r="I346" s="15">
        <v>1.9</v>
      </c>
      <c r="J346">
        <v>2.5</v>
      </c>
      <c r="K346">
        <v>190.81</v>
      </c>
      <c r="L346">
        <f t="shared" si="10"/>
        <v>190.81</v>
      </c>
      <c r="M346" t="str">
        <f t="shared" si="11"/>
        <v>Pass</v>
      </c>
      <c r="N346" t="s">
        <v>3271</v>
      </c>
    </row>
    <row r="347" spans="1:14" x14ac:dyDescent="0.25">
      <c r="A347" t="s">
        <v>1488</v>
      </c>
      <c r="B347" t="s">
        <v>1107</v>
      </c>
      <c r="C347" t="s">
        <v>62</v>
      </c>
      <c r="D347" t="s">
        <v>987</v>
      </c>
      <c r="E347" s="1">
        <v>45683.546527777777</v>
      </c>
      <c r="F347" s="1">
        <v>45698.546527777777</v>
      </c>
      <c r="G347" t="s">
        <v>557</v>
      </c>
      <c r="H347" s="11">
        <v>153</v>
      </c>
      <c r="I347" s="15">
        <v>1.89</v>
      </c>
      <c r="J347">
        <v>7.5</v>
      </c>
      <c r="K347">
        <v>267.48</v>
      </c>
      <c r="L347">
        <f t="shared" si="10"/>
        <v>267.48</v>
      </c>
      <c r="M347" t="str">
        <f t="shared" si="11"/>
        <v>Pass</v>
      </c>
      <c r="N347" t="s">
        <v>3271</v>
      </c>
    </row>
    <row r="348" spans="1:14" x14ac:dyDescent="0.25">
      <c r="A348" t="s">
        <v>1489</v>
      </c>
      <c r="B348" t="s">
        <v>1108</v>
      </c>
      <c r="C348" t="s">
        <v>282</v>
      </c>
      <c r="D348" t="s">
        <v>996</v>
      </c>
      <c r="E348" s="1">
        <v>45694.131944444445</v>
      </c>
      <c r="F348" s="1">
        <v>45702.131944444445</v>
      </c>
      <c r="G348" t="s">
        <v>449</v>
      </c>
      <c r="H348" s="11">
        <v>232</v>
      </c>
      <c r="I348" s="15">
        <v>14.46</v>
      </c>
      <c r="J348">
        <v>5</v>
      </c>
      <c r="K348">
        <v>3186.98</v>
      </c>
      <c r="L348">
        <f t="shared" si="10"/>
        <v>3186.98</v>
      </c>
      <c r="M348" t="str">
        <f t="shared" si="11"/>
        <v>Pass</v>
      </c>
      <c r="N348" t="s">
        <v>3271</v>
      </c>
    </row>
    <row r="349" spans="1:14" x14ac:dyDescent="0.25">
      <c r="A349" t="s">
        <v>1490</v>
      </c>
      <c r="B349" t="s">
        <v>1108</v>
      </c>
      <c r="C349" t="s">
        <v>282</v>
      </c>
      <c r="D349" t="s">
        <v>996</v>
      </c>
      <c r="E349" s="1">
        <v>45694.131944444445</v>
      </c>
      <c r="F349" s="1">
        <v>45702.131944444445</v>
      </c>
      <c r="G349" t="s">
        <v>915</v>
      </c>
      <c r="H349" s="11">
        <v>230</v>
      </c>
      <c r="I349" s="15">
        <v>10.35</v>
      </c>
      <c r="J349">
        <v>7.5</v>
      </c>
      <c r="K349">
        <v>2201.96</v>
      </c>
      <c r="L349">
        <f t="shared" si="10"/>
        <v>2201.96</v>
      </c>
      <c r="M349" t="str">
        <f t="shared" si="11"/>
        <v>Pass</v>
      </c>
      <c r="N349" t="s">
        <v>1258</v>
      </c>
    </row>
    <row r="350" spans="1:14" x14ac:dyDescent="0.25">
      <c r="A350" t="s">
        <v>1491</v>
      </c>
      <c r="B350" t="s">
        <v>1109</v>
      </c>
      <c r="C350" t="s">
        <v>294</v>
      </c>
      <c r="D350" t="s">
        <v>999</v>
      </c>
      <c r="E350" s="1">
        <v>45665.261805555558</v>
      </c>
      <c r="F350" s="1">
        <v>45669.261805555558</v>
      </c>
      <c r="G350" t="s">
        <v>417</v>
      </c>
      <c r="H350" s="11">
        <v>172</v>
      </c>
      <c r="I350" s="15">
        <v>8.5299999999999994</v>
      </c>
      <c r="J350">
        <v>5</v>
      </c>
      <c r="K350">
        <v>1393.8</v>
      </c>
      <c r="L350">
        <f t="shared" si="10"/>
        <v>1393.8</v>
      </c>
      <c r="M350" t="str">
        <f t="shared" si="11"/>
        <v>Pass</v>
      </c>
      <c r="N350" t="s">
        <v>1248</v>
      </c>
    </row>
    <row r="351" spans="1:14" x14ac:dyDescent="0.25">
      <c r="A351" t="s">
        <v>1492</v>
      </c>
      <c r="B351" t="s">
        <v>1109</v>
      </c>
      <c r="C351" t="s">
        <v>294</v>
      </c>
      <c r="D351" t="s">
        <v>999</v>
      </c>
      <c r="E351" s="1">
        <v>45665.261805555558</v>
      </c>
      <c r="F351" s="1">
        <v>45669.261805555558</v>
      </c>
      <c r="G351" t="s">
        <v>417</v>
      </c>
      <c r="H351" s="11">
        <v>76</v>
      </c>
      <c r="I351" s="15">
        <v>7.69</v>
      </c>
      <c r="J351">
        <v>7.5</v>
      </c>
      <c r="K351">
        <v>540.61</v>
      </c>
      <c r="L351">
        <f t="shared" si="10"/>
        <v>540.61</v>
      </c>
      <c r="M351" t="str">
        <f t="shared" si="11"/>
        <v>Pass</v>
      </c>
      <c r="N351" t="s">
        <v>3271</v>
      </c>
    </row>
    <row r="352" spans="1:14" x14ac:dyDescent="0.25">
      <c r="A352" t="s">
        <v>1493</v>
      </c>
      <c r="B352" t="s">
        <v>1109</v>
      </c>
      <c r="C352" t="s">
        <v>294</v>
      </c>
      <c r="D352" t="s">
        <v>999</v>
      </c>
      <c r="E352" s="1">
        <v>45665.261805555558</v>
      </c>
      <c r="F352" s="1">
        <v>45669.261805555558</v>
      </c>
      <c r="G352" t="s">
        <v>837</v>
      </c>
      <c r="H352" s="11">
        <v>168</v>
      </c>
      <c r="I352" s="15">
        <v>12.74</v>
      </c>
      <c r="J352">
        <v>0</v>
      </c>
      <c r="K352">
        <v>2140.3200000000002</v>
      </c>
      <c r="L352">
        <f t="shared" si="10"/>
        <v>2140.3200000000002</v>
      </c>
      <c r="M352" t="str">
        <f t="shared" si="11"/>
        <v>Pass</v>
      </c>
      <c r="N352" t="s">
        <v>1248</v>
      </c>
    </row>
    <row r="353" spans="1:14" x14ac:dyDescent="0.25">
      <c r="A353" t="s">
        <v>1494</v>
      </c>
      <c r="B353" t="s">
        <v>1110</v>
      </c>
      <c r="C353" t="s">
        <v>184</v>
      </c>
      <c r="D353" t="s">
        <v>999</v>
      </c>
      <c r="E353" s="1">
        <v>45683.410416666666</v>
      </c>
      <c r="F353" s="1">
        <v>45705.410416666666</v>
      </c>
      <c r="G353" t="s">
        <v>807</v>
      </c>
      <c r="H353" s="11">
        <v>13</v>
      </c>
      <c r="I353" s="15">
        <v>14.28</v>
      </c>
      <c r="J353">
        <v>0</v>
      </c>
      <c r="K353">
        <v>185.64</v>
      </c>
      <c r="L353">
        <f t="shared" si="10"/>
        <v>185.64</v>
      </c>
      <c r="M353" t="str">
        <f t="shared" si="11"/>
        <v>Pass</v>
      </c>
      <c r="N353" t="s">
        <v>1248</v>
      </c>
    </row>
    <row r="354" spans="1:14" x14ac:dyDescent="0.25">
      <c r="A354" t="s">
        <v>1495</v>
      </c>
      <c r="B354" t="s">
        <v>1110</v>
      </c>
      <c r="C354" t="s">
        <v>184</v>
      </c>
      <c r="D354" t="s">
        <v>999</v>
      </c>
      <c r="E354" s="1">
        <v>45683.410416666666</v>
      </c>
      <c r="F354" s="1">
        <v>45705.410416666666</v>
      </c>
      <c r="G354" t="s">
        <v>539</v>
      </c>
      <c r="H354" s="11">
        <v>60</v>
      </c>
      <c r="I354" s="15">
        <v>7.12</v>
      </c>
      <c r="J354">
        <v>7.5</v>
      </c>
      <c r="K354">
        <v>395.16</v>
      </c>
      <c r="L354">
        <f t="shared" si="10"/>
        <v>395.16</v>
      </c>
      <c r="M354" t="str">
        <f t="shared" si="11"/>
        <v>Pass</v>
      </c>
      <c r="N354" t="s">
        <v>3271</v>
      </c>
    </row>
    <row r="355" spans="1:14" x14ac:dyDescent="0.25">
      <c r="A355" t="s">
        <v>1496</v>
      </c>
      <c r="B355" t="s">
        <v>1110</v>
      </c>
      <c r="C355" t="s">
        <v>184</v>
      </c>
      <c r="D355" t="s">
        <v>999</v>
      </c>
      <c r="E355" s="1">
        <v>45683.410416666666</v>
      </c>
      <c r="F355" s="1">
        <v>45705.410416666666</v>
      </c>
      <c r="G355" t="s">
        <v>539</v>
      </c>
      <c r="H355" s="11">
        <v>223</v>
      </c>
      <c r="I355" s="15">
        <v>6.49</v>
      </c>
      <c r="J355">
        <v>10</v>
      </c>
      <c r="K355">
        <v>1302.54</v>
      </c>
      <c r="L355">
        <f t="shared" si="10"/>
        <v>1302.54</v>
      </c>
      <c r="M355" t="str">
        <f t="shared" si="11"/>
        <v>Pass</v>
      </c>
      <c r="N355" t="s">
        <v>1258</v>
      </c>
    </row>
    <row r="356" spans="1:14" x14ac:dyDescent="0.25">
      <c r="A356" t="s">
        <v>1497</v>
      </c>
      <c r="B356" t="s">
        <v>1111</v>
      </c>
      <c r="C356" t="s">
        <v>45</v>
      </c>
      <c r="D356" t="s">
        <v>976</v>
      </c>
      <c r="E356" s="1">
        <v>45710.405555555553</v>
      </c>
      <c r="F356" s="1">
        <v>45720.405555555553</v>
      </c>
      <c r="G356" t="s">
        <v>681</v>
      </c>
      <c r="H356" s="11">
        <v>105</v>
      </c>
      <c r="I356" s="15">
        <v>4.5199999999999996</v>
      </c>
      <c r="J356">
        <v>2.5</v>
      </c>
      <c r="K356">
        <v>462.73</v>
      </c>
      <c r="L356">
        <f t="shared" si="10"/>
        <v>462.74</v>
      </c>
      <c r="M356" t="str">
        <f t="shared" si="11"/>
        <v>Pass</v>
      </c>
      <c r="N356" t="s">
        <v>3271</v>
      </c>
    </row>
    <row r="357" spans="1:14" x14ac:dyDescent="0.25">
      <c r="A357" t="s">
        <v>1498</v>
      </c>
      <c r="B357" t="s">
        <v>1111</v>
      </c>
      <c r="C357" t="s">
        <v>45</v>
      </c>
      <c r="D357" t="s">
        <v>976</v>
      </c>
      <c r="E357" s="1">
        <v>45710.405555555553</v>
      </c>
      <c r="F357" s="1">
        <v>45720.405555555553</v>
      </c>
      <c r="G357" t="s">
        <v>499</v>
      </c>
      <c r="H357" s="11">
        <v>114</v>
      </c>
      <c r="I357" s="15">
        <v>2.31</v>
      </c>
      <c r="J357">
        <v>0</v>
      </c>
      <c r="K357">
        <v>263.33999999999997</v>
      </c>
      <c r="L357">
        <f t="shared" si="10"/>
        <v>263.33999999999997</v>
      </c>
      <c r="M357" t="str">
        <f t="shared" si="11"/>
        <v>Pass</v>
      </c>
      <c r="N357" t="s">
        <v>1258</v>
      </c>
    </row>
    <row r="358" spans="1:14" x14ac:dyDescent="0.25">
      <c r="A358" t="s">
        <v>1499</v>
      </c>
      <c r="B358" t="s">
        <v>1112</v>
      </c>
      <c r="C358" t="s">
        <v>62</v>
      </c>
      <c r="D358" t="s">
        <v>996</v>
      </c>
      <c r="E358" s="1">
        <v>45672.202777777777</v>
      </c>
      <c r="F358" s="1">
        <v>45690.202777777777</v>
      </c>
      <c r="G358" t="s">
        <v>557</v>
      </c>
      <c r="H358" s="11">
        <v>156</v>
      </c>
      <c r="I358" s="15">
        <v>1.84</v>
      </c>
      <c r="J358">
        <v>7.5</v>
      </c>
      <c r="K358">
        <v>265.51</v>
      </c>
      <c r="L358">
        <f t="shared" si="10"/>
        <v>265.51</v>
      </c>
      <c r="M358" t="str">
        <f t="shared" si="11"/>
        <v>Pass</v>
      </c>
      <c r="N358" t="s">
        <v>3271</v>
      </c>
    </row>
    <row r="359" spans="1:14" x14ac:dyDescent="0.25">
      <c r="A359" t="s">
        <v>1500</v>
      </c>
      <c r="B359" t="s">
        <v>1112</v>
      </c>
      <c r="C359" t="s">
        <v>62</v>
      </c>
      <c r="D359" t="s">
        <v>996</v>
      </c>
      <c r="E359" s="1">
        <v>45672.202777777777</v>
      </c>
      <c r="F359" s="1">
        <v>45690.202777777777</v>
      </c>
      <c r="G359" t="s">
        <v>557</v>
      </c>
      <c r="H359" s="11">
        <v>99</v>
      </c>
      <c r="I359" s="15">
        <v>1.81</v>
      </c>
      <c r="J359">
        <v>0</v>
      </c>
      <c r="K359">
        <v>179.19</v>
      </c>
      <c r="L359">
        <f t="shared" si="10"/>
        <v>179.19</v>
      </c>
      <c r="M359" t="str">
        <f t="shared" si="11"/>
        <v>Pass</v>
      </c>
      <c r="N359" t="s">
        <v>1258</v>
      </c>
    </row>
    <row r="360" spans="1:14" x14ac:dyDescent="0.25">
      <c r="A360" t="s">
        <v>1501</v>
      </c>
      <c r="B360" t="s">
        <v>1112</v>
      </c>
      <c r="C360" t="s">
        <v>62</v>
      </c>
      <c r="D360" t="s">
        <v>996</v>
      </c>
      <c r="E360" s="1">
        <v>45672.202777777777</v>
      </c>
      <c r="F360" s="1">
        <v>45690.202777777777</v>
      </c>
      <c r="G360" t="s">
        <v>557</v>
      </c>
      <c r="H360" s="11">
        <v>37</v>
      </c>
      <c r="I360" s="15">
        <v>1.69</v>
      </c>
      <c r="J360">
        <v>2.5</v>
      </c>
      <c r="K360">
        <v>60.97</v>
      </c>
      <c r="L360">
        <f t="shared" si="10"/>
        <v>60.97</v>
      </c>
      <c r="M360" t="str">
        <f t="shared" si="11"/>
        <v>Pass</v>
      </c>
      <c r="N360" t="s">
        <v>1258</v>
      </c>
    </row>
    <row r="361" spans="1:14" x14ac:dyDescent="0.25">
      <c r="A361" t="s">
        <v>1502</v>
      </c>
      <c r="B361" t="s">
        <v>1113</v>
      </c>
      <c r="C361" t="s">
        <v>232</v>
      </c>
      <c r="D361" t="s">
        <v>996</v>
      </c>
      <c r="E361" s="1">
        <v>45665.725694444445</v>
      </c>
      <c r="F361" s="1">
        <v>45678.725694444445</v>
      </c>
      <c r="G361" t="s">
        <v>813</v>
      </c>
      <c r="H361" s="11">
        <v>131</v>
      </c>
      <c r="I361" s="15">
        <v>5.53</v>
      </c>
      <c r="J361">
        <v>5</v>
      </c>
      <c r="K361">
        <v>688.21</v>
      </c>
      <c r="L361">
        <f t="shared" si="10"/>
        <v>688.21</v>
      </c>
      <c r="M361" t="str">
        <f t="shared" si="11"/>
        <v>Pass</v>
      </c>
      <c r="N361" t="s">
        <v>1258</v>
      </c>
    </row>
    <row r="362" spans="1:14" x14ac:dyDescent="0.25">
      <c r="A362" t="s">
        <v>1503</v>
      </c>
      <c r="B362" t="s">
        <v>1113</v>
      </c>
      <c r="C362" t="s">
        <v>232</v>
      </c>
      <c r="D362" t="s">
        <v>996</v>
      </c>
      <c r="E362" s="1">
        <v>45665.725694444445</v>
      </c>
      <c r="F362" s="1">
        <v>45678.725694444445</v>
      </c>
      <c r="G362" t="s">
        <v>813</v>
      </c>
      <c r="H362" s="11">
        <v>213</v>
      </c>
      <c r="I362" s="15">
        <v>5.55</v>
      </c>
      <c r="J362">
        <v>0</v>
      </c>
      <c r="K362">
        <v>1182.1500000000001</v>
      </c>
      <c r="L362">
        <f t="shared" si="10"/>
        <v>1182.1500000000001</v>
      </c>
      <c r="M362" t="str">
        <f t="shared" si="11"/>
        <v>Pass</v>
      </c>
      <c r="N362" t="s">
        <v>3271</v>
      </c>
    </row>
    <row r="363" spans="1:14" x14ac:dyDescent="0.25">
      <c r="A363" t="s">
        <v>1504</v>
      </c>
      <c r="B363" t="s">
        <v>1113</v>
      </c>
      <c r="C363" t="s">
        <v>232</v>
      </c>
      <c r="D363" t="s">
        <v>996</v>
      </c>
      <c r="E363" s="1">
        <v>45665.725694444445</v>
      </c>
      <c r="F363" s="1">
        <v>45678.725694444445</v>
      </c>
      <c r="G363" t="s">
        <v>813</v>
      </c>
      <c r="H363" s="11">
        <v>156</v>
      </c>
      <c r="I363" s="15">
        <v>6.21</v>
      </c>
      <c r="J363">
        <v>0</v>
      </c>
      <c r="K363">
        <v>968.76</v>
      </c>
      <c r="L363">
        <f t="shared" si="10"/>
        <v>968.76</v>
      </c>
      <c r="M363" t="str">
        <f t="shared" si="11"/>
        <v>Pass</v>
      </c>
      <c r="N363" t="s">
        <v>1248</v>
      </c>
    </row>
    <row r="364" spans="1:14" x14ac:dyDescent="0.25">
      <c r="A364" t="s">
        <v>1505</v>
      </c>
      <c r="B364" t="s">
        <v>1114</v>
      </c>
      <c r="C364" t="s">
        <v>333</v>
      </c>
      <c r="D364" t="s">
        <v>990</v>
      </c>
      <c r="E364" s="1">
        <v>45689.802083333336</v>
      </c>
      <c r="F364" s="1">
        <v>45708.802083333336</v>
      </c>
      <c r="G364" t="s">
        <v>858</v>
      </c>
      <c r="H364" s="11">
        <v>13</v>
      </c>
      <c r="I364" s="15">
        <v>6.44</v>
      </c>
      <c r="J364">
        <v>2.5</v>
      </c>
      <c r="K364">
        <v>81.63</v>
      </c>
      <c r="L364">
        <f t="shared" si="10"/>
        <v>81.63</v>
      </c>
      <c r="M364" t="str">
        <f t="shared" si="11"/>
        <v>Pass</v>
      </c>
      <c r="N364" t="s">
        <v>1248</v>
      </c>
    </row>
    <row r="365" spans="1:14" x14ac:dyDescent="0.25">
      <c r="A365" t="s">
        <v>1506</v>
      </c>
      <c r="B365" t="s">
        <v>1114</v>
      </c>
      <c r="C365" t="s">
        <v>333</v>
      </c>
      <c r="D365" t="s">
        <v>990</v>
      </c>
      <c r="E365" s="1">
        <v>45689.802083333336</v>
      </c>
      <c r="F365" s="1">
        <v>45708.802083333336</v>
      </c>
      <c r="G365" t="s">
        <v>858</v>
      </c>
      <c r="H365" s="11">
        <v>233</v>
      </c>
      <c r="I365" s="15">
        <v>5.57</v>
      </c>
      <c r="J365">
        <v>0</v>
      </c>
      <c r="K365">
        <v>1297.81</v>
      </c>
      <c r="L365">
        <f t="shared" si="10"/>
        <v>1297.81</v>
      </c>
      <c r="M365" t="str">
        <f t="shared" si="11"/>
        <v>Pass</v>
      </c>
      <c r="N365" t="s">
        <v>1258</v>
      </c>
    </row>
    <row r="366" spans="1:14" x14ac:dyDescent="0.25">
      <c r="A366" t="s">
        <v>1507</v>
      </c>
      <c r="B366" t="s">
        <v>1115</v>
      </c>
      <c r="C366" t="s">
        <v>253</v>
      </c>
      <c r="D366" t="s">
        <v>999</v>
      </c>
      <c r="E366" s="1">
        <v>45685.934027777781</v>
      </c>
      <c r="F366" s="1">
        <v>45707.934027777781</v>
      </c>
      <c r="G366" t="s">
        <v>768</v>
      </c>
      <c r="H366" s="11">
        <v>182</v>
      </c>
      <c r="I366" s="15">
        <v>11.84</v>
      </c>
      <c r="J366">
        <v>0</v>
      </c>
      <c r="K366">
        <v>2154.88</v>
      </c>
      <c r="L366">
        <f t="shared" si="10"/>
        <v>2154.88</v>
      </c>
      <c r="M366" t="str">
        <f t="shared" si="11"/>
        <v>Pass</v>
      </c>
      <c r="N366" t="s">
        <v>3271</v>
      </c>
    </row>
    <row r="367" spans="1:14" x14ac:dyDescent="0.25">
      <c r="A367" t="s">
        <v>1508</v>
      </c>
      <c r="B367" t="s">
        <v>1115</v>
      </c>
      <c r="C367" t="s">
        <v>253</v>
      </c>
      <c r="D367" t="s">
        <v>999</v>
      </c>
      <c r="E367" s="1">
        <v>45685.934027777781</v>
      </c>
      <c r="F367" s="1">
        <v>45707.934027777781</v>
      </c>
      <c r="G367" t="s">
        <v>768</v>
      </c>
      <c r="H367" s="11">
        <v>178</v>
      </c>
      <c r="I367" s="15">
        <v>10.58</v>
      </c>
      <c r="J367">
        <v>10</v>
      </c>
      <c r="K367">
        <v>1694.92</v>
      </c>
      <c r="L367">
        <f t="shared" si="10"/>
        <v>1694.92</v>
      </c>
      <c r="M367" t="str">
        <f t="shared" si="11"/>
        <v>Pass</v>
      </c>
      <c r="N367" t="s">
        <v>1258</v>
      </c>
    </row>
    <row r="368" spans="1:14" x14ac:dyDescent="0.25">
      <c r="A368" t="s">
        <v>1509</v>
      </c>
      <c r="B368" t="s">
        <v>1115</v>
      </c>
      <c r="C368" t="s">
        <v>253</v>
      </c>
      <c r="D368" t="s">
        <v>999</v>
      </c>
      <c r="E368" s="1">
        <v>45685.934027777781</v>
      </c>
      <c r="F368" s="1">
        <v>45707.934027777781</v>
      </c>
      <c r="G368" t="s">
        <v>831</v>
      </c>
      <c r="H368" s="11">
        <v>126</v>
      </c>
      <c r="I368" s="15">
        <v>17.739999999999998</v>
      </c>
      <c r="J368">
        <v>2.5</v>
      </c>
      <c r="K368">
        <v>2179.36</v>
      </c>
      <c r="L368">
        <f t="shared" si="10"/>
        <v>2179.36</v>
      </c>
      <c r="M368" t="str">
        <f t="shared" si="11"/>
        <v>Pass</v>
      </c>
      <c r="N368" t="s">
        <v>1258</v>
      </c>
    </row>
    <row r="369" spans="1:14" x14ac:dyDescent="0.25">
      <c r="A369" t="s">
        <v>1510</v>
      </c>
      <c r="B369" t="s">
        <v>1116</v>
      </c>
      <c r="C369" t="s">
        <v>167</v>
      </c>
      <c r="D369" t="s">
        <v>987</v>
      </c>
      <c r="E369" s="1">
        <v>45686.640972222223</v>
      </c>
      <c r="F369" s="1">
        <v>45702.640972222223</v>
      </c>
      <c r="G369" t="s">
        <v>618</v>
      </c>
      <c r="H369" s="11">
        <v>151</v>
      </c>
      <c r="I369" s="15">
        <v>9.99</v>
      </c>
      <c r="J369">
        <v>2.5</v>
      </c>
      <c r="K369">
        <v>1470.78</v>
      </c>
      <c r="L369">
        <f t="shared" si="10"/>
        <v>1470.78</v>
      </c>
      <c r="M369" t="str">
        <f t="shared" si="11"/>
        <v>Pass</v>
      </c>
      <c r="N369" t="s">
        <v>1248</v>
      </c>
    </row>
    <row r="370" spans="1:14" x14ac:dyDescent="0.25">
      <c r="A370" t="s">
        <v>1511</v>
      </c>
      <c r="B370" t="s">
        <v>1116</v>
      </c>
      <c r="C370" t="s">
        <v>167</v>
      </c>
      <c r="D370" t="s">
        <v>987</v>
      </c>
      <c r="E370" s="1">
        <v>45686.640972222223</v>
      </c>
      <c r="F370" s="1">
        <v>45702.640972222223</v>
      </c>
      <c r="G370" t="s">
        <v>618</v>
      </c>
      <c r="H370" s="11">
        <v>233</v>
      </c>
      <c r="I370" s="15">
        <v>9.36</v>
      </c>
      <c r="J370">
        <v>0</v>
      </c>
      <c r="K370">
        <v>2180.88</v>
      </c>
      <c r="L370">
        <f t="shared" si="10"/>
        <v>2180.88</v>
      </c>
      <c r="M370" t="str">
        <f t="shared" si="11"/>
        <v>Pass</v>
      </c>
      <c r="N370" t="s">
        <v>1248</v>
      </c>
    </row>
    <row r="371" spans="1:14" x14ac:dyDescent="0.25">
      <c r="A371" t="s">
        <v>1512</v>
      </c>
      <c r="B371" t="s">
        <v>1117</v>
      </c>
      <c r="C371" t="s">
        <v>312</v>
      </c>
      <c r="D371" t="s">
        <v>990</v>
      </c>
      <c r="E371" s="1">
        <v>45696.731249999997</v>
      </c>
      <c r="F371" s="1">
        <v>45702.731249999997</v>
      </c>
      <c r="G371" t="s">
        <v>430</v>
      </c>
      <c r="H371" s="11">
        <v>152</v>
      </c>
      <c r="I371" s="15">
        <v>5.26</v>
      </c>
      <c r="J371">
        <v>7.5</v>
      </c>
      <c r="K371">
        <v>739.56</v>
      </c>
      <c r="L371">
        <f t="shared" si="10"/>
        <v>739.56</v>
      </c>
      <c r="M371" t="str">
        <f t="shared" si="11"/>
        <v>Pass</v>
      </c>
      <c r="N371" t="s">
        <v>1248</v>
      </c>
    </row>
    <row r="372" spans="1:14" x14ac:dyDescent="0.25">
      <c r="A372" t="s">
        <v>1513</v>
      </c>
      <c r="B372" t="s">
        <v>1117</v>
      </c>
      <c r="C372" t="s">
        <v>312</v>
      </c>
      <c r="D372" t="s">
        <v>990</v>
      </c>
      <c r="E372" s="1">
        <v>45696.731249999997</v>
      </c>
      <c r="F372" s="1">
        <v>45702.731249999997</v>
      </c>
      <c r="G372" t="s">
        <v>430</v>
      </c>
      <c r="H372" s="11">
        <v>201</v>
      </c>
      <c r="I372" s="15">
        <v>5.07</v>
      </c>
      <c r="J372">
        <v>7.5</v>
      </c>
      <c r="K372">
        <v>942.64</v>
      </c>
      <c r="L372">
        <f t="shared" si="10"/>
        <v>942.64</v>
      </c>
      <c r="M372" t="str">
        <f t="shared" si="11"/>
        <v>Pass</v>
      </c>
      <c r="N372" t="s">
        <v>1248</v>
      </c>
    </row>
    <row r="373" spans="1:14" x14ac:dyDescent="0.25">
      <c r="A373" t="s">
        <v>1514</v>
      </c>
      <c r="B373" t="s">
        <v>1117</v>
      </c>
      <c r="C373" t="s">
        <v>312</v>
      </c>
      <c r="D373" t="s">
        <v>990</v>
      </c>
      <c r="E373" s="1">
        <v>45696.731249999997</v>
      </c>
      <c r="F373" s="1">
        <v>45702.731249999997</v>
      </c>
      <c r="G373" t="s">
        <v>430</v>
      </c>
      <c r="H373" s="11">
        <v>89</v>
      </c>
      <c r="I373" s="15">
        <v>4.8099999999999996</v>
      </c>
      <c r="J373">
        <v>0</v>
      </c>
      <c r="K373">
        <v>428.09</v>
      </c>
      <c r="L373">
        <f t="shared" si="10"/>
        <v>428.09</v>
      </c>
      <c r="M373" t="str">
        <f t="shared" si="11"/>
        <v>Pass</v>
      </c>
      <c r="N373" t="s">
        <v>1248</v>
      </c>
    </row>
    <row r="374" spans="1:14" x14ac:dyDescent="0.25">
      <c r="A374" t="s">
        <v>1515</v>
      </c>
      <c r="B374" t="s">
        <v>1118</v>
      </c>
      <c r="C374" t="s">
        <v>164</v>
      </c>
      <c r="D374" t="s">
        <v>959</v>
      </c>
      <c r="E374" s="1">
        <v>45666.330555555556</v>
      </c>
      <c r="F374" s="1">
        <v>45683.330555555556</v>
      </c>
      <c r="G374" t="s">
        <v>687</v>
      </c>
      <c r="H374" s="11">
        <v>207</v>
      </c>
      <c r="I374" s="15">
        <v>14.72</v>
      </c>
      <c r="J374">
        <v>5</v>
      </c>
      <c r="K374">
        <v>2894.69</v>
      </c>
      <c r="L374">
        <f t="shared" si="10"/>
        <v>2894.69</v>
      </c>
      <c r="M374" t="str">
        <f t="shared" si="11"/>
        <v>Pass</v>
      </c>
      <c r="N374" t="s">
        <v>3271</v>
      </c>
    </row>
    <row r="375" spans="1:14" x14ac:dyDescent="0.25">
      <c r="A375" t="s">
        <v>1516</v>
      </c>
      <c r="B375" t="s">
        <v>1118</v>
      </c>
      <c r="C375" t="s">
        <v>164</v>
      </c>
      <c r="D375" t="s">
        <v>959</v>
      </c>
      <c r="E375" s="1">
        <v>45666.330555555556</v>
      </c>
      <c r="F375" s="1">
        <v>45683.330555555556</v>
      </c>
      <c r="G375" t="s">
        <v>687</v>
      </c>
      <c r="H375" s="11">
        <v>24</v>
      </c>
      <c r="I375" s="15">
        <v>16.559999999999999</v>
      </c>
      <c r="J375">
        <v>5</v>
      </c>
      <c r="K375">
        <v>377.57</v>
      </c>
      <c r="L375">
        <f t="shared" si="10"/>
        <v>377.57</v>
      </c>
      <c r="M375" t="str">
        <f t="shared" si="11"/>
        <v>Pass</v>
      </c>
      <c r="N375" t="s">
        <v>1248</v>
      </c>
    </row>
    <row r="376" spans="1:14" x14ac:dyDescent="0.25">
      <c r="A376" t="s">
        <v>1517</v>
      </c>
      <c r="B376" t="s">
        <v>1118</v>
      </c>
      <c r="C376" t="s">
        <v>164</v>
      </c>
      <c r="D376" t="s">
        <v>959</v>
      </c>
      <c r="E376" s="1">
        <v>45666.330555555556</v>
      </c>
      <c r="F376" s="1">
        <v>45683.330555555556</v>
      </c>
      <c r="G376" t="s">
        <v>660</v>
      </c>
      <c r="H376" s="11">
        <v>143</v>
      </c>
      <c r="I376" s="15">
        <v>13.27</v>
      </c>
      <c r="J376">
        <v>5</v>
      </c>
      <c r="K376">
        <v>1802.73</v>
      </c>
      <c r="L376">
        <f t="shared" si="10"/>
        <v>1802.73</v>
      </c>
      <c r="M376" t="str">
        <f t="shared" si="11"/>
        <v>Pass</v>
      </c>
      <c r="N376" t="s">
        <v>3271</v>
      </c>
    </row>
    <row r="377" spans="1:14" x14ac:dyDescent="0.25">
      <c r="A377" t="s">
        <v>1518</v>
      </c>
      <c r="B377" t="s">
        <v>1119</v>
      </c>
      <c r="C377" t="s">
        <v>62</v>
      </c>
      <c r="D377" t="s">
        <v>990</v>
      </c>
      <c r="E377" s="1">
        <v>45661.32916666667</v>
      </c>
      <c r="F377" s="1">
        <v>45680.32916666667</v>
      </c>
      <c r="G377" t="s">
        <v>557</v>
      </c>
      <c r="H377" s="11">
        <v>30</v>
      </c>
      <c r="I377" s="15">
        <v>1.87</v>
      </c>
      <c r="J377">
        <v>10</v>
      </c>
      <c r="K377">
        <v>50.49</v>
      </c>
      <c r="L377">
        <f t="shared" si="10"/>
        <v>50.49</v>
      </c>
      <c r="M377" t="str">
        <f t="shared" si="11"/>
        <v>Pass</v>
      </c>
      <c r="N377" t="s">
        <v>1248</v>
      </c>
    </row>
    <row r="378" spans="1:14" x14ac:dyDescent="0.25">
      <c r="A378" t="s">
        <v>1519</v>
      </c>
      <c r="B378" t="s">
        <v>1119</v>
      </c>
      <c r="C378" t="s">
        <v>62</v>
      </c>
      <c r="D378" t="s">
        <v>990</v>
      </c>
      <c r="E378" s="1">
        <v>45661.32916666667</v>
      </c>
      <c r="F378" s="1">
        <v>45680.32916666667</v>
      </c>
      <c r="G378" t="s">
        <v>557</v>
      </c>
      <c r="H378" s="11">
        <v>214</v>
      </c>
      <c r="I378" s="15">
        <v>1.87</v>
      </c>
      <c r="J378">
        <v>0</v>
      </c>
      <c r="K378">
        <v>400.18</v>
      </c>
      <c r="L378">
        <f t="shared" si="10"/>
        <v>400.18</v>
      </c>
      <c r="M378" t="str">
        <f t="shared" si="11"/>
        <v>Pass</v>
      </c>
      <c r="N378" t="s">
        <v>1258</v>
      </c>
    </row>
    <row r="379" spans="1:14" x14ac:dyDescent="0.25">
      <c r="A379" t="s">
        <v>1520</v>
      </c>
      <c r="B379" t="s">
        <v>1119</v>
      </c>
      <c r="C379" t="s">
        <v>62</v>
      </c>
      <c r="D379" t="s">
        <v>990</v>
      </c>
      <c r="E379" s="1">
        <v>45661.32916666667</v>
      </c>
      <c r="F379" s="1">
        <v>45680.32916666667</v>
      </c>
      <c r="G379" t="s">
        <v>557</v>
      </c>
      <c r="H379" s="11">
        <v>198</v>
      </c>
      <c r="I379" s="15">
        <v>1.78</v>
      </c>
      <c r="J379">
        <v>2.5</v>
      </c>
      <c r="K379">
        <v>343.63</v>
      </c>
      <c r="L379">
        <f t="shared" si="10"/>
        <v>343.63</v>
      </c>
      <c r="M379" t="str">
        <f t="shared" si="11"/>
        <v>Pass</v>
      </c>
      <c r="N379" t="s">
        <v>3271</v>
      </c>
    </row>
    <row r="380" spans="1:14" x14ac:dyDescent="0.25">
      <c r="A380" t="s">
        <v>1521</v>
      </c>
      <c r="B380" t="s">
        <v>1120</v>
      </c>
      <c r="C380" t="s">
        <v>102</v>
      </c>
      <c r="D380" t="s">
        <v>980</v>
      </c>
      <c r="E380" s="1">
        <v>45711.973611111112</v>
      </c>
      <c r="F380" s="1">
        <v>45729.973611111112</v>
      </c>
      <c r="G380" t="s">
        <v>918</v>
      </c>
      <c r="H380" s="11">
        <v>86</v>
      </c>
      <c r="I380" s="15">
        <v>15.02</v>
      </c>
      <c r="J380">
        <v>5</v>
      </c>
      <c r="K380">
        <v>1227.1300000000001</v>
      </c>
      <c r="L380">
        <f t="shared" si="10"/>
        <v>1227.1300000000001</v>
      </c>
      <c r="M380" t="str">
        <f t="shared" si="11"/>
        <v>Pass</v>
      </c>
      <c r="N380" t="s">
        <v>1248</v>
      </c>
    </row>
    <row r="381" spans="1:14" x14ac:dyDescent="0.25">
      <c r="A381" t="s">
        <v>1522</v>
      </c>
      <c r="B381" t="s">
        <v>1120</v>
      </c>
      <c r="C381" t="s">
        <v>102</v>
      </c>
      <c r="D381" t="s">
        <v>980</v>
      </c>
      <c r="E381" s="1">
        <v>45711.973611111112</v>
      </c>
      <c r="F381" s="1">
        <v>45729.973611111112</v>
      </c>
      <c r="G381" t="s">
        <v>882</v>
      </c>
      <c r="H381" s="11">
        <v>61</v>
      </c>
      <c r="I381" s="15">
        <v>3.74</v>
      </c>
      <c r="J381">
        <v>10</v>
      </c>
      <c r="K381">
        <v>205.33</v>
      </c>
      <c r="L381">
        <f t="shared" si="10"/>
        <v>205.33</v>
      </c>
      <c r="M381" t="str">
        <f t="shared" si="11"/>
        <v>Pass</v>
      </c>
      <c r="N381" t="s">
        <v>1258</v>
      </c>
    </row>
    <row r="382" spans="1:14" x14ac:dyDescent="0.25">
      <c r="A382" t="s">
        <v>1523</v>
      </c>
      <c r="B382" t="s">
        <v>1120</v>
      </c>
      <c r="C382" t="s">
        <v>102</v>
      </c>
      <c r="D382" t="s">
        <v>980</v>
      </c>
      <c r="E382" s="1">
        <v>45711.973611111112</v>
      </c>
      <c r="F382" s="1">
        <v>45729.973611111112</v>
      </c>
      <c r="G382" t="s">
        <v>672</v>
      </c>
      <c r="H382" s="11">
        <v>37</v>
      </c>
      <c r="I382" s="15">
        <v>9.51</v>
      </c>
      <c r="J382">
        <v>2.5</v>
      </c>
      <c r="K382">
        <v>343.07</v>
      </c>
      <c r="L382">
        <f t="shared" si="10"/>
        <v>343.07</v>
      </c>
      <c r="M382" t="str">
        <f t="shared" si="11"/>
        <v>Pass</v>
      </c>
      <c r="N382" t="s">
        <v>1258</v>
      </c>
    </row>
    <row r="383" spans="1:14" x14ac:dyDescent="0.25">
      <c r="A383" t="s">
        <v>1524</v>
      </c>
      <c r="B383" t="s">
        <v>1121</v>
      </c>
      <c r="C383" t="s">
        <v>131</v>
      </c>
      <c r="D383" t="s">
        <v>980</v>
      </c>
      <c r="E383" s="1">
        <v>45680.184027777781</v>
      </c>
      <c r="F383" s="1">
        <v>45688.184027777781</v>
      </c>
      <c r="G383" t="s">
        <v>463</v>
      </c>
      <c r="H383" s="11">
        <v>11</v>
      </c>
      <c r="I383" s="15">
        <v>8.0500000000000007</v>
      </c>
      <c r="J383">
        <v>5</v>
      </c>
      <c r="K383">
        <v>84.12</v>
      </c>
      <c r="L383">
        <f t="shared" si="10"/>
        <v>84.12</v>
      </c>
      <c r="M383" t="str">
        <f t="shared" si="11"/>
        <v>Pass</v>
      </c>
      <c r="N383" t="s">
        <v>1248</v>
      </c>
    </row>
    <row r="384" spans="1:14" x14ac:dyDescent="0.25">
      <c r="A384" t="s">
        <v>1525</v>
      </c>
      <c r="B384" t="s">
        <v>1121</v>
      </c>
      <c r="C384" t="s">
        <v>131</v>
      </c>
      <c r="D384" t="s">
        <v>980</v>
      </c>
      <c r="E384" s="1">
        <v>45680.184027777781</v>
      </c>
      <c r="F384" s="1">
        <v>45688.184027777781</v>
      </c>
      <c r="G384" t="s">
        <v>440</v>
      </c>
      <c r="H384" s="11">
        <v>180</v>
      </c>
      <c r="I384" s="15">
        <v>6.45</v>
      </c>
      <c r="J384">
        <v>0</v>
      </c>
      <c r="K384">
        <v>1161</v>
      </c>
      <c r="L384">
        <f t="shared" si="10"/>
        <v>1161</v>
      </c>
      <c r="M384" t="str">
        <f t="shared" si="11"/>
        <v>Pass</v>
      </c>
      <c r="N384" t="s">
        <v>3271</v>
      </c>
    </row>
    <row r="385" spans="1:14" x14ac:dyDescent="0.25">
      <c r="A385" t="s">
        <v>1526</v>
      </c>
      <c r="B385" t="s">
        <v>1122</v>
      </c>
      <c r="C385" t="s">
        <v>300</v>
      </c>
      <c r="D385" t="s">
        <v>959</v>
      </c>
      <c r="E385" s="1">
        <v>45701.279861111114</v>
      </c>
      <c r="F385" s="1">
        <v>45707.279861111114</v>
      </c>
      <c r="G385" t="s">
        <v>708</v>
      </c>
      <c r="H385" s="11">
        <v>228</v>
      </c>
      <c r="I385" s="15">
        <v>10.25</v>
      </c>
      <c r="J385">
        <v>5</v>
      </c>
      <c r="K385">
        <v>2220.15</v>
      </c>
      <c r="L385">
        <f t="shared" si="10"/>
        <v>2220.15</v>
      </c>
      <c r="M385" t="str">
        <f t="shared" si="11"/>
        <v>Pass</v>
      </c>
      <c r="N385" t="s">
        <v>1248</v>
      </c>
    </row>
    <row r="386" spans="1:14" x14ac:dyDescent="0.25">
      <c r="A386" t="s">
        <v>1527</v>
      </c>
      <c r="B386" t="s">
        <v>1122</v>
      </c>
      <c r="C386" t="s">
        <v>300</v>
      </c>
      <c r="D386" t="s">
        <v>959</v>
      </c>
      <c r="E386" s="1">
        <v>45701.279861111114</v>
      </c>
      <c r="F386" s="1">
        <v>45707.279861111114</v>
      </c>
      <c r="G386" t="s">
        <v>813</v>
      </c>
      <c r="H386" s="11">
        <v>105</v>
      </c>
      <c r="I386" s="15">
        <v>6.15</v>
      </c>
      <c r="J386">
        <v>0</v>
      </c>
      <c r="K386">
        <v>645.75</v>
      </c>
      <c r="L386">
        <f t="shared" ref="L386:L421" si="12">ROUND((H386*I386)-(J386/100)*(H386*I386),2)</f>
        <v>645.75</v>
      </c>
      <c r="M386" t="str">
        <f t="shared" ref="M386:M421" si="13">IF(K386=L386,"Pass",IF(K386=L386-0.01,"Pass","Investigate"))</f>
        <v>Pass</v>
      </c>
      <c r="N386" t="s">
        <v>1248</v>
      </c>
    </row>
    <row r="387" spans="1:14" x14ac:dyDescent="0.25">
      <c r="A387" t="s">
        <v>1528</v>
      </c>
      <c r="B387" t="s">
        <v>1122</v>
      </c>
      <c r="C387" t="s">
        <v>300</v>
      </c>
      <c r="D387" t="s">
        <v>959</v>
      </c>
      <c r="E387" s="1">
        <v>45701.279861111114</v>
      </c>
      <c r="F387" s="1">
        <v>45707.279861111114</v>
      </c>
      <c r="G387" t="s">
        <v>648</v>
      </c>
      <c r="H387" s="11">
        <v>27</v>
      </c>
      <c r="I387" s="15">
        <v>10.1</v>
      </c>
      <c r="J387">
        <v>10</v>
      </c>
      <c r="K387">
        <v>245.43</v>
      </c>
      <c r="L387">
        <f t="shared" si="12"/>
        <v>245.43</v>
      </c>
      <c r="M387" t="str">
        <f t="shared" si="13"/>
        <v>Pass</v>
      </c>
      <c r="N387" t="s">
        <v>1258</v>
      </c>
    </row>
    <row r="388" spans="1:14" x14ac:dyDescent="0.25">
      <c r="A388" t="s">
        <v>1529</v>
      </c>
      <c r="B388" t="s">
        <v>1123</v>
      </c>
      <c r="C388" t="s">
        <v>330</v>
      </c>
      <c r="D388" t="s">
        <v>996</v>
      </c>
      <c r="E388" s="1">
        <v>45710.98541666667</v>
      </c>
      <c r="F388" s="1">
        <v>45718.98541666667</v>
      </c>
      <c r="G388" t="s">
        <v>579</v>
      </c>
      <c r="H388" s="11">
        <v>31</v>
      </c>
      <c r="I388" s="15">
        <v>6.42</v>
      </c>
      <c r="J388">
        <v>2.5</v>
      </c>
      <c r="K388">
        <v>194.04</v>
      </c>
      <c r="L388">
        <f t="shared" si="12"/>
        <v>194.04</v>
      </c>
      <c r="M388" t="str">
        <f t="shared" si="13"/>
        <v>Pass</v>
      </c>
      <c r="N388" t="s">
        <v>1258</v>
      </c>
    </row>
    <row r="389" spans="1:14" x14ac:dyDescent="0.25">
      <c r="A389" t="s">
        <v>1530</v>
      </c>
      <c r="B389" t="s">
        <v>1123</v>
      </c>
      <c r="C389" t="s">
        <v>330</v>
      </c>
      <c r="D389" t="s">
        <v>996</v>
      </c>
      <c r="E389" s="1">
        <v>45710.98541666667</v>
      </c>
      <c r="F389" s="1">
        <v>45718.98541666667</v>
      </c>
      <c r="G389" t="s">
        <v>657</v>
      </c>
      <c r="H389" s="11">
        <v>42</v>
      </c>
      <c r="I389" s="15">
        <v>16.11</v>
      </c>
      <c r="J389">
        <v>10</v>
      </c>
      <c r="K389">
        <v>608.96</v>
      </c>
      <c r="L389">
        <f t="shared" si="12"/>
        <v>608.96</v>
      </c>
      <c r="M389" t="str">
        <f t="shared" si="13"/>
        <v>Pass</v>
      </c>
      <c r="N389" t="s">
        <v>1248</v>
      </c>
    </row>
    <row r="390" spans="1:14" x14ac:dyDescent="0.25">
      <c r="A390" t="s">
        <v>1531</v>
      </c>
      <c r="B390" t="s">
        <v>1123</v>
      </c>
      <c r="C390" t="s">
        <v>330</v>
      </c>
      <c r="D390" t="s">
        <v>996</v>
      </c>
      <c r="E390" s="1">
        <v>45710.98541666667</v>
      </c>
      <c r="F390" s="1">
        <v>45718.98541666667</v>
      </c>
      <c r="G390" t="s">
        <v>579</v>
      </c>
      <c r="H390" s="11">
        <v>178</v>
      </c>
      <c r="I390" s="15">
        <v>6.29</v>
      </c>
      <c r="J390">
        <v>10</v>
      </c>
      <c r="K390">
        <v>1007.66</v>
      </c>
      <c r="L390">
        <f t="shared" si="12"/>
        <v>1007.66</v>
      </c>
      <c r="M390" t="str">
        <f t="shared" si="13"/>
        <v>Pass</v>
      </c>
      <c r="N390" t="s">
        <v>1258</v>
      </c>
    </row>
    <row r="391" spans="1:14" x14ac:dyDescent="0.25">
      <c r="A391" t="s">
        <v>1532</v>
      </c>
      <c r="B391" t="s">
        <v>1124</v>
      </c>
      <c r="C391" t="s">
        <v>318</v>
      </c>
      <c r="D391" t="s">
        <v>980</v>
      </c>
      <c r="E391" s="1">
        <v>45671.298611111109</v>
      </c>
      <c r="F391" s="1">
        <v>45677.298611111109</v>
      </c>
      <c r="G391" t="s">
        <v>675</v>
      </c>
      <c r="H391" s="11">
        <v>139</v>
      </c>
      <c r="I391" s="15">
        <v>6.46</v>
      </c>
      <c r="J391">
        <v>10</v>
      </c>
      <c r="K391">
        <v>808.15</v>
      </c>
      <c r="L391">
        <f t="shared" si="12"/>
        <v>808.15</v>
      </c>
      <c r="M391" t="str">
        <f t="shared" si="13"/>
        <v>Pass</v>
      </c>
      <c r="N391" t="s">
        <v>1248</v>
      </c>
    </row>
    <row r="392" spans="1:14" x14ac:dyDescent="0.25">
      <c r="A392" t="s">
        <v>1533</v>
      </c>
      <c r="B392" t="s">
        <v>1124</v>
      </c>
      <c r="C392" t="s">
        <v>318</v>
      </c>
      <c r="D392" t="s">
        <v>980</v>
      </c>
      <c r="E392" s="1">
        <v>45671.298611111109</v>
      </c>
      <c r="F392" s="1">
        <v>45677.298611111109</v>
      </c>
      <c r="G392" t="s">
        <v>675</v>
      </c>
      <c r="H392" s="11">
        <v>236</v>
      </c>
      <c r="I392" s="15">
        <v>6.2</v>
      </c>
      <c r="J392">
        <v>5</v>
      </c>
      <c r="K392">
        <v>1390.04</v>
      </c>
      <c r="L392">
        <f t="shared" si="12"/>
        <v>1390.04</v>
      </c>
      <c r="M392" t="str">
        <f t="shared" si="13"/>
        <v>Pass</v>
      </c>
      <c r="N392" t="s">
        <v>1258</v>
      </c>
    </row>
    <row r="393" spans="1:14" x14ac:dyDescent="0.25">
      <c r="A393" t="s">
        <v>1534</v>
      </c>
      <c r="B393" t="s">
        <v>1125</v>
      </c>
      <c r="C393" t="s">
        <v>161</v>
      </c>
      <c r="D393" t="s">
        <v>968</v>
      </c>
      <c r="E393" s="1">
        <v>45660.548611111109</v>
      </c>
      <c r="F393" s="1">
        <v>45667.548611111109</v>
      </c>
      <c r="G393" t="s">
        <v>603</v>
      </c>
      <c r="H393" s="11">
        <v>91</v>
      </c>
      <c r="I393" s="15">
        <v>4.7300000000000004</v>
      </c>
      <c r="J393">
        <v>0</v>
      </c>
      <c r="K393">
        <v>430.43</v>
      </c>
      <c r="L393">
        <f t="shared" si="12"/>
        <v>430.43</v>
      </c>
      <c r="M393" t="str">
        <f t="shared" si="13"/>
        <v>Pass</v>
      </c>
      <c r="N393" t="s">
        <v>1248</v>
      </c>
    </row>
    <row r="394" spans="1:14" x14ac:dyDescent="0.25">
      <c r="A394" t="s">
        <v>1535</v>
      </c>
      <c r="B394" t="s">
        <v>1125</v>
      </c>
      <c r="C394" t="s">
        <v>161</v>
      </c>
      <c r="D394" t="s">
        <v>968</v>
      </c>
      <c r="E394" s="1">
        <v>45660.548611111109</v>
      </c>
      <c r="F394" s="1">
        <v>45667.548611111109</v>
      </c>
      <c r="G394" t="s">
        <v>603</v>
      </c>
      <c r="H394" s="11">
        <v>126</v>
      </c>
      <c r="I394" s="15">
        <v>4.5999999999999996</v>
      </c>
      <c r="J394">
        <v>5</v>
      </c>
      <c r="K394">
        <v>550.62</v>
      </c>
      <c r="L394">
        <f t="shared" si="12"/>
        <v>550.62</v>
      </c>
      <c r="M394" t="str">
        <f t="shared" si="13"/>
        <v>Pass</v>
      </c>
      <c r="N394" t="s">
        <v>1248</v>
      </c>
    </row>
    <row r="395" spans="1:14" x14ac:dyDescent="0.25">
      <c r="A395" t="s">
        <v>1536</v>
      </c>
      <c r="B395" t="s">
        <v>1125</v>
      </c>
      <c r="C395" t="s">
        <v>161</v>
      </c>
      <c r="D395" t="s">
        <v>968</v>
      </c>
      <c r="E395" s="1">
        <v>45660.548611111109</v>
      </c>
      <c r="F395" s="1">
        <v>45667.548611111109</v>
      </c>
      <c r="G395" t="s">
        <v>493</v>
      </c>
      <c r="H395" s="11">
        <v>137</v>
      </c>
      <c r="I395" s="15">
        <v>7.38</v>
      </c>
      <c r="J395">
        <v>0</v>
      </c>
      <c r="K395">
        <v>1011.06</v>
      </c>
      <c r="L395">
        <f t="shared" si="12"/>
        <v>1011.06</v>
      </c>
      <c r="M395" t="str">
        <f t="shared" si="13"/>
        <v>Pass</v>
      </c>
      <c r="N395" t="s">
        <v>3271</v>
      </c>
    </row>
    <row r="396" spans="1:14" x14ac:dyDescent="0.25">
      <c r="A396" t="s">
        <v>1537</v>
      </c>
      <c r="B396" t="s">
        <v>1126</v>
      </c>
      <c r="C396" t="s">
        <v>208</v>
      </c>
      <c r="D396" t="s">
        <v>964</v>
      </c>
      <c r="E396" s="1">
        <v>45720.798611111109</v>
      </c>
      <c r="F396" s="1">
        <v>45726.798611111109</v>
      </c>
      <c r="G396" t="s">
        <v>888</v>
      </c>
      <c r="H396" s="11">
        <v>150</v>
      </c>
      <c r="I396" s="15">
        <v>3.56</v>
      </c>
      <c r="J396">
        <v>7.5</v>
      </c>
      <c r="K396">
        <v>493.95</v>
      </c>
      <c r="L396">
        <f t="shared" si="12"/>
        <v>493.95</v>
      </c>
      <c r="M396" t="str">
        <f t="shared" si="13"/>
        <v>Pass</v>
      </c>
      <c r="N396" t="s">
        <v>1248</v>
      </c>
    </row>
    <row r="397" spans="1:14" x14ac:dyDescent="0.25">
      <c r="A397" t="s">
        <v>1538</v>
      </c>
      <c r="B397" t="s">
        <v>1126</v>
      </c>
      <c r="C397" t="s">
        <v>208</v>
      </c>
      <c r="D397" t="s">
        <v>964</v>
      </c>
      <c r="E397" s="1">
        <v>45720.798611111109</v>
      </c>
      <c r="F397" s="1">
        <v>45726.798611111109</v>
      </c>
      <c r="G397" t="s">
        <v>888</v>
      </c>
      <c r="H397" s="11">
        <v>190</v>
      </c>
      <c r="I397" s="15">
        <v>3.81</v>
      </c>
      <c r="J397">
        <v>0</v>
      </c>
      <c r="K397">
        <v>723.9</v>
      </c>
      <c r="L397">
        <f t="shared" si="12"/>
        <v>723.9</v>
      </c>
      <c r="M397" t="str">
        <f t="shared" si="13"/>
        <v>Pass</v>
      </c>
      <c r="N397" t="s">
        <v>1258</v>
      </c>
    </row>
    <row r="398" spans="1:14" x14ac:dyDescent="0.25">
      <c r="A398" t="s">
        <v>1539</v>
      </c>
      <c r="B398" t="s">
        <v>1126</v>
      </c>
      <c r="C398" t="s">
        <v>208</v>
      </c>
      <c r="D398" t="s">
        <v>964</v>
      </c>
      <c r="E398" s="1">
        <v>45720.798611111109</v>
      </c>
      <c r="F398" s="1">
        <v>45726.798611111109</v>
      </c>
      <c r="G398" t="s">
        <v>888</v>
      </c>
      <c r="H398" s="11">
        <v>169</v>
      </c>
      <c r="I398" s="15">
        <v>4</v>
      </c>
      <c r="J398">
        <v>7.5</v>
      </c>
      <c r="K398">
        <v>625.29999999999995</v>
      </c>
      <c r="L398">
        <f t="shared" si="12"/>
        <v>625.29999999999995</v>
      </c>
      <c r="M398" t="str">
        <f t="shared" si="13"/>
        <v>Pass</v>
      </c>
      <c r="N398" t="s">
        <v>1248</v>
      </c>
    </row>
    <row r="399" spans="1:14" x14ac:dyDescent="0.25">
      <c r="A399" t="s">
        <v>1540</v>
      </c>
      <c r="B399" t="s">
        <v>1127</v>
      </c>
      <c r="C399" t="s">
        <v>93</v>
      </c>
      <c r="D399" t="s">
        <v>964</v>
      </c>
      <c r="E399" s="1">
        <v>45724.068749999999</v>
      </c>
      <c r="F399" s="1">
        <v>45730.068749999999</v>
      </c>
      <c r="G399" t="s">
        <v>427</v>
      </c>
      <c r="H399" s="11">
        <v>113</v>
      </c>
      <c r="I399" s="15">
        <v>3.59</v>
      </c>
      <c r="J399">
        <v>10</v>
      </c>
      <c r="K399">
        <v>365.1</v>
      </c>
      <c r="L399">
        <f t="shared" si="12"/>
        <v>365.1</v>
      </c>
      <c r="M399" t="str">
        <f t="shared" si="13"/>
        <v>Pass</v>
      </c>
      <c r="N399" t="s">
        <v>1248</v>
      </c>
    </row>
    <row r="400" spans="1:14" x14ac:dyDescent="0.25">
      <c r="A400" t="s">
        <v>1541</v>
      </c>
      <c r="B400" t="s">
        <v>1127</v>
      </c>
      <c r="C400" t="s">
        <v>93</v>
      </c>
      <c r="D400" t="s">
        <v>964</v>
      </c>
      <c r="E400" s="1">
        <v>45724.068749999999</v>
      </c>
      <c r="F400" s="1">
        <v>45730.068749999999</v>
      </c>
      <c r="G400" t="s">
        <v>615</v>
      </c>
      <c r="H400" s="11">
        <v>169</v>
      </c>
      <c r="I400" s="15">
        <v>5.95</v>
      </c>
      <c r="J400">
        <v>0</v>
      </c>
      <c r="K400">
        <v>1005.55</v>
      </c>
      <c r="L400">
        <f t="shared" si="12"/>
        <v>1005.55</v>
      </c>
      <c r="M400" t="str">
        <f t="shared" si="13"/>
        <v>Pass</v>
      </c>
      <c r="N400" t="s">
        <v>1248</v>
      </c>
    </row>
    <row r="401" spans="1:14" x14ac:dyDescent="0.25">
      <c r="A401" t="s">
        <v>1542</v>
      </c>
      <c r="B401" t="s">
        <v>1127</v>
      </c>
      <c r="C401" t="s">
        <v>93</v>
      </c>
      <c r="D401" t="s">
        <v>964</v>
      </c>
      <c r="E401" s="1">
        <v>45724.068749999999</v>
      </c>
      <c r="F401" s="1">
        <v>45730.068749999999</v>
      </c>
      <c r="G401" t="s">
        <v>813</v>
      </c>
      <c r="H401" s="11">
        <v>149</v>
      </c>
      <c r="I401" s="15">
        <v>5.57</v>
      </c>
      <c r="J401">
        <v>0</v>
      </c>
      <c r="K401">
        <v>829.93</v>
      </c>
      <c r="L401">
        <f t="shared" si="12"/>
        <v>829.93</v>
      </c>
      <c r="M401" t="str">
        <f t="shared" si="13"/>
        <v>Pass</v>
      </c>
      <c r="N401" t="s">
        <v>1258</v>
      </c>
    </row>
    <row r="402" spans="1:14" x14ac:dyDescent="0.25">
      <c r="A402" t="s">
        <v>1543</v>
      </c>
      <c r="B402" t="s">
        <v>1128</v>
      </c>
      <c r="C402" t="s">
        <v>300</v>
      </c>
      <c r="D402" t="s">
        <v>996</v>
      </c>
      <c r="E402" s="1">
        <v>45712.13958333333</v>
      </c>
      <c r="F402" s="1">
        <v>45719.13958333333</v>
      </c>
      <c r="G402" t="s">
        <v>639</v>
      </c>
      <c r="H402" s="11">
        <v>201</v>
      </c>
      <c r="I402" s="15">
        <v>15.38</v>
      </c>
      <c r="J402">
        <v>0</v>
      </c>
      <c r="K402">
        <v>3091.38</v>
      </c>
      <c r="L402">
        <f t="shared" si="12"/>
        <v>3091.38</v>
      </c>
      <c r="M402" t="str">
        <f t="shared" si="13"/>
        <v>Pass</v>
      </c>
      <c r="N402" t="s">
        <v>1248</v>
      </c>
    </row>
    <row r="403" spans="1:14" x14ac:dyDescent="0.25">
      <c r="A403" t="s">
        <v>1544</v>
      </c>
      <c r="B403" t="s">
        <v>1128</v>
      </c>
      <c r="C403" t="s">
        <v>300</v>
      </c>
      <c r="D403" t="s">
        <v>996</v>
      </c>
      <c r="E403" s="1">
        <v>45712.13958333333</v>
      </c>
      <c r="F403" s="1">
        <v>45719.13958333333</v>
      </c>
      <c r="G403" t="s">
        <v>750</v>
      </c>
      <c r="H403" s="11">
        <v>60</v>
      </c>
      <c r="I403" s="15">
        <v>14.62</v>
      </c>
      <c r="J403">
        <v>10</v>
      </c>
      <c r="K403">
        <v>789.48</v>
      </c>
      <c r="L403">
        <f t="shared" si="12"/>
        <v>789.48</v>
      </c>
      <c r="M403" t="str">
        <f t="shared" si="13"/>
        <v>Pass</v>
      </c>
      <c r="N403" t="s">
        <v>1258</v>
      </c>
    </row>
    <row r="404" spans="1:14" x14ac:dyDescent="0.25">
      <c r="A404" t="s">
        <v>1545</v>
      </c>
      <c r="B404" t="s">
        <v>1128</v>
      </c>
      <c r="C404" t="s">
        <v>300</v>
      </c>
      <c r="D404" t="s">
        <v>996</v>
      </c>
      <c r="E404" s="1">
        <v>45712.13958333333</v>
      </c>
      <c r="F404" s="1">
        <v>45719.13958333333</v>
      </c>
      <c r="G404" t="s">
        <v>711</v>
      </c>
      <c r="H404" s="11">
        <v>67</v>
      </c>
      <c r="I404" s="15">
        <v>10.86</v>
      </c>
      <c r="J404">
        <v>5</v>
      </c>
      <c r="K404">
        <v>691.24</v>
      </c>
      <c r="L404">
        <f t="shared" si="12"/>
        <v>691.24</v>
      </c>
      <c r="M404" t="str">
        <f t="shared" si="13"/>
        <v>Pass</v>
      </c>
      <c r="N404" t="s">
        <v>1248</v>
      </c>
    </row>
    <row r="405" spans="1:14" x14ac:dyDescent="0.25">
      <c r="A405" t="s">
        <v>1546</v>
      </c>
      <c r="B405" t="s">
        <v>1129</v>
      </c>
      <c r="C405" t="s">
        <v>184</v>
      </c>
      <c r="D405" t="s">
        <v>996</v>
      </c>
      <c r="E405" s="1">
        <v>45709.874305555553</v>
      </c>
      <c r="F405" s="1">
        <v>45728.874305555553</v>
      </c>
      <c r="G405" t="s">
        <v>807</v>
      </c>
      <c r="H405" s="11">
        <v>19</v>
      </c>
      <c r="I405" s="15">
        <v>14.63</v>
      </c>
      <c r="J405">
        <v>5</v>
      </c>
      <c r="K405">
        <v>264.07</v>
      </c>
      <c r="L405">
        <f t="shared" si="12"/>
        <v>264.07</v>
      </c>
      <c r="M405" t="str">
        <f t="shared" si="13"/>
        <v>Pass</v>
      </c>
      <c r="N405" t="s">
        <v>1258</v>
      </c>
    </row>
    <row r="406" spans="1:14" x14ac:dyDescent="0.25">
      <c r="A406" t="s">
        <v>1547</v>
      </c>
      <c r="B406" t="s">
        <v>1129</v>
      </c>
      <c r="C406" t="s">
        <v>184</v>
      </c>
      <c r="D406" t="s">
        <v>996</v>
      </c>
      <c r="E406" s="1">
        <v>45709.874305555553</v>
      </c>
      <c r="F406" s="1">
        <v>45728.874305555553</v>
      </c>
      <c r="G406" t="s">
        <v>539</v>
      </c>
      <c r="H406" s="11">
        <v>130</v>
      </c>
      <c r="I406" s="15">
        <v>6.77</v>
      </c>
      <c r="J406">
        <v>0</v>
      </c>
      <c r="K406">
        <v>880.1</v>
      </c>
      <c r="L406">
        <f t="shared" si="12"/>
        <v>880.1</v>
      </c>
      <c r="M406" t="str">
        <f t="shared" si="13"/>
        <v>Pass</v>
      </c>
      <c r="N406" t="s">
        <v>1248</v>
      </c>
    </row>
    <row r="407" spans="1:14" x14ac:dyDescent="0.25">
      <c r="A407" t="s">
        <v>1548</v>
      </c>
      <c r="B407" t="s">
        <v>1129</v>
      </c>
      <c r="C407" t="s">
        <v>184</v>
      </c>
      <c r="D407" t="s">
        <v>996</v>
      </c>
      <c r="E407" s="1">
        <v>45709.874305555553</v>
      </c>
      <c r="F407" s="1">
        <v>45728.874305555553</v>
      </c>
      <c r="G407" t="s">
        <v>539</v>
      </c>
      <c r="H407" s="11">
        <v>193</v>
      </c>
      <c r="I407" s="15">
        <v>6.68</v>
      </c>
      <c r="J407">
        <v>10</v>
      </c>
      <c r="K407">
        <v>1160.32</v>
      </c>
      <c r="L407">
        <f t="shared" si="12"/>
        <v>1160.32</v>
      </c>
      <c r="M407" t="str">
        <f t="shared" si="13"/>
        <v>Pass</v>
      </c>
      <c r="N407" t="s">
        <v>3271</v>
      </c>
    </row>
    <row r="408" spans="1:14" x14ac:dyDescent="0.25">
      <c r="A408" t="s">
        <v>1549</v>
      </c>
      <c r="B408" t="s">
        <v>1130</v>
      </c>
      <c r="C408" t="s">
        <v>179</v>
      </c>
      <c r="D408" t="s">
        <v>964</v>
      </c>
      <c r="E408" s="1">
        <v>45717.407638888886</v>
      </c>
      <c r="F408" s="1">
        <v>45736.407638888886</v>
      </c>
      <c r="G408" t="s">
        <v>681</v>
      </c>
      <c r="H408" s="11">
        <v>170</v>
      </c>
      <c r="I408" s="15">
        <v>4.25</v>
      </c>
      <c r="J408">
        <v>5</v>
      </c>
      <c r="K408">
        <v>686.38</v>
      </c>
      <c r="L408">
        <f t="shared" si="12"/>
        <v>686.38</v>
      </c>
      <c r="M408" t="str">
        <f t="shared" si="13"/>
        <v>Pass</v>
      </c>
      <c r="N408" t="s">
        <v>1258</v>
      </c>
    </row>
    <row r="409" spans="1:14" x14ac:dyDescent="0.25">
      <c r="A409" t="s">
        <v>1550</v>
      </c>
      <c r="B409" t="s">
        <v>1130</v>
      </c>
      <c r="C409" t="s">
        <v>179</v>
      </c>
      <c r="D409" t="s">
        <v>964</v>
      </c>
      <c r="E409" s="1">
        <v>45717.407638888886</v>
      </c>
      <c r="F409" s="1">
        <v>45736.407638888886</v>
      </c>
      <c r="G409" t="s">
        <v>681</v>
      </c>
      <c r="H409" s="11">
        <v>88</v>
      </c>
      <c r="I409" s="15">
        <v>4.59</v>
      </c>
      <c r="J409">
        <v>10</v>
      </c>
      <c r="K409">
        <v>363.53</v>
      </c>
      <c r="L409">
        <f t="shared" si="12"/>
        <v>363.53</v>
      </c>
      <c r="M409" t="str">
        <f t="shared" si="13"/>
        <v>Pass</v>
      </c>
      <c r="N409" t="s">
        <v>1258</v>
      </c>
    </row>
    <row r="410" spans="1:14" x14ac:dyDescent="0.25">
      <c r="A410" t="s">
        <v>1551</v>
      </c>
      <c r="B410" t="s">
        <v>1130</v>
      </c>
      <c r="C410" t="s">
        <v>179</v>
      </c>
      <c r="D410" t="s">
        <v>964</v>
      </c>
      <c r="E410" s="1">
        <v>45717.407638888886</v>
      </c>
      <c r="F410" s="1">
        <v>45736.407638888886</v>
      </c>
      <c r="G410" t="s">
        <v>681</v>
      </c>
      <c r="H410" s="11">
        <v>149</v>
      </c>
      <c r="I410" s="15">
        <v>4.46</v>
      </c>
      <c r="J410">
        <v>10</v>
      </c>
      <c r="K410">
        <v>598.09</v>
      </c>
      <c r="L410">
        <f t="shared" si="12"/>
        <v>598.09</v>
      </c>
      <c r="M410" t="str">
        <f t="shared" si="13"/>
        <v>Pass</v>
      </c>
      <c r="N410" t="s">
        <v>1258</v>
      </c>
    </row>
    <row r="411" spans="1:14" x14ac:dyDescent="0.25">
      <c r="A411" t="s">
        <v>1552</v>
      </c>
      <c r="B411" t="s">
        <v>1131</v>
      </c>
      <c r="C411" t="s">
        <v>367</v>
      </c>
      <c r="D411" t="s">
        <v>999</v>
      </c>
      <c r="E411" s="1">
        <v>45692.276388888888</v>
      </c>
      <c r="F411" s="1">
        <v>45708.276388888888</v>
      </c>
      <c r="G411" t="s">
        <v>624</v>
      </c>
      <c r="H411" s="11">
        <v>195</v>
      </c>
      <c r="I411" s="15">
        <v>3.56</v>
      </c>
      <c r="J411">
        <v>5</v>
      </c>
      <c r="K411">
        <v>659.49</v>
      </c>
      <c r="L411">
        <f t="shared" si="12"/>
        <v>659.49</v>
      </c>
      <c r="M411" t="str">
        <f t="shared" si="13"/>
        <v>Pass</v>
      </c>
      <c r="N411" t="s">
        <v>1248</v>
      </c>
    </row>
    <row r="412" spans="1:14" x14ac:dyDescent="0.25">
      <c r="A412" t="s">
        <v>1553</v>
      </c>
      <c r="B412" t="s">
        <v>1131</v>
      </c>
      <c r="C412" t="s">
        <v>367</v>
      </c>
      <c r="D412" t="s">
        <v>999</v>
      </c>
      <c r="E412" s="1">
        <v>45692.276388888888</v>
      </c>
      <c r="F412" s="1">
        <v>45708.276388888888</v>
      </c>
      <c r="G412" t="s">
        <v>624</v>
      </c>
      <c r="H412" s="11">
        <v>135</v>
      </c>
      <c r="I412" s="15">
        <v>3.83</v>
      </c>
      <c r="J412">
        <v>2.5</v>
      </c>
      <c r="K412">
        <v>504.12</v>
      </c>
      <c r="L412">
        <f t="shared" si="12"/>
        <v>504.12</v>
      </c>
      <c r="M412" t="str">
        <f t="shared" si="13"/>
        <v>Pass</v>
      </c>
      <c r="N412" t="s">
        <v>1248</v>
      </c>
    </row>
    <row r="413" spans="1:14" x14ac:dyDescent="0.25">
      <c r="A413" t="s">
        <v>1554</v>
      </c>
      <c r="B413" t="s">
        <v>1131</v>
      </c>
      <c r="C413" t="s">
        <v>367</v>
      </c>
      <c r="D413" t="s">
        <v>999</v>
      </c>
      <c r="E413" s="1">
        <v>45692.276388888888</v>
      </c>
      <c r="F413" s="1">
        <v>45708.276388888888</v>
      </c>
      <c r="G413" t="s">
        <v>624</v>
      </c>
      <c r="H413" s="11">
        <v>86</v>
      </c>
      <c r="I413" s="15">
        <v>3.78</v>
      </c>
      <c r="J413">
        <v>2.5</v>
      </c>
      <c r="K413">
        <v>316.95</v>
      </c>
      <c r="L413">
        <f t="shared" si="12"/>
        <v>316.95</v>
      </c>
      <c r="M413" t="str">
        <f t="shared" si="13"/>
        <v>Pass</v>
      </c>
      <c r="N413" t="s">
        <v>1258</v>
      </c>
    </row>
    <row r="414" spans="1:14" x14ac:dyDescent="0.25">
      <c r="A414" t="s">
        <v>1555</v>
      </c>
      <c r="B414" t="s">
        <v>1132</v>
      </c>
      <c r="C414" t="s">
        <v>232</v>
      </c>
      <c r="D414" t="s">
        <v>999</v>
      </c>
      <c r="E414" s="1">
        <v>45700.536805555559</v>
      </c>
      <c r="F414" s="1">
        <v>45713.536805555559</v>
      </c>
      <c r="G414" t="s">
        <v>813</v>
      </c>
      <c r="H414" s="11">
        <v>70</v>
      </c>
      <c r="I414" s="15">
        <v>5.72</v>
      </c>
      <c r="J414">
        <v>0</v>
      </c>
      <c r="K414">
        <v>400.4</v>
      </c>
      <c r="L414">
        <f t="shared" si="12"/>
        <v>400.4</v>
      </c>
      <c r="M414" t="str">
        <f t="shared" si="13"/>
        <v>Pass</v>
      </c>
      <c r="N414" t="s">
        <v>1248</v>
      </c>
    </row>
    <row r="415" spans="1:14" x14ac:dyDescent="0.25">
      <c r="A415" t="s">
        <v>1556</v>
      </c>
      <c r="B415" t="s">
        <v>1132</v>
      </c>
      <c r="C415" t="s">
        <v>232</v>
      </c>
      <c r="D415" t="s">
        <v>999</v>
      </c>
      <c r="E415" s="1">
        <v>45700.536805555559</v>
      </c>
      <c r="F415" s="1">
        <v>45713.536805555559</v>
      </c>
      <c r="G415" t="s">
        <v>813</v>
      </c>
      <c r="H415" s="11">
        <v>34</v>
      </c>
      <c r="I415" s="15">
        <v>5.9</v>
      </c>
      <c r="J415">
        <v>2.5</v>
      </c>
      <c r="K415">
        <v>195.59</v>
      </c>
      <c r="L415">
        <f t="shared" si="12"/>
        <v>195.59</v>
      </c>
      <c r="M415" t="str">
        <f t="shared" si="13"/>
        <v>Pass</v>
      </c>
      <c r="N415" t="s">
        <v>3271</v>
      </c>
    </row>
    <row r="416" spans="1:14" x14ac:dyDescent="0.25">
      <c r="A416" t="s">
        <v>1557</v>
      </c>
      <c r="B416" t="s">
        <v>1133</v>
      </c>
      <c r="C416" t="s">
        <v>176</v>
      </c>
      <c r="D416" t="s">
        <v>968</v>
      </c>
      <c r="E416" s="1">
        <v>45693.265972222223</v>
      </c>
      <c r="F416" s="1">
        <v>45700.265972222223</v>
      </c>
      <c r="G416" t="s">
        <v>771</v>
      </c>
      <c r="H416" s="11">
        <v>220</v>
      </c>
      <c r="I416" s="15">
        <v>3.56</v>
      </c>
      <c r="J416">
        <v>0</v>
      </c>
      <c r="K416">
        <v>783.2</v>
      </c>
      <c r="L416">
        <f t="shared" si="12"/>
        <v>783.2</v>
      </c>
      <c r="M416" t="str">
        <f t="shared" si="13"/>
        <v>Pass</v>
      </c>
      <c r="N416" t="s">
        <v>1248</v>
      </c>
    </row>
    <row r="417" spans="1:14" x14ac:dyDescent="0.25">
      <c r="A417" t="s">
        <v>1558</v>
      </c>
      <c r="B417" t="s">
        <v>1133</v>
      </c>
      <c r="C417" t="s">
        <v>176</v>
      </c>
      <c r="D417" t="s">
        <v>968</v>
      </c>
      <c r="E417" s="1">
        <v>45693.265972222223</v>
      </c>
      <c r="F417" s="1">
        <v>45700.265972222223</v>
      </c>
      <c r="G417" t="s">
        <v>924</v>
      </c>
      <c r="H417" s="11">
        <v>149</v>
      </c>
      <c r="I417" s="15">
        <v>4.05</v>
      </c>
      <c r="J417">
        <v>7.5</v>
      </c>
      <c r="K417">
        <v>558.19000000000005</v>
      </c>
      <c r="L417">
        <f t="shared" si="12"/>
        <v>558.19000000000005</v>
      </c>
      <c r="M417" t="str">
        <f t="shared" si="13"/>
        <v>Pass</v>
      </c>
      <c r="N417" t="s">
        <v>1258</v>
      </c>
    </row>
    <row r="418" spans="1:14" x14ac:dyDescent="0.25">
      <c r="A418" t="s">
        <v>1559</v>
      </c>
      <c r="B418" t="s">
        <v>1133</v>
      </c>
      <c r="C418" t="s">
        <v>176</v>
      </c>
      <c r="D418" t="s">
        <v>968</v>
      </c>
      <c r="E418" s="1">
        <v>45693.265972222223</v>
      </c>
      <c r="F418" s="1">
        <v>45700.265972222223</v>
      </c>
      <c r="G418" t="s">
        <v>906</v>
      </c>
      <c r="H418" s="11">
        <v>160</v>
      </c>
      <c r="I418" s="15">
        <v>6.5</v>
      </c>
      <c r="J418">
        <v>0</v>
      </c>
      <c r="K418">
        <v>1040</v>
      </c>
      <c r="L418">
        <f t="shared" si="12"/>
        <v>1040</v>
      </c>
      <c r="M418" t="str">
        <f t="shared" si="13"/>
        <v>Pass</v>
      </c>
      <c r="N418" t="s">
        <v>3271</v>
      </c>
    </row>
    <row r="419" spans="1:14" x14ac:dyDescent="0.25">
      <c r="A419" t="s">
        <v>1560</v>
      </c>
      <c r="B419" t="s">
        <v>1134</v>
      </c>
      <c r="C419" t="s">
        <v>373</v>
      </c>
      <c r="D419" t="s">
        <v>980</v>
      </c>
      <c r="E419" s="1">
        <v>45681.338888888888</v>
      </c>
      <c r="F419" s="1">
        <v>45690.338888888888</v>
      </c>
      <c r="G419" t="s">
        <v>597</v>
      </c>
      <c r="H419" s="11">
        <v>214</v>
      </c>
      <c r="I419" s="15">
        <v>3.04</v>
      </c>
      <c r="J419">
        <v>2.5</v>
      </c>
      <c r="K419">
        <v>634.29999999999995</v>
      </c>
      <c r="L419">
        <f t="shared" si="12"/>
        <v>634.29999999999995</v>
      </c>
      <c r="M419" t="str">
        <f t="shared" si="13"/>
        <v>Pass</v>
      </c>
      <c r="N419" t="s">
        <v>1258</v>
      </c>
    </row>
    <row r="420" spans="1:14" x14ac:dyDescent="0.25">
      <c r="A420" t="s">
        <v>1561</v>
      </c>
      <c r="B420" t="s">
        <v>1134</v>
      </c>
      <c r="C420" t="s">
        <v>373</v>
      </c>
      <c r="D420" t="s">
        <v>980</v>
      </c>
      <c r="E420" s="1">
        <v>45681.338888888888</v>
      </c>
      <c r="F420" s="1">
        <v>45690.338888888888</v>
      </c>
      <c r="G420" t="s">
        <v>597</v>
      </c>
      <c r="H420" s="11">
        <v>240</v>
      </c>
      <c r="I420" s="15">
        <v>2.9</v>
      </c>
      <c r="J420">
        <v>0</v>
      </c>
      <c r="K420">
        <v>696</v>
      </c>
      <c r="L420">
        <f t="shared" si="12"/>
        <v>696</v>
      </c>
      <c r="M420" t="str">
        <f t="shared" si="13"/>
        <v>Pass</v>
      </c>
      <c r="N420" t="s">
        <v>1248</v>
      </c>
    </row>
    <row r="421" spans="1:14" x14ac:dyDescent="0.25">
      <c r="A421" t="s">
        <v>1562</v>
      </c>
      <c r="B421" t="s">
        <v>1134</v>
      </c>
      <c r="C421" t="s">
        <v>373</v>
      </c>
      <c r="D421" t="s">
        <v>980</v>
      </c>
      <c r="E421" s="1">
        <v>45681.338888888888</v>
      </c>
      <c r="F421" s="1">
        <v>45690.338888888888</v>
      </c>
      <c r="G421" t="s">
        <v>597</v>
      </c>
      <c r="H421" s="11">
        <v>123</v>
      </c>
      <c r="I421" s="15">
        <v>2.8</v>
      </c>
      <c r="J421">
        <v>10</v>
      </c>
      <c r="K421">
        <v>309.95999999999998</v>
      </c>
      <c r="L421">
        <f t="shared" si="12"/>
        <v>309.95999999999998</v>
      </c>
      <c r="M421" t="str">
        <f t="shared" si="13"/>
        <v>Pass</v>
      </c>
      <c r="N421" t="s">
        <v>1258</v>
      </c>
    </row>
  </sheetData>
  <sheetProtection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F0FD-CC8A-4EB5-A113-81069A92983C}">
  <sheetPr>
    <tabColor theme="9" tint="0.39997558519241921"/>
  </sheetPr>
  <dimension ref="A1:P631"/>
  <sheetViews>
    <sheetView topLeftCell="A296" workbookViewId="0">
      <selection activeCell="J312" sqref="J312"/>
    </sheetView>
  </sheetViews>
  <sheetFormatPr defaultRowHeight="15" x14ac:dyDescent="0.25"/>
  <cols>
    <col min="1" max="1" width="15.85546875" bestFit="1" customWidth="1"/>
    <col min="2" max="3" width="18.140625" bestFit="1" customWidth="1"/>
    <col min="4" max="4" width="16" bestFit="1" customWidth="1"/>
    <col min="5" max="5" width="12.85546875" bestFit="1" customWidth="1"/>
    <col min="6" max="6" width="12.7109375" bestFit="1" customWidth="1"/>
    <col min="7" max="7" width="14.7109375" hidden="1" customWidth="1"/>
    <col min="8" max="8" width="29" hidden="1" customWidth="1"/>
    <col min="9" max="9" width="21.28515625" customWidth="1"/>
    <col min="10" max="10" width="14.85546875" bestFit="1" customWidth="1"/>
    <col min="11" max="11" width="10.7109375" bestFit="1" customWidth="1"/>
    <col min="12" max="12" width="13" bestFit="1" customWidth="1"/>
    <col min="13" max="13" width="11.42578125" bestFit="1" customWidth="1"/>
    <col min="14" max="14" width="19" bestFit="1" customWidth="1"/>
    <col min="15" max="15" width="16.5703125" bestFit="1" customWidth="1"/>
    <col min="16" max="16" width="27.140625" bestFit="1" customWidth="1"/>
  </cols>
  <sheetData>
    <row r="1" spans="1:16" x14ac:dyDescent="0.25">
      <c r="A1" t="s">
        <v>1563</v>
      </c>
      <c r="B1" t="s">
        <v>1564</v>
      </c>
      <c r="C1" t="s">
        <v>1565</v>
      </c>
      <c r="D1" t="s">
        <v>949</v>
      </c>
      <c r="E1" t="s">
        <v>385</v>
      </c>
      <c r="F1" t="s">
        <v>1135</v>
      </c>
      <c r="G1" t="s">
        <v>1566</v>
      </c>
      <c r="H1" t="s">
        <v>3357</v>
      </c>
      <c r="I1" t="s">
        <v>3356</v>
      </c>
      <c r="J1" t="s">
        <v>1567</v>
      </c>
      <c r="K1" t="s">
        <v>1568</v>
      </c>
      <c r="L1" t="s">
        <v>1569</v>
      </c>
      <c r="M1" t="s">
        <v>1137</v>
      </c>
      <c r="N1" t="s">
        <v>1570</v>
      </c>
      <c r="O1" t="s">
        <v>1571</v>
      </c>
      <c r="P1" t="s">
        <v>1572</v>
      </c>
    </row>
    <row r="2" spans="1:16" x14ac:dyDescent="0.25">
      <c r="A2" t="s">
        <v>1573</v>
      </c>
      <c r="B2" s="1">
        <v>45719.490972222222</v>
      </c>
      <c r="C2" t="s">
        <v>3274</v>
      </c>
      <c r="D2" t="s">
        <v>996</v>
      </c>
      <c r="E2" t="s">
        <v>777</v>
      </c>
      <c r="F2" t="s">
        <v>1454</v>
      </c>
      <c r="G2" t="s">
        <v>1095</v>
      </c>
      <c r="H2" t="str" cm="1">
        <f t="array" ref="H2">IF(AND(G2="",
      C2="Receipt"),
      _xlfn.XLOOKUP(1,
      (purchase_order_lines_coldchain!A2:A1000 = F2) *
      (purchase_order_lines_coldchain!G2:G1000 = E2) *
      (purchase_order_lines_coldchain!D2:D1000 = D2),
      purchase_order_lines_coldchain!B$2:B$1000,
      _xlfn.XLOOKUP(F2,purchase_order_lines_coldchain!A$2:A1000,
      purchase_order_lines_coldchain!B$2:B1000)),
      "")</f>
        <v/>
      </c>
      <c r="I2" t="str">
        <f t="shared" ref="I2:I65" si="0">G2 &amp; H2</f>
        <v>PO000111</v>
      </c>
      <c r="J2" t="s">
        <v>1574</v>
      </c>
      <c r="K2" s="11">
        <v>89</v>
      </c>
      <c r="L2" s="11">
        <v>89</v>
      </c>
      <c r="M2" s="14">
        <v>15.19</v>
      </c>
      <c r="N2" s="14">
        <v>1351.91</v>
      </c>
      <c r="O2">
        <v>0.79999999999999982</v>
      </c>
      <c r="P2" t="s">
        <v>3275</v>
      </c>
    </row>
    <row r="3" spans="1:16" x14ac:dyDescent="0.25">
      <c r="A3" t="s">
        <v>1575</v>
      </c>
      <c r="B3" s="1">
        <v>45725.941666666666</v>
      </c>
      <c r="C3" t="s">
        <v>3274</v>
      </c>
      <c r="D3" t="s">
        <v>987</v>
      </c>
      <c r="E3" t="s">
        <v>533</v>
      </c>
      <c r="F3" t="s">
        <v>1213</v>
      </c>
      <c r="G3" t="s">
        <v>1010</v>
      </c>
      <c r="H3" t="str" cm="1">
        <f t="array" ref="H3">IF(AND(G3="",
      C3="Receipt"),
      _xlfn.XLOOKUP(1,
      (purchase_order_lines_coldchain!A3:A1001 = F3) *
      (purchase_order_lines_coldchain!G3:G1001 = E3) *
      (purchase_order_lines_coldchain!D3:D1001 = D3),
      purchase_order_lines_coldchain!B$2:B$1000,
      _xlfn.XLOOKUP(F3,purchase_order_lines_coldchain!A$2:A1001,
      purchase_order_lines_coldchain!B$2:B1001)),
      "")</f>
        <v/>
      </c>
      <c r="I3" t="str">
        <f t="shared" si="0"/>
        <v>PO000026</v>
      </c>
      <c r="J3" t="s">
        <v>1576</v>
      </c>
      <c r="K3" s="11">
        <v>148</v>
      </c>
      <c r="L3" s="11">
        <v>148</v>
      </c>
      <c r="M3" s="14">
        <v>13</v>
      </c>
      <c r="N3" s="14">
        <v>1924</v>
      </c>
      <c r="O3">
        <v>4.5</v>
      </c>
      <c r="P3" t="s">
        <v>3275</v>
      </c>
    </row>
    <row r="4" spans="1:16" x14ac:dyDescent="0.25">
      <c r="A4" t="s">
        <v>1577</v>
      </c>
      <c r="B4" s="1">
        <v>45706.944444444445</v>
      </c>
      <c r="C4" t="s">
        <v>3274</v>
      </c>
      <c r="D4" t="s">
        <v>968</v>
      </c>
      <c r="E4" t="s">
        <v>630</v>
      </c>
      <c r="F4" t="s">
        <v>1270</v>
      </c>
      <c r="G4" t="s">
        <v>1030</v>
      </c>
      <c r="H4" t="str" cm="1">
        <f t="array" ref="H4">IF(AND(G4="",
      C4="Receipt"),
      _xlfn.XLOOKUP(1,
      (purchase_order_lines_coldchain!A4:A1002 = F4) *
      (purchase_order_lines_coldchain!G4:G1002 = E4) *
      (purchase_order_lines_coldchain!D4:D1002 = D4),
      purchase_order_lines_coldchain!B$2:B$1000,
      _xlfn.XLOOKUP(F4,purchase_order_lines_coldchain!A$2:A1002,
      purchase_order_lines_coldchain!B$2:B1002)),
      "")</f>
        <v/>
      </c>
      <c r="I4" t="str">
        <f t="shared" si="0"/>
        <v>PO000046</v>
      </c>
      <c r="J4" t="s">
        <v>1578</v>
      </c>
      <c r="K4" s="11">
        <v>44</v>
      </c>
      <c r="L4" s="11">
        <v>44</v>
      </c>
      <c r="M4" s="14">
        <v>11.87</v>
      </c>
      <c r="N4" s="14">
        <v>522.28</v>
      </c>
      <c r="O4">
        <v>7.6</v>
      </c>
      <c r="P4" t="s">
        <v>3275</v>
      </c>
    </row>
    <row r="5" spans="1:16" x14ac:dyDescent="0.25">
      <c r="A5" t="s">
        <v>1579</v>
      </c>
      <c r="B5" s="1">
        <v>45733.14166666667</v>
      </c>
      <c r="C5" t="s">
        <v>3274</v>
      </c>
      <c r="D5" t="s">
        <v>996</v>
      </c>
      <c r="E5" t="s">
        <v>603</v>
      </c>
      <c r="F5" t="s">
        <v>1280</v>
      </c>
      <c r="G5" t="s">
        <v>1034</v>
      </c>
      <c r="H5" t="str" cm="1">
        <f t="array" ref="H5">IF(AND(G5="",
      C5="Receipt"),
      _xlfn.XLOOKUP(1,
      (purchase_order_lines_coldchain!A5:A1003 = F5) *
      (purchase_order_lines_coldchain!G5:G1003 = E5) *
      (purchase_order_lines_coldchain!D5:D1003 = D5),
      purchase_order_lines_coldchain!B$2:B$1000,
      _xlfn.XLOOKUP(F5,purchase_order_lines_coldchain!A$2:A1003,
      purchase_order_lines_coldchain!B$2:B1003)),
      "")</f>
        <v/>
      </c>
      <c r="I5" t="str">
        <f t="shared" si="0"/>
        <v>PO000050</v>
      </c>
      <c r="J5" t="s">
        <v>1580</v>
      </c>
      <c r="K5" s="11">
        <v>181</v>
      </c>
      <c r="L5" s="11">
        <v>181</v>
      </c>
      <c r="M5" s="14">
        <v>4.88</v>
      </c>
      <c r="N5" s="14">
        <v>883.28</v>
      </c>
      <c r="O5">
        <v>6</v>
      </c>
      <c r="P5" t="s">
        <v>3275</v>
      </c>
    </row>
    <row r="6" spans="1:16" x14ac:dyDescent="0.25">
      <c r="A6" t="s">
        <v>1581</v>
      </c>
      <c r="B6" s="1">
        <v>45711.087500000001</v>
      </c>
      <c r="C6" t="s">
        <v>3274</v>
      </c>
      <c r="D6" t="s">
        <v>987</v>
      </c>
      <c r="E6" t="s">
        <v>603</v>
      </c>
      <c r="F6" t="s">
        <v>1298</v>
      </c>
      <c r="G6" t="s">
        <v>1040</v>
      </c>
      <c r="H6" t="str" cm="1">
        <f t="array" ref="H6">IF(AND(G6="",
      C6="Receipt"),
      _xlfn.XLOOKUP(1,
      (purchase_order_lines_coldchain!A6:A1004 = F6) *
      (purchase_order_lines_coldchain!G6:G1004 = E6) *
      (purchase_order_lines_coldchain!D6:D1004 = D6),
      purchase_order_lines_coldchain!B$2:B$1000,
      _xlfn.XLOOKUP(F6,purchase_order_lines_coldchain!A$2:A1004,
      purchase_order_lines_coldchain!B$2:B1004)),
      "")</f>
        <v/>
      </c>
      <c r="I6" t="str">
        <f t="shared" si="0"/>
        <v>PO000056</v>
      </c>
      <c r="J6" t="s">
        <v>1582</v>
      </c>
      <c r="K6" s="11">
        <v>117</v>
      </c>
      <c r="L6" s="11">
        <v>117</v>
      </c>
      <c r="M6" s="14">
        <v>4.58</v>
      </c>
      <c r="N6" s="14">
        <v>535.86</v>
      </c>
      <c r="O6">
        <v>7.6</v>
      </c>
      <c r="P6" t="s">
        <v>3275</v>
      </c>
    </row>
    <row r="7" spans="1:16" x14ac:dyDescent="0.25">
      <c r="A7" t="s">
        <v>1583</v>
      </c>
      <c r="B7" s="1">
        <v>45671.679861111108</v>
      </c>
      <c r="C7" t="s">
        <v>3274</v>
      </c>
      <c r="D7" t="s">
        <v>987</v>
      </c>
      <c r="E7" t="s">
        <v>433</v>
      </c>
      <c r="F7" t="s">
        <v>1293</v>
      </c>
      <c r="G7" t="s">
        <v>1038</v>
      </c>
      <c r="H7" t="str" cm="1">
        <f t="array" ref="H7">IF(AND(G7="",
      C7="Receipt"),
      _xlfn.XLOOKUP(1,
      (purchase_order_lines_coldchain!A7:A1005 = F7) *
      (purchase_order_lines_coldchain!G7:G1005 = E7) *
      (purchase_order_lines_coldchain!D7:D1005 = D7),
      purchase_order_lines_coldchain!B$2:B$1000,
      _xlfn.XLOOKUP(F7,purchase_order_lines_coldchain!A$2:A1005,
      purchase_order_lines_coldchain!B$2:B1005)),
      "")</f>
        <v/>
      </c>
      <c r="I7" t="str">
        <f t="shared" si="0"/>
        <v>PO000054</v>
      </c>
      <c r="J7" t="s">
        <v>1584</v>
      </c>
      <c r="K7" s="11">
        <v>42</v>
      </c>
      <c r="L7" s="11">
        <v>42</v>
      </c>
      <c r="M7" s="14">
        <v>3.97</v>
      </c>
      <c r="N7" s="14">
        <v>166.74</v>
      </c>
      <c r="O7">
        <v>4.8</v>
      </c>
      <c r="P7" t="s">
        <v>3275</v>
      </c>
    </row>
    <row r="8" spans="1:16" x14ac:dyDescent="0.25">
      <c r="A8" t="s">
        <v>1585</v>
      </c>
      <c r="B8" s="1">
        <v>45709.893750000003</v>
      </c>
      <c r="C8" t="s">
        <v>3274</v>
      </c>
      <c r="D8" t="s">
        <v>996</v>
      </c>
      <c r="E8" t="s">
        <v>726</v>
      </c>
      <c r="F8" t="s">
        <v>1431</v>
      </c>
      <c r="G8" t="s">
        <v>1087</v>
      </c>
      <c r="H8" t="str" cm="1">
        <f t="array" ref="H8">IF(AND(G8="",
      C8="Receipt"),
      _xlfn.XLOOKUP(1,
      (purchase_order_lines_coldchain!A8:A1006 = F8) *
      (purchase_order_lines_coldchain!G8:G1006 = E8) *
      (purchase_order_lines_coldchain!D8:D1006 = D8),
      purchase_order_lines_coldchain!B$2:B$1000,
      _xlfn.XLOOKUP(F8,purchase_order_lines_coldchain!A$2:A1006,
      purchase_order_lines_coldchain!B$2:B1006)),
      "")</f>
        <v/>
      </c>
      <c r="I8" t="str">
        <f t="shared" si="0"/>
        <v>PO000103</v>
      </c>
      <c r="J8" t="s">
        <v>1586</v>
      </c>
      <c r="K8" s="11">
        <v>47</v>
      </c>
      <c r="L8" s="11">
        <v>47</v>
      </c>
      <c r="M8" s="14">
        <v>11.56</v>
      </c>
      <c r="N8" s="14">
        <v>543.32000000000005</v>
      </c>
      <c r="O8">
        <v>2.8</v>
      </c>
      <c r="P8" t="s">
        <v>3275</v>
      </c>
    </row>
    <row r="9" spans="1:16" x14ac:dyDescent="0.25">
      <c r="A9" t="s">
        <v>1587</v>
      </c>
      <c r="B9" s="1">
        <v>45707.269444444442</v>
      </c>
      <c r="C9" t="s">
        <v>3274</v>
      </c>
      <c r="D9" t="s">
        <v>990</v>
      </c>
      <c r="E9" t="s">
        <v>759</v>
      </c>
      <c r="F9" t="s">
        <v>1168</v>
      </c>
      <c r="G9" t="s">
        <v>989</v>
      </c>
      <c r="H9" t="str" cm="1">
        <f t="array" ref="H9">IF(AND(G9="",
      C9="Receipt"),
      _xlfn.XLOOKUP(1,
      (purchase_order_lines_coldchain!A9:A1007 = F9) *
      (purchase_order_lines_coldchain!G9:G1007 = E9) *
      (purchase_order_lines_coldchain!D9:D1007 = D9),
      purchase_order_lines_coldchain!B$2:B$1000,
      _xlfn.XLOOKUP(F9,purchase_order_lines_coldchain!A$2:A1007,
      purchase_order_lines_coldchain!B$2:B1007)),
      "")</f>
        <v/>
      </c>
      <c r="I9" t="str">
        <f t="shared" si="0"/>
        <v>PO000011</v>
      </c>
      <c r="J9" t="s">
        <v>1588</v>
      </c>
      <c r="K9" s="11">
        <v>123</v>
      </c>
      <c r="L9" s="11">
        <v>123</v>
      </c>
      <c r="M9" s="14">
        <v>10.55</v>
      </c>
      <c r="N9" s="14">
        <v>1297.6500000000001</v>
      </c>
      <c r="O9">
        <v>7.8</v>
      </c>
      <c r="P9" t="s">
        <v>3275</v>
      </c>
    </row>
    <row r="10" spans="1:16" x14ac:dyDescent="0.25">
      <c r="A10" t="s">
        <v>1589</v>
      </c>
      <c r="B10" s="1">
        <v>45679.231944444444</v>
      </c>
      <c r="C10" t="s">
        <v>3274</v>
      </c>
      <c r="D10" t="s">
        <v>999</v>
      </c>
      <c r="E10" t="s">
        <v>645</v>
      </c>
      <c r="F10" t="s">
        <v>1304</v>
      </c>
      <c r="G10" t="s">
        <v>1042</v>
      </c>
      <c r="H10" t="str" cm="1">
        <f t="array" ref="H10">IF(AND(G10="",
      C10="Receipt"),
      _xlfn.XLOOKUP(1,
      (purchase_order_lines_coldchain!A10:A1008 = F10) *
      (purchase_order_lines_coldchain!G10:G1008 = E10) *
      (purchase_order_lines_coldchain!D10:D1008 = D10),
      purchase_order_lines_coldchain!B$2:B$1000,
      _xlfn.XLOOKUP(F10,purchase_order_lines_coldchain!A$2:A1008,
      purchase_order_lines_coldchain!B$2:B1008)),
      "")</f>
        <v/>
      </c>
      <c r="I10" t="str">
        <f t="shared" si="0"/>
        <v>PO000058</v>
      </c>
      <c r="J10" t="s">
        <v>1590</v>
      </c>
      <c r="K10" s="11">
        <v>209</v>
      </c>
      <c r="L10" s="11">
        <v>209</v>
      </c>
      <c r="M10" s="14">
        <v>6.77</v>
      </c>
      <c r="N10" s="14">
        <v>1414.93</v>
      </c>
      <c r="O10">
        <v>6.6</v>
      </c>
      <c r="P10" t="s">
        <v>3275</v>
      </c>
    </row>
    <row r="11" spans="1:16" x14ac:dyDescent="0.25">
      <c r="A11" t="s">
        <v>1591</v>
      </c>
      <c r="B11" s="1">
        <v>45701.304166666669</v>
      </c>
      <c r="C11" t="s">
        <v>3274</v>
      </c>
      <c r="D11" t="s">
        <v>990</v>
      </c>
      <c r="E11" t="s">
        <v>837</v>
      </c>
      <c r="F11" t="s">
        <v>1469</v>
      </c>
      <c r="G11" t="s">
        <v>1100</v>
      </c>
      <c r="H11" t="str" cm="1">
        <f t="array" ref="H11">IF(AND(G11="",
      C11="Receipt"),
      _xlfn.XLOOKUP(1,
      (purchase_order_lines_coldchain!A11:A1009 = F11) *
      (purchase_order_lines_coldchain!G11:G1009 = E11) *
      (purchase_order_lines_coldchain!D11:D1009 = D11),
      purchase_order_lines_coldchain!B$2:B$1000,
      _xlfn.XLOOKUP(F11,purchase_order_lines_coldchain!A$2:A1009,
      purchase_order_lines_coldchain!B$2:B1009)),
      "")</f>
        <v/>
      </c>
      <c r="I11" t="str">
        <f t="shared" si="0"/>
        <v>PO000116</v>
      </c>
      <c r="J11" t="s">
        <v>1592</v>
      </c>
      <c r="K11" s="11">
        <v>88</v>
      </c>
      <c r="L11" s="11">
        <v>88</v>
      </c>
      <c r="M11" s="14">
        <v>14.25</v>
      </c>
      <c r="N11" s="14">
        <v>1254</v>
      </c>
      <c r="O11">
        <v>1.4</v>
      </c>
      <c r="P11" t="s">
        <v>3275</v>
      </c>
    </row>
    <row r="12" spans="1:16" x14ac:dyDescent="0.25">
      <c r="A12" t="s">
        <v>1593</v>
      </c>
      <c r="B12" s="1">
        <v>45679.886111111111</v>
      </c>
      <c r="C12" t="s">
        <v>3274</v>
      </c>
      <c r="D12" t="s">
        <v>959</v>
      </c>
      <c r="E12" t="s">
        <v>789</v>
      </c>
      <c r="F12" t="s">
        <v>1439</v>
      </c>
      <c r="G12" t="s">
        <v>1089</v>
      </c>
      <c r="H12" t="str" cm="1">
        <f t="array" ref="H12">IF(AND(G12="",
      C12="Receipt"),
      _xlfn.XLOOKUP(1,
      (purchase_order_lines_coldchain!A12:A1010 = F12) *
      (purchase_order_lines_coldchain!G12:G1010 = E12) *
      (purchase_order_lines_coldchain!D12:D1010 = D12),
      purchase_order_lines_coldchain!B$2:B$1000,
      _xlfn.XLOOKUP(F12,purchase_order_lines_coldchain!A$2:A1010,
      purchase_order_lines_coldchain!B$2:B1010)),
      "")</f>
        <v/>
      </c>
      <c r="I12" t="str">
        <f t="shared" si="0"/>
        <v>PO000105</v>
      </c>
      <c r="J12" t="s">
        <v>1594</v>
      </c>
      <c r="K12" s="11">
        <v>121</v>
      </c>
      <c r="L12" s="11">
        <v>121</v>
      </c>
      <c r="M12" s="14">
        <v>11.92</v>
      </c>
      <c r="N12" s="14">
        <v>1442.32</v>
      </c>
      <c r="O12">
        <v>5.8</v>
      </c>
      <c r="P12" t="s">
        <v>3275</v>
      </c>
    </row>
    <row r="13" spans="1:16" x14ac:dyDescent="0.25">
      <c r="A13" t="s">
        <v>1595</v>
      </c>
      <c r="B13" s="1">
        <v>45709.018750000003</v>
      </c>
      <c r="C13" t="s">
        <v>3274</v>
      </c>
      <c r="D13" t="s">
        <v>996</v>
      </c>
      <c r="E13" t="s">
        <v>469</v>
      </c>
      <c r="F13" t="s">
        <v>1433</v>
      </c>
      <c r="G13" t="s">
        <v>1087</v>
      </c>
      <c r="H13" t="str" cm="1">
        <f t="array" ref="H13">IF(AND(G13="",
      C13="Receipt"),
      _xlfn.XLOOKUP(1,
      (purchase_order_lines_coldchain!A13:A1011 = F13) *
      (purchase_order_lines_coldchain!G13:G1011 = E13) *
      (purchase_order_lines_coldchain!D13:D1011 = D13),
      purchase_order_lines_coldchain!B$2:B$1000,
      _xlfn.XLOOKUP(F13,purchase_order_lines_coldchain!A$2:A1011,
      purchase_order_lines_coldchain!B$2:B1011)),
      "")</f>
        <v/>
      </c>
      <c r="I13" t="str">
        <f t="shared" si="0"/>
        <v>PO000103</v>
      </c>
      <c r="J13" t="s">
        <v>1596</v>
      </c>
      <c r="K13" s="11">
        <v>234</v>
      </c>
      <c r="L13" s="11">
        <v>234</v>
      </c>
      <c r="M13" s="14">
        <v>1.81</v>
      </c>
      <c r="N13" s="14">
        <v>423.54</v>
      </c>
      <c r="O13">
        <v>3.7</v>
      </c>
      <c r="P13" t="s">
        <v>3275</v>
      </c>
    </row>
    <row r="14" spans="1:16" x14ac:dyDescent="0.25">
      <c r="A14" t="s">
        <v>1597</v>
      </c>
      <c r="B14" s="1">
        <v>45708.179861111108</v>
      </c>
      <c r="C14" t="s">
        <v>3274</v>
      </c>
      <c r="D14" t="s">
        <v>972</v>
      </c>
      <c r="E14" t="s">
        <v>539</v>
      </c>
      <c r="F14" t="s">
        <v>1222</v>
      </c>
      <c r="G14" t="s">
        <v>1013</v>
      </c>
      <c r="H14" t="str" cm="1">
        <f t="array" ref="H14">IF(AND(G14="",
      C14="Receipt"),
      _xlfn.XLOOKUP(1,
      (purchase_order_lines_coldchain!A14:A1012 = F14) *
      (purchase_order_lines_coldchain!G14:G1012 = E14) *
      (purchase_order_lines_coldchain!D14:D1012 = D14),
      purchase_order_lines_coldchain!B$2:B$1000,
      _xlfn.XLOOKUP(F14,purchase_order_lines_coldchain!A$2:A1012,
      purchase_order_lines_coldchain!B$2:B1012)),
      "")</f>
        <v/>
      </c>
      <c r="I14" t="str">
        <f t="shared" si="0"/>
        <v>PO000029</v>
      </c>
      <c r="J14" t="s">
        <v>1598</v>
      </c>
      <c r="K14" s="11">
        <v>87</v>
      </c>
      <c r="L14" s="11">
        <v>87</v>
      </c>
      <c r="M14" s="14">
        <v>6.74</v>
      </c>
      <c r="N14" s="14">
        <v>586.38</v>
      </c>
      <c r="O14">
        <v>2.8</v>
      </c>
      <c r="P14" t="s">
        <v>3275</v>
      </c>
    </row>
    <row r="15" spans="1:16" x14ac:dyDescent="0.25">
      <c r="A15" t="s">
        <v>1599</v>
      </c>
      <c r="B15" s="1">
        <v>45710.981249999997</v>
      </c>
      <c r="C15" t="s">
        <v>3274</v>
      </c>
      <c r="D15" t="s">
        <v>987</v>
      </c>
      <c r="E15" t="s">
        <v>567</v>
      </c>
      <c r="F15" t="s">
        <v>1480</v>
      </c>
      <c r="G15" t="s">
        <v>1104</v>
      </c>
      <c r="H15" t="str" cm="1">
        <f t="array" ref="H15">IF(AND(G15="",
      C15="Receipt"),
      _xlfn.XLOOKUP(1,
      (purchase_order_lines_coldchain!A15:A1013 = F15) *
      (purchase_order_lines_coldchain!G15:G1013 = E15) *
      (purchase_order_lines_coldchain!D15:D1013 = D15),
      purchase_order_lines_coldchain!B$2:B$1000,
      _xlfn.XLOOKUP(F15,purchase_order_lines_coldchain!A$2:A1013,
      purchase_order_lines_coldchain!B$2:B1013)),
      "")</f>
        <v/>
      </c>
      <c r="I15" t="str">
        <f t="shared" si="0"/>
        <v>PO000120</v>
      </c>
      <c r="J15" t="s">
        <v>1600</v>
      </c>
      <c r="K15" s="11">
        <v>210</v>
      </c>
      <c r="L15" s="11">
        <v>210</v>
      </c>
      <c r="M15" s="14">
        <v>1.56</v>
      </c>
      <c r="N15" s="14">
        <v>327.60000000000002</v>
      </c>
      <c r="O15">
        <v>7.6</v>
      </c>
      <c r="P15" t="s">
        <v>3275</v>
      </c>
    </row>
    <row r="16" spans="1:16" x14ac:dyDescent="0.25">
      <c r="A16" t="s">
        <v>1601</v>
      </c>
      <c r="B16" s="1">
        <v>45705.207638888889</v>
      </c>
      <c r="C16" t="s">
        <v>3274</v>
      </c>
      <c r="D16" t="s">
        <v>972</v>
      </c>
      <c r="E16" t="s">
        <v>463</v>
      </c>
      <c r="F16" t="s">
        <v>1458</v>
      </c>
      <c r="G16" t="s">
        <v>1096</v>
      </c>
      <c r="H16" t="str" cm="1">
        <f t="array" ref="H16">IF(AND(G16="",
      C16="Receipt"),
      _xlfn.XLOOKUP(1,
      (purchase_order_lines_coldchain!A16:A1014 = F16) *
      (purchase_order_lines_coldchain!G16:G1014 = E16) *
      (purchase_order_lines_coldchain!D16:D1014 = D16),
      purchase_order_lines_coldchain!B$2:B$1000,
      _xlfn.XLOOKUP(F16,purchase_order_lines_coldchain!A$2:A1014,
      purchase_order_lines_coldchain!B$2:B1014)),
      "")</f>
        <v/>
      </c>
      <c r="I16" t="str">
        <f t="shared" si="0"/>
        <v>PO000112</v>
      </c>
      <c r="J16" t="s">
        <v>1602</v>
      </c>
      <c r="K16" s="11">
        <v>143</v>
      </c>
      <c r="L16" s="11">
        <v>143</v>
      </c>
      <c r="M16" s="14">
        <v>8.41</v>
      </c>
      <c r="N16" s="14">
        <v>1202.6300000000001</v>
      </c>
      <c r="O16">
        <v>2.9</v>
      </c>
      <c r="P16" t="s">
        <v>3275</v>
      </c>
    </row>
    <row r="17" spans="1:16" x14ac:dyDescent="0.25">
      <c r="A17" t="s">
        <v>1603</v>
      </c>
      <c r="B17" s="1">
        <v>45722.34375</v>
      </c>
      <c r="C17" t="s">
        <v>3274</v>
      </c>
      <c r="D17" t="s">
        <v>980</v>
      </c>
      <c r="E17" t="s">
        <v>792</v>
      </c>
      <c r="F17" t="s">
        <v>1154</v>
      </c>
      <c r="G17" t="s">
        <v>979</v>
      </c>
      <c r="H17" t="str" cm="1">
        <f t="array" ref="H17">IF(AND(G17="",
      C17="Receipt"),
      _xlfn.XLOOKUP(1,
      (purchase_order_lines_coldchain!A17:A1015 = F17) *
      (purchase_order_lines_coldchain!G17:G1015 = E17) *
      (purchase_order_lines_coldchain!D17:D1015 = D17),
      purchase_order_lines_coldchain!B$2:B$1000,
      _xlfn.XLOOKUP(F17,purchase_order_lines_coldchain!A$2:A1015,
      purchase_order_lines_coldchain!B$2:B1015)),
      "")</f>
        <v/>
      </c>
      <c r="I17" t="str">
        <f t="shared" si="0"/>
        <v>PO000006</v>
      </c>
      <c r="J17" t="s">
        <v>1604</v>
      </c>
      <c r="K17" s="11">
        <v>194</v>
      </c>
      <c r="L17" s="11">
        <v>194</v>
      </c>
      <c r="M17" s="14">
        <v>4.45</v>
      </c>
      <c r="N17" s="14">
        <v>863.3</v>
      </c>
      <c r="O17">
        <v>-11.6</v>
      </c>
      <c r="P17" t="s">
        <v>3275</v>
      </c>
    </row>
    <row r="18" spans="1:16" x14ac:dyDescent="0.25">
      <c r="A18" t="s">
        <v>1605</v>
      </c>
      <c r="B18" s="1">
        <v>45735.558333333334</v>
      </c>
      <c r="C18" t="s">
        <v>3274</v>
      </c>
      <c r="D18" t="s">
        <v>959</v>
      </c>
      <c r="E18" t="s">
        <v>729</v>
      </c>
      <c r="F18" t="s">
        <v>1261</v>
      </c>
      <c r="G18" t="s">
        <v>1027</v>
      </c>
      <c r="H18" t="str" cm="1">
        <f t="array" ref="H18">IF(AND(G18="",
      C18="Receipt"),
      _xlfn.XLOOKUP(1,
      (purchase_order_lines_coldchain!A18:A1016 = F18) *
      (purchase_order_lines_coldchain!G18:G1016 = E18) *
      (purchase_order_lines_coldchain!D18:D1016 = D18),
      purchase_order_lines_coldchain!B$2:B$1000,
      _xlfn.XLOOKUP(F18,purchase_order_lines_coldchain!A$2:A1016,
      purchase_order_lines_coldchain!B$2:B1016)),
      "")</f>
        <v/>
      </c>
      <c r="I18" t="str">
        <f t="shared" si="0"/>
        <v>PO000043</v>
      </c>
      <c r="J18" t="s">
        <v>1606</v>
      </c>
      <c r="K18" s="11">
        <v>144</v>
      </c>
      <c r="L18" s="11">
        <v>144</v>
      </c>
      <c r="M18" s="14">
        <v>12.15</v>
      </c>
      <c r="N18" s="14">
        <v>1749.6</v>
      </c>
      <c r="O18">
        <v>4.5</v>
      </c>
      <c r="P18" t="s">
        <v>3275</v>
      </c>
    </row>
    <row r="19" spans="1:16" x14ac:dyDescent="0.25">
      <c r="A19" t="s">
        <v>1607</v>
      </c>
      <c r="B19" s="1">
        <v>45723.183333333334</v>
      </c>
      <c r="C19" t="s">
        <v>3274</v>
      </c>
      <c r="D19" t="s">
        <v>990</v>
      </c>
      <c r="E19" t="s">
        <v>933</v>
      </c>
      <c r="F19" t="s">
        <v>1199</v>
      </c>
      <c r="G19" t="s">
        <v>1005</v>
      </c>
      <c r="H19" t="str" cm="1">
        <f t="array" ref="H19">IF(AND(G19="",
      C19="Receipt"),
      _xlfn.XLOOKUP(1,
      (purchase_order_lines_coldchain!A19:A1017 = F19) *
      (purchase_order_lines_coldchain!G19:G1017 = E19) *
      (purchase_order_lines_coldchain!D19:D1017 = D19),
      purchase_order_lines_coldchain!B$2:B$1000,
      _xlfn.XLOOKUP(F19,purchase_order_lines_coldchain!A$2:A1017,
      purchase_order_lines_coldchain!B$2:B1017)),
      "")</f>
        <v/>
      </c>
      <c r="I19" t="str">
        <f t="shared" si="0"/>
        <v>PO000021</v>
      </c>
      <c r="J19" t="s">
        <v>1608</v>
      </c>
      <c r="K19" s="11">
        <v>71</v>
      </c>
      <c r="L19" s="11">
        <v>71</v>
      </c>
      <c r="M19" s="14">
        <v>4.57</v>
      </c>
      <c r="N19" s="14">
        <v>324.47000000000003</v>
      </c>
      <c r="O19">
        <v>1</v>
      </c>
      <c r="P19" t="s">
        <v>3275</v>
      </c>
    </row>
    <row r="20" spans="1:16" x14ac:dyDescent="0.25">
      <c r="A20" t="s">
        <v>1609</v>
      </c>
      <c r="B20" s="1">
        <v>45666.168749999997</v>
      </c>
      <c r="C20" t="s">
        <v>3274</v>
      </c>
      <c r="D20" t="s">
        <v>999</v>
      </c>
      <c r="E20" t="s">
        <v>505</v>
      </c>
      <c r="F20" t="s">
        <v>1296</v>
      </c>
      <c r="G20" t="s">
        <v>1039</v>
      </c>
      <c r="H20" t="str" cm="1">
        <f t="array" ref="H20">IF(AND(G20="",
      C20="Receipt"),
      _xlfn.XLOOKUP(1,
      (purchase_order_lines_coldchain!A20:A1018 = F20) *
      (purchase_order_lines_coldchain!G20:G1018 = E20) *
      (purchase_order_lines_coldchain!D20:D1018 = D20),
      purchase_order_lines_coldchain!B$2:B$1000,
      _xlfn.XLOOKUP(F20,purchase_order_lines_coldchain!A$2:A1018,
      purchase_order_lines_coldchain!B$2:B1018)),
      "")</f>
        <v/>
      </c>
      <c r="I20" t="str">
        <f t="shared" si="0"/>
        <v>PO000055</v>
      </c>
      <c r="J20" t="s">
        <v>1610</v>
      </c>
      <c r="K20" s="11">
        <v>131</v>
      </c>
      <c r="L20" s="11">
        <v>131</v>
      </c>
      <c r="M20" s="14">
        <v>7.18</v>
      </c>
      <c r="N20" s="14">
        <v>940.58</v>
      </c>
      <c r="O20">
        <v>3.9</v>
      </c>
      <c r="P20" t="s">
        <v>3275</v>
      </c>
    </row>
    <row r="21" spans="1:16" x14ac:dyDescent="0.25">
      <c r="A21" t="s">
        <v>1611</v>
      </c>
      <c r="B21" s="1">
        <v>45680.838888888888</v>
      </c>
      <c r="C21" t="s">
        <v>3274</v>
      </c>
      <c r="D21" t="s">
        <v>959</v>
      </c>
      <c r="E21" t="s">
        <v>539</v>
      </c>
      <c r="F21" t="s">
        <v>1187</v>
      </c>
      <c r="G21" t="s">
        <v>1001</v>
      </c>
      <c r="H21" t="str" cm="1">
        <f t="array" ref="H21">IF(AND(G21="",
      C21="Receipt"),
      _xlfn.XLOOKUP(1,
      (purchase_order_lines_coldchain!A21:A1019 = F21) *
      (purchase_order_lines_coldchain!G21:G1019 = E21) *
      (purchase_order_lines_coldchain!D21:D1019 = D21),
      purchase_order_lines_coldchain!B$2:B$1000,
      _xlfn.XLOOKUP(F21,purchase_order_lines_coldchain!A$2:A1019,
      purchase_order_lines_coldchain!B$2:B1019)),
      "")</f>
        <v/>
      </c>
      <c r="I21" t="str">
        <f t="shared" si="0"/>
        <v>PO000017</v>
      </c>
      <c r="J21" t="s">
        <v>1612</v>
      </c>
      <c r="K21" s="11">
        <v>174</v>
      </c>
      <c r="L21" s="11">
        <v>174</v>
      </c>
      <c r="M21" s="14">
        <v>6.24</v>
      </c>
      <c r="N21" s="14">
        <v>1085.76</v>
      </c>
      <c r="O21">
        <v>4</v>
      </c>
      <c r="P21" t="s">
        <v>3275</v>
      </c>
    </row>
    <row r="22" spans="1:16" x14ac:dyDescent="0.25">
      <c r="A22" t="s">
        <v>1613</v>
      </c>
      <c r="B22" s="1">
        <v>45693.620833333334</v>
      </c>
      <c r="C22" t="s">
        <v>3274</v>
      </c>
      <c r="D22" t="s">
        <v>972</v>
      </c>
      <c r="E22" t="s">
        <v>837</v>
      </c>
      <c r="F22" t="s">
        <v>1175</v>
      </c>
      <c r="G22" t="s">
        <v>993</v>
      </c>
      <c r="H22" t="str" cm="1">
        <f t="array" ref="H22">IF(AND(G22="",
      C22="Receipt"),
      _xlfn.XLOOKUP(1,
      (purchase_order_lines_coldchain!A22:A1020 = F22) *
      (purchase_order_lines_coldchain!G22:G1020 = E22) *
      (purchase_order_lines_coldchain!D22:D1020 = D22),
      purchase_order_lines_coldchain!B$2:B$1000,
      _xlfn.XLOOKUP(F22,purchase_order_lines_coldchain!A$2:A1020,
      purchase_order_lines_coldchain!B$2:B1020)),
      "")</f>
        <v/>
      </c>
      <c r="I22" t="str">
        <f t="shared" si="0"/>
        <v>PO000013</v>
      </c>
      <c r="J22" t="s">
        <v>1614</v>
      </c>
      <c r="K22" s="11">
        <v>77</v>
      </c>
      <c r="L22" s="11">
        <v>77</v>
      </c>
      <c r="M22" s="14">
        <v>14.25</v>
      </c>
      <c r="N22" s="14">
        <v>1097.25</v>
      </c>
      <c r="O22">
        <v>1.3</v>
      </c>
      <c r="P22" t="s">
        <v>3275</v>
      </c>
    </row>
    <row r="23" spans="1:16" x14ac:dyDescent="0.25">
      <c r="A23" t="s">
        <v>1615</v>
      </c>
      <c r="B23" s="1">
        <v>45667.739583333336</v>
      </c>
      <c r="C23" t="s">
        <v>3274</v>
      </c>
      <c r="D23" t="s">
        <v>968</v>
      </c>
      <c r="E23" t="s">
        <v>423</v>
      </c>
      <c r="F23" t="s">
        <v>1357</v>
      </c>
      <c r="G23" t="s">
        <v>1060</v>
      </c>
      <c r="H23" t="str" cm="1">
        <f t="array" ref="H23">IF(AND(G23="",
      C23="Receipt"),
      _xlfn.XLOOKUP(1,
      (purchase_order_lines_coldchain!A23:A1021 = F23) *
      (purchase_order_lines_coldchain!G23:G1021 = E23) *
      (purchase_order_lines_coldchain!D23:D1021 = D23),
      purchase_order_lines_coldchain!B$2:B$1000,
      _xlfn.XLOOKUP(F23,purchase_order_lines_coldchain!A$2:A1021,
      purchase_order_lines_coldchain!B$2:B1021)),
      "")</f>
        <v/>
      </c>
      <c r="I23" t="str">
        <f t="shared" si="0"/>
        <v>PO000076</v>
      </c>
      <c r="J23" t="s">
        <v>1616</v>
      </c>
      <c r="K23" s="11">
        <v>35</v>
      </c>
      <c r="L23" s="11">
        <v>35</v>
      </c>
      <c r="M23" s="14">
        <v>15.25</v>
      </c>
      <c r="N23" s="14">
        <v>533.75</v>
      </c>
      <c r="O23">
        <v>3</v>
      </c>
      <c r="P23" t="s">
        <v>3275</v>
      </c>
    </row>
    <row r="24" spans="1:16" x14ac:dyDescent="0.25">
      <c r="A24" t="s">
        <v>1617</v>
      </c>
      <c r="B24" s="1">
        <v>45665.51666666667</v>
      </c>
      <c r="C24" t="s">
        <v>3274</v>
      </c>
      <c r="D24" t="s">
        <v>972</v>
      </c>
      <c r="E24" t="s">
        <v>440</v>
      </c>
      <c r="F24" t="s">
        <v>1370</v>
      </c>
      <c r="G24" t="s">
        <v>1065</v>
      </c>
      <c r="H24" t="str" cm="1">
        <f t="array" ref="H24">IF(AND(G24="",
      C24="Receipt"),
      _xlfn.XLOOKUP(1,
      (purchase_order_lines_coldchain!A24:A1022 = F24) *
      (purchase_order_lines_coldchain!G24:G1022 = E24) *
      (purchase_order_lines_coldchain!D24:D1022 = D24),
      purchase_order_lines_coldchain!B$2:B$1000,
      _xlfn.XLOOKUP(F24,purchase_order_lines_coldchain!A$2:A1022,
      purchase_order_lines_coldchain!B$2:B1022)),
      "")</f>
        <v/>
      </c>
      <c r="I24" t="str">
        <f t="shared" si="0"/>
        <v>PO000081</v>
      </c>
      <c r="J24" t="s">
        <v>1618</v>
      </c>
      <c r="K24" s="11">
        <v>98</v>
      </c>
      <c r="L24" s="11">
        <v>98</v>
      </c>
      <c r="M24" s="14">
        <v>6.55</v>
      </c>
      <c r="N24" s="14">
        <v>641.9</v>
      </c>
      <c r="O24">
        <v>2.6</v>
      </c>
      <c r="P24" t="s">
        <v>3275</v>
      </c>
    </row>
    <row r="25" spans="1:16" x14ac:dyDescent="0.25">
      <c r="A25" t="s">
        <v>1619</v>
      </c>
      <c r="B25" s="1">
        <v>45699.575694444444</v>
      </c>
      <c r="C25" t="s">
        <v>3274</v>
      </c>
      <c r="D25" t="s">
        <v>990</v>
      </c>
      <c r="E25" t="s">
        <v>768</v>
      </c>
      <c r="F25" t="s">
        <v>1395</v>
      </c>
      <c r="G25" t="s">
        <v>1074</v>
      </c>
      <c r="H25" t="str" cm="1">
        <f t="array" ref="H25">IF(AND(G25="",
      C25="Receipt"),
      _xlfn.XLOOKUP(1,
      (purchase_order_lines_coldchain!A25:A1023 = F25) *
      (purchase_order_lines_coldchain!G25:G1023 = E25) *
      (purchase_order_lines_coldchain!D25:D1023 = D25),
      purchase_order_lines_coldchain!B$2:B$1000,
      _xlfn.XLOOKUP(F25,purchase_order_lines_coldchain!A$2:A1023,
      purchase_order_lines_coldchain!B$2:B1023)),
      "")</f>
        <v/>
      </c>
      <c r="I25" t="str">
        <f t="shared" si="0"/>
        <v>PO000090</v>
      </c>
      <c r="J25" t="s">
        <v>1620</v>
      </c>
      <c r="K25" s="11">
        <v>211</v>
      </c>
      <c r="L25" s="11">
        <v>211</v>
      </c>
      <c r="M25" s="14">
        <v>10.36</v>
      </c>
      <c r="N25" s="14">
        <v>2185.96</v>
      </c>
      <c r="O25">
        <v>6.2</v>
      </c>
      <c r="P25" t="s">
        <v>3275</v>
      </c>
    </row>
    <row r="26" spans="1:16" x14ac:dyDescent="0.25">
      <c r="A26" t="s">
        <v>1621</v>
      </c>
      <c r="B26" s="1">
        <v>45698.629861111112</v>
      </c>
      <c r="C26" t="s">
        <v>3274</v>
      </c>
      <c r="D26" t="s">
        <v>987</v>
      </c>
      <c r="E26" t="s">
        <v>557</v>
      </c>
      <c r="F26" t="s">
        <v>1488</v>
      </c>
      <c r="G26" t="s">
        <v>1107</v>
      </c>
      <c r="H26" t="str" cm="1">
        <f t="array" ref="H26">IF(AND(G26="",
      C26="Receipt"),
      _xlfn.XLOOKUP(1,
      (purchase_order_lines_coldchain!A26:A1024 = F26) *
      (purchase_order_lines_coldchain!G26:G1024 = E26) *
      (purchase_order_lines_coldchain!D26:D1024 = D26),
      purchase_order_lines_coldchain!B$2:B$1000,
      _xlfn.XLOOKUP(F26,purchase_order_lines_coldchain!A$2:A1024,
      purchase_order_lines_coldchain!B$2:B1024)),
      "")</f>
        <v/>
      </c>
      <c r="I26" t="str">
        <f t="shared" si="0"/>
        <v>PO000123</v>
      </c>
      <c r="J26" t="s">
        <v>1622</v>
      </c>
      <c r="K26" s="11">
        <v>115</v>
      </c>
      <c r="L26" s="11">
        <v>115</v>
      </c>
      <c r="M26" s="14">
        <v>1.89</v>
      </c>
      <c r="N26" s="14">
        <v>217.35</v>
      </c>
      <c r="O26">
        <v>6.5</v>
      </c>
      <c r="P26" t="s">
        <v>3275</v>
      </c>
    </row>
    <row r="27" spans="1:16" x14ac:dyDescent="0.25">
      <c r="A27" t="s">
        <v>1623</v>
      </c>
      <c r="B27" s="1">
        <v>45726.10833333333</v>
      </c>
      <c r="C27" t="s">
        <v>3274</v>
      </c>
      <c r="D27" t="s">
        <v>980</v>
      </c>
      <c r="E27" t="s">
        <v>452</v>
      </c>
      <c r="F27" t="s">
        <v>1227</v>
      </c>
      <c r="G27" t="s">
        <v>1015</v>
      </c>
      <c r="H27" t="str" cm="1">
        <f t="array" ref="H27">IF(AND(G27="",
      C27="Receipt"),
      _xlfn.XLOOKUP(1,
      (purchase_order_lines_coldchain!A27:A1025 = F27) *
      (purchase_order_lines_coldchain!G27:G1025 = E27) *
      (purchase_order_lines_coldchain!D27:D1025 = D27),
      purchase_order_lines_coldchain!B$2:B$1000,
      _xlfn.XLOOKUP(F27,purchase_order_lines_coldchain!A$2:A1025,
      purchase_order_lines_coldchain!B$2:B1025)),
      "")</f>
        <v/>
      </c>
      <c r="I27" t="str">
        <f t="shared" si="0"/>
        <v>PO000031</v>
      </c>
      <c r="J27" t="s">
        <v>1624</v>
      </c>
      <c r="K27" s="11">
        <v>101</v>
      </c>
      <c r="L27" s="11">
        <v>101</v>
      </c>
      <c r="M27" s="14">
        <v>12.16</v>
      </c>
      <c r="N27" s="14">
        <v>1228.1600000000001</v>
      </c>
      <c r="O27">
        <v>3.5</v>
      </c>
      <c r="P27" t="s">
        <v>3275</v>
      </c>
    </row>
    <row r="28" spans="1:16" x14ac:dyDescent="0.25">
      <c r="A28" t="s">
        <v>1625</v>
      </c>
      <c r="B28" s="1">
        <v>45669.59652777778</v>
      </c>
      <c r="C28" t="s">
        <v>3274</v>
      </c>
      <c r="D28" t="s">
        <v>987</v>
      </c>
      <c r="E28" t="s">
        <v>508</v>
      </c>
      <c r="F28" t="s">
        <v>1291</v>
      </c>
      <c r="G28" t="s">
        <v>1038</v>
      </c>
      <c r="H28" t="str" cm="1">
        <f t="array" ref="H28">IF(AND(G28="",
      C28="Receipt"),
      _xlfn.XLOOKUP(1,
      (purchase_order_lines_coldchain!A28:A1026 = F28) *
      (purchase_order_lines_coldchain!G28:G1026 = E28) *
      (purchase_order_lines_coldchain!D28:D1026 = D28),
      purchase_order_lines_coldchain!B$2:B$1000,
      _xlfn.XLOOKUP(F28,purchase_order_lines_coldchain!A$2:A1026,
      purchase_order_lines_coldchain!B$2:B1026)),
      "")</f>
        <v/>
      </c>
      <c r="I28" t="str">
        <f t="shared" si="0"/>
        <v>PO000054</v>
      </c>
      <c r="J28" t="s">
        <v>1626</v>
      </c>
      <c r="K28" s="11">
        <v>55</v>
      </c>
      <c r="L28" s="11">
        <v>55</v>
      </c>
      <c r="M28" s="14">
        <v>11.83</v>
      </c>
      <c r="N28" s="14">
        <v>650.65</v>
      </c>
      <c r="O28">
        <v>4</v>
      </c>
      <c r="P28" t="s">
        <v>3275</v>
      </c>
    </row>
    <row r="29" spans="1:16" x14ac:dyDescent="0.25">
      <c r="A29" t="s">
        <v>1627</v>
      </c>
      <c r="B29" s="1">
        <v>45730.047222222223</v>
      </c>
      <c r="C29" t="s">
        <v>3274</v>
      </c>
      <c r="D29" t="s">
        <v>968</v>
      </c>
      <c r="E29" t="s">
        <v>855</v>
      </c>
      <c r="F29" t="s">
        <v>1366</v>
      </c>
      <c r="G29" t="s">
        <v>1063</v>
      </c>
      <c r="H29" t="str" cm="1">
        <f t="array" ref="H29">IF(AND(G29="",
      C29="Receipt"),
      _xlfn.XLOOKUP(1,
      (purchase_order_lines_coldchain!A29:A1027 = F29) *
      (purchase_order_lines_coldchain!G29:G1027 = E29) *
      (purchase_order_lines_coldchain!D29:D1027 = D29),
      purchase_order_lines_coldchain!B$2:B$1000,
      _xlfn.XLOOKUP(F29,purchase_order_lines_coldchain!A$2:A1027,
      purchase_order_lines_coldchain!B$2:B1027)),
      "")</f>
        <v/>
      </c>
      <c r="I29" t="str">
        <f t="shared" si="0"/>
        <v>PO000079</v>
      </c>
      <c r="J29" t="s">
        <v>1628</v>
      </c>
      <c r="K29" s="11">
        <v>143</v>
      </c>
      <c r="L29" s="11">
        <v>143</v>
      </c>
      <c r="M29" s="14">
        <v>14.37</v>
      </c>
      <c r="N29" s="14">
        <v>2054.91</v>
      </c>
      <c r="O29">
        <v>2.7</v>
      </c>
      <c r="P29" t="s">
        <v>3275</v>
      </c>
    </row>
    <row r="30" spans="1:16" x14ac:dyDescent="0.25">
      <c r="A30" t="s">
        <v>1629</v>
      </c>
      <c r="B30" s="1">
        <v>45712.504166666666</v>
      </c>
      <c r="C30" t="s">
        <v>3274</v>
      </c>
      <c r="D30" t="s">
        <v>987</v>
      </c>
      <c r="E30" t="s">
        <v>603</v>
      </c>
      <c r="F30" t="s">
        <v>1297</v>
      </c>
      <c r="G30" t="s">
        <v>1040</v>
      </c>
      <c r="H30" t="str" cm="1">
        <f t="array" ref="H30">IF(AND(G30="",
      C30="Receipt"),
      _xlfn.XLOOKUP(1,
      (purchase_order_lines_coldchain!A30:A1028 = F30) *
      (purchase_order_lines_coldchain!G30:G1028 = E30) *
      (purchase_order_lines_coldchain!D30:D1028 = D30),
      purchase_order_lines_coldchain!B$2:B$1000,
      _xlfn.XLOOKUP(F30,purchase_order_lines_coldchain!A$2:A1028,
      purchase_order_lines_coldchain!B$2:B1028)),
      "")</f>
        <v/>
      </c>
      <c r="I30" t="str">
        <f t="shared" si="0"/>
        <v>PO000056</v>
      </c>
      <c r="J30" t="s">
        <v>1630</v>
      </c>
      <c r="K30" s="11">
        <v>59</v>
      </c>
      <c r="L30" s="11">
        <v>59</v>
      </c>
      <c r="M30" s="14">
        <v>5.08</v>
      </c>
      <c r="N30" s="14">
        <v>299.72000000000003</v>
      </c>
      <c r="O30">
        <v>2</v>
      </c>
      <c r="P30" t="s">
        <v>3275</v>
      </c>
    </row>
    <row r="31" spans="1:16" x14ac:dyDescent="0.25">
      <c r="A31" t="s">
        <v>1631</v>
      </c>
      <c r="B31" s="1">
        <v>45670.96597222222</v>
      </c>
      <c r="C31" t="s">
        <v>3274</v>
      </c>
      <c r="D31" t="s">
        <v>990</v>
      </c>
      <c r="E31" t="s">
        <v>597</v>
      </c>
      <c r="F31" t="s">
        <v>1477</v>
      </c>
      <c r="G31" t="s">
        <v>1103</v>
      </c>
      <c r="H31" t="str" cm="1">
        <f t="array" ref="H31">IF(AND(G31="",
      C31="Receipt"),
      _xlfn.XLOOKUP(1,
      (purchase_order_lines_coldchain!A31:A1029 = F31) *
      (purchase_order_lines_coldchain!G31:G1029 = E31) *
      (purchase_order_lines_coldchain!D31:D1029 = D31),
      purchase_order_lines_coldchain!B$2:B$1000,
      _xlfn.XLOOKUP(F31,purchase_order_lines_coldchain!A$2:A1029,
      purchase_order_lines_coldchain!B$2:B1029)),
      "")</f>
        <v/>
      </c>
      <c r="I31" t="str">
        <f t="shared" si="0"/>
        <v>PO000119</v>
      </c>
      <c r="J31" t="s">
        <v>1632</v>
      </c>
      <c r="K31" s="11">
        <v>141</v>
      </c>
      <c r="L31" s="11">
        <v>141</v>
      </c>
      <c r="M31" s="14">
        <v>2.83</v>
      </c>
      <c r="N31" s="14">
        <v>399.03</v>
      </c>
      <c r="O31">
        <v>2.4</v>
      </c>
      <c r="P31" t="s">
        <v>3275</v>
      </c>
    </row>
    <row r="32" spans="1:16" x14ac:dyDescent="0.25">
      <c r="A32" t="s">
        <v>1633</v>
      </c>
      <c r="B32" s="1">
        <v>45685.163888888892</v>
      </c>
      <c r="C32" t="s">
        <v>3274</v>
      </c>
      <c r="D32" t="s">
        <v>959</v>
      </c>
      <c r="E32" t="s">
        <v>660</v>
      </c>
      <c r="F32" t="s">
        <v>1517</v>
      </c>
      <c r="G32" t="s">
        <v>1118</v>
      </c>
      <c r="H32" t="str" cm="1">
        <f t="array" ref="H32">IF(AND(G32="",
      C32="Receipt"),
      _xlfn.XLOOKUP(1,
      (purchase_order_lines_coldchain!A32:A1030 = F32) *
      (purchase_order_lines_coldchain!G32:G1030 = E32) *
      (purchase_order_lines_coldchain!D32:D1030 = D32),
      purchase_order_lines_coldchain!B$2:B$1000,
      _xlfn.XLOOKUP(F32,purchase_order_lines_coldchain!A$2:A1030,
      purchase_order_lines_coldchain!B$2:B1030)),
      "")</f>
        <v/>
      </c>
      <c r="I32" t="str">
        <f t="shared" si="0"/>
        <v>PO000134</v>
      </c>
      <c r="J32" t="s">
        <v>1634</v>
      </c>
      <c r="K32" s="11">
        <v>140</v>
      </c>
      <c r="L32" s="11">
        <v>140</v>
      </c>
      <c r="M32" s="14">
        <v>13.27</v>
      </c>
      <c r="N32" s="14">
        <v>1857.8</v>
      </c>
      <c r="O32">
        <v>2.9</v>
      </c>
      <c r="P32" t="s">
        <v>3275</v>
      </c>
    </row>
    <row r="33" spans="1:16" x14ac:dyDescent="0.25">
      <c r="A33" t="s">
        <v>1635</v>
      </c>
      <c r="B33" s="1">
        <v>45693.506944444445</v>
      </c>
      <c r="C33" t="s">
        <v>3274</v>
      </c>
      <c r="D33" t="s">
        <v>990</v>
      </c>
      <c r="E33" t="s">
        <v>466</v>
      </c>
      <c r="F33" t="s">
        <v>1376</v>
      </c>
      <c r="G33" t="s">
        <v>1067</v>
      </c>
      <c r="H33" t="str" cm="1">
        <f t="array" ref="H33">IF(AND(G33="",
      C33="Receipt"),
      _xlfn.XLOOKUP(1,
      (purchase_order_lines_coldchain!A33:A1031 = F33) *
      (purchase_order_lines_coldchain!G33:G1031 = E33) *
      (purchase_order_lines_coldchain!D33:D1031 = D33),
      purchase_order_lines_coldchain!B$2:B$1000,
      _xlfn.XLOOKUP(F33,purchase_order_lines_coldchain!A$2:A1031,
      purchase_order_lines_coldchain!B$2:B1031)),
      "")</f>
        <v/>
      </c>
      <c r="I33" t="str">
        <f t="shared" si="0"/>
        <v>PO000083</v>
      </c>
      <c r="J33" t="s">
        <v>1636</v>
      </c>
      <c r="K33" s="11">
        <v>51</v>
      </c>
      <c r="L33" s="11">
        <v>51</v>
      </c>
      <c r="M33" s="14">
        <v>8.4</v>
      </c>
      <c r="N33" s="14">
        <v>428.4</v>
      </c>
      <c r="O33">
        <v>5.6</v>
      </c>
      <c r="P33" t="s">
        <v>3275</v>
      </c>
    </row>
    <row r="34" spans="1:16" x14ac:dyDescent="0.25">
      <c r="A34" t="s">
        <v>1637</v>
      </c>
      <c r="B34" s="1">
        <v>45726.46597222222</v>
      </c>
      <c r="C34" t="s">
        <v>3274</v>
      </c>
      <c r="D34" t="s">
        <v>990</v>
      </c>
      <c r="E34" t="s">
        <v>430</v>
      </c>
      <c r="F34" t="s">
        <v>1236</v>
      </c>
      <c r="G34" t="s">
        <v>1019</v>
      </c>
      <c r="H34" t="str" cm="1">
        <f t="array" ref="H34">IF(AND(G34="",
      C34="Receipt"),
      _xlfn.XLOOKUP(1,
      (purchase_order_lines_coldchain!A34:A1032 = F34) *
      (purchase_order_lines_coldchain!G34:G1032 = E34) *
      (purchase_order_lines_coldchain!D34:D1032 = D34),
      purchase_order_lines_coldchain!B$2:B$1000,
      _xlfn.XLOOKUP(F34,purchase_order_lines_coldchain!A$2:A1032,
      purchase_order_lines_coldchain!B$2:B1032)),
      "")</f>
        <v/>
      </c>
      <c r="I34" t="str">
        <f t="shared" si="0"/>
        <v>PO000035</v>
      </c>
      <c r="J34" t="s">
        <v>1638</v>
      </c>
      <c r="K34" s="11">
        <v>128</v>
      </c>
      <c r="L34" s="11">
        <v>128</v>
      </c>
      <c r="M34" s="14">
        <v>4.9400000000000004</v>
      </c>
      <c r="N34" s="14">
        <v>632.32000000000005</v>
      </c>
      <c r="O34">
        <v>2.8</v>
      </c>
      <c r="P34" t="s">
        <v>3275</v>
      </c>
    </row>
    <row r="35" spans="1:16" x14ac:dyDescent="0.25">
      <c r="A35" t="s">
        <v>1639</v>
      </c>
      <c r="B35" s="1">
        <v>45723.888888888891</v>
      </c>
      <c r="C35" t="s">
        <v>3274</v>
      </c>
      <c r="D35" t="s">
        <v>999</v>
      </c>
      <c r="E35" t="s">
        <v>440</v>
      </c>
      <c r="F35" t="s">
        <v>1228</v>
      </c>
      <c r="G35" t="s">
        <v>1016</v>
      </c>
      <c r="H35" t="str" cm="1">
        <f t="array" ref="H35">IF(AND(G35="",
      C35="Receipt"),
      _xlfn.XLOOKUP(1,
      (purchase_order_lines_coldchain!A35:A1033 = F35) *
      (purchase_order_lines_coldchain!G35:G1033 = E35) *
      (purchase_order_lines_coldchain!D35:D1033 = D35),
      purchase_order_lines_coldchain!B$2:B$1000,
      _xlfn.XLOOKUP(F35,purchase_order_lines_coldchain!A$2:A1033,
      purchase_order_lines_coldchain!B$2:B1033)),
      "")</f>
        <v/>
      </c>
      <c r="I35" t="str">
        <f t="shared" si="0"/>
        <v>PO000032</v>
      </c>
      <c r="J35" t="s">
        <v>1640</v>
      </c>
      <c r="K35" s="11">
        <v>22</v>
      </c>
      <c r="L35" s="11">
        <v>22</v>
      </c>
      <c r="M35" s="14">
        <v>5.78</v>
      </c>
      <c r="N35" s="14">
        <v>127.16</v>
      </c>
      <c r="O35">
        <v>1.6</v>
      </c>
      <c r="P35" t="s">
        <v>3275</v>
      </c>
    </row>
    <row r="36" spans="1:16" x14ac:dyDescent="0.25">
      <c r="A36" t="s">
        <v>1641</v>
      </c>
      <c r="B36" s="1">
        <v>45707.57708333333</v>
      </c>
      <c r="C36" t="s">
        <v>3274</v>
      </c>
      <c r="D36" t="s">
        <v>999</v>
      </c>
      <c r="E36" t="s">
        <v>539</v>
      </c>
      <c r="F36" t="s">
        <v>1496</v>
      </c>
      <c r="G36" t="s">
        <v>1110</v>
      </c>
      <c r="H36" t="str" cm="1">
        <f t="array" ref="H36">IF(AND(G36="",
      C36="Receipt"),
      _xlfn.XLOOKUP(1,
      (purchase_order_lines_coldchain!A36:A1034 = F36) *
      (purchase_order_lines_coldchain!G36:G1034 = E36) *
      (purchase_order_lines_coldchain!D36:D1034 = D36),
      purchase_order_lines_coldchain!B$2:B$1000,
      _xlfn.XLOOKUP(F36,purchase_order_lines_coldchain!A$2:A1034,
      purchase_order_lines_coldchain!B$2:B1034)),
      "")</f>
        <v/>
      </c>
      <c r="I36" t="str">
        <f t="shared" si="0"/>
        <v>PO000126</v>
      </c>
      <c r="J36" t="s">
        <v>1642</v>
      </c>
      <c r="K36" s="11">
        <v>213</v>
      </c>
      <c r="L36" s="11">
        <v>213</v>
      </c>
      <c r="M36" s="14">
        <v>6.49</v>
      </c>
      <c r="N36" s="14">
        <v>1382.37</v>
      </c>
      <c r="O36">
        <v>3</v>
      </c>
      <c r="P36" t="s">
        <v>3275</v>
      </c>
    </row>
    <row r="37" spans="1:16" x14ac:dyDescent="0.25">
      <c r="A37" t="s">
        <v>1643</v>
      </c>
      <c r="B37" s="1">
        <v>45730.193749999999</v>
      </c>
      <c r="C37" t="s">
        <v>3274</v>
      </c>
      <c r="D37" t="s">
        <v>964</v>
      </c>
      <c r="E37" t="s">
        <v>427</v>
      </c>
      <c r="F37" t="s">
        <v>1540</v>
      </c>
      <c r="G37" t="s">
        <v>1127</v>
      </c>
      <c r="H37" t="str" cm="1">
        <f t="array" ref="H37">IF(AND(G37="",
      C37="Receipt"),
      _xlfn.XLOOKUP(1,
      (purchase_order_lines_coldchain!A37:A1035 = F37) *
      (purchase_order_lines_coldchain!G37:G1035 = E37) *
      (purchase_order_lines_coldchain!D37:D1035 = D37),
      purchase_order_lines_coldchain!B$2:B$1000,
      _xlfn.XLOOKUP(F37,purchase_order_lines_coldchain!A$2:A1035,
      purchase_order_lines_coldchain!B$2:B1035)),
      "")</f>
        <v/>
      </c>
      <c r="I37" t="str">
        <f t="shared" si="0"/>
        <v>PO000143</v>
      </c>
      <c r="J37" t="s">
        <v>1644</v>
      </c>
      <c r="K37" s="11">
        <v>85</v>
      </c>
      <c r="L37" s="11">
        <v>85</v>
      </c>
      <c r="M37" s="14">
        <v>3.59</v>
      </c>
      <c r="N37" s="14">
        <v>305.14999999999998</v>
      </c>
      <c r="O37">
        <v>0.7</v>
      </c>
      <c r="P37" t="s">
        <v>3275</v>
      </c>
    </row>
    <row r="38" spans="1:16" x14ac:dyDescent="0.25">
      <c r="A38" t="s">
        <v>1645</v>
      </c>
      <c r="B38" s="1">
        <v>45728.664583333331</v>
      </c>
      <c r="C38" t="s">
        <v>3274</v>
      </c>
      <c r="D38" t="s">
        <v>999</v>
      </c>
      <c r="E38" t="s">
        <v>813</v>
      </c>
      <c r="F38" t="s">
        <v>1257</v>
      </c>
      <c r="G38" t="s">
        <v>1026</v>
      </c>
      <c r="H38" t="str" cm="1">
        <f t="array" ref="H38">IF(AND(G38="",
      C38="Receipt"),
      _xlfn.XLOOKUP(1,
      (purchase_order_lines_coldchain!A38:A1036 = F38) *
      (purchase_order_lines_coldchain!G38:G1036 = E38) *
      (purchase_order_lines_coldchain!D38:D1036 = D38),
      purchase_order_lines_coldchain!B$2:B$1000,
      _xlfn.XLOOKUP(F38,purchase_order_lines_coldchain!A$2:A1036,
      purchase_order_lines_coldchain!B$2:B1036)),
      "")</f>
        <v/>
      </c>
      <c r="I38" t="str">
        <f t="shared" si="0"/>
        <v>PO000042</v>
      </c>
      <c r="J38" t="s">
        <v>1646</v>
      </c>
      <c r="K38" s="11">
        <v>46</v>
      </c>
      <c r="L38" s="11">
        <v>46</v>
      </c>
      <c r="M38" s="14">
        <v>5.59</v>
      </c>
      <c r="N38" s="14">
        <v>257.14</v>
      </c>
      <c r="O38">
        <v>5.3</v>
      </c>
      <c r="P38" t="s">
        <v>3275</v>
      </c>
    </row>
    <row r="39" spans="1:16" x14ac:dyDescent="0.25">
      <c r="A39" t="s">
        <v>1647</v>
      </c>
      <c r="B39" s="1">
        <v>45693.381944444445</v>
      </c>
      <c r="C39" t="s">
        <v>3274</v>
      </c>
      <c r="D39" t="s">
        <v>990</v>
      </c>
      <c r="E39" t="s">
        <v>466</v>
      </c>
      <c r="F39" t="s">
        <v>1377</v>
      </c>
      <c r="G39" t="s">
        <v>1067</v>
      </c>
      <c r="H39" t="str" cm="1">
        <f t="array" ref="H39">IF(AND(G39="",
      C39="Receipt"),
      _xlfn.XLOOKUP(1,
      (purchase_order_lines_coldchain!A39:A1037 = F39) *
      (purchase_order_lines_coldchain!G39:G1037 = E39) *
      (purchase_order_lines_coldchain!D39:D1037 = D39),
      purchase_order_lines_coldchain!B$2:B$1000,
      _xlfn.XLOOKUP(F39,purchase_order_lines_coldchain!A$2:A1037,
      purchase_order_lines_coldchain!B$2:B1037)),
      "")</f>
        <v/>
      </c>
      <c r="I39" t="str">
        <f t="shared" si="0"/>
        <v>PO000083</v>
      </c>
      <c r="J39" t="s">
        <v>1648</v>
      </c>
      <c r="K39" s="11">
        <v>180</v>
      </c>
      <c r="L39" s="11">
        <v>180</v>
      </c>
      <c r="M39" s="14">
        <v>8.0500000000000007</v>
      </c>
      <c r="N39" s="14">
        <v>1449</v>
      </c>
      <c r="O39">
        <v>5.0999999999999996</v>
      </c>
      <c r="P39" t="s">
        <v>3275</v>
      </c>
    </row>
    <row r="40" spans="1:16" x14ac:dyDescent="0.25">
      <c r="A40" t="s">
        <v>1649</v>
      </c>
      <c r="B40" s="1">
        <v>45687.538194444445</v>
      </c>
      <c r="C40" t="s">
        <v>3274</v>
      </c>
      <c r="D40" t="s">
        <v>996</v>
      </c>
      <c r="E40" t="s">
        <v>536</v>
      </c>
      <c r="F40" t="s">
        <v>1434</v>
      </c>
      <c r="G40" t="s">
        <v>1088</v>
      </c>
      <c r="H40" t="str" cm="1">
        <f t="array" ref="H40">IF(AND(G40="",
      C40="Receipt"),
      _xlfn.XLOOKUP(1,
      (purchase_order_lines_coldchain!A40:A1038 = F40) *
      (purchase_order_lines_coldchain!G40:G1038 = E40) *
      (purchase_order_lines_coldchain!D40:D1038 = D40),
      purchase_order_lines_coldchain!B$2:B$1000,
      _xlfn.XLOOKUP(F40,purchase_order_lines_coldchain!A$2:A1038,
      purchase_order_lines_coldchain!B$2:B1038)),
      "")</f>
        <v/>
      </c>
      <c r="I40" t="str">
        <f t="shared" si="0"/>
        <v>PO000104</v>
      </c>
      <c r="J40" t="s">
        <v>1650</v>
      </c>
      <c r="K40" s="11">
        <v>109</v>
      </c>
      <c r="L40" s="11">
        <v>109</v>
      </c>
      <c r="M40" s="14">
        <v>2.1</v>
      </c>
      <c r="N40" s="14">
        <v>228.9</v>
      </c>
      <c r="O40">
        <v>-0.1</v>
      </c>
      <c r="P40" t="s">
        <v>3275</v>
      </c>
    </row>
    <row r="41" spans="1:16" x14ac:dyDescent="0.25">
      <c r="A41" t="s">
        <v>1651</v>
      </c>
      <c r="B41" s="1">
        <v>45682.797222222223</v>
      </c>
      <c r="C41" t="s">
        <v>3274</v>
      </c>
      <c r="D41" t="s">
        <v>959</v>
      </c>
      <c r="E41" t="s">
        <v>810</v>
      </c>
      <c r="F41" t="s">
        <v>1186</v>
      </c>
      <c r="G41" t="s">
        <v>1001</v>
      </c>
      <c r="H41" t="str" cm="1">
        <f t="array" ref="H41">IF(AND(G41="",
      C41="Receipt"),
      _xlfn.XLOOKUP(1,
      (purchase_order_lines_coldchain!A41:A1039 = F41) *
      (purchase_order_lines_coldchain!G41:G1039 = E41) *
      (purchase_order_lines_coldchain!D41:D1039 = D41),
      purchase_order_lines_coldchain!B$2:B$1000,
      _xlfn.XLOOKUP(F41,purchase_order_lines_coldchain!A$2:A1039,
      purchase_order_lines_coldchain!B$2:B1039)),
      "")</f>
        <v/>
      </c>
      <c r="I41" t="str">
        <f t="shared" si="0"/>
        <v>PO000017</v>
      </c>
      <c r="J41" t="s">
        <v>1652</v>
      </c>
      <c r="K41" s="11">
        <v>166</v>
      </c>
      <c r="L41" s="11">
        <v>166</v>
      </c>
      <c r="M41" s="14">
        <v>11.73</v>
      </c>
      <c r="N41" s="14">
        <v>1947.18</v>
      </c>
      <c r="O41">
        <v>2.5</v>
      </c>
      <c r="P41" t="s">
        <v>3275</v>
      </c>
    </row>
    <row r="42" spans="1:16" x14ac:dyDescent="0.25">
      <c r="A42" t="s">
        <v>1653</v>
      </c>
      <c r="B42" s="1">
        <v>45667.759027777778</v>
      </c>
      <c r="C42" t="s">
        <v>3274</v>
      </c>
      <c r="D42" t="s">
        <v>996</v>
      </c>
      <c r="E42" t="s">
        <v>675</v>
      </c>
      <c r="F42" t="s">
        <v>1181</v>
      </c>
      <c r="G42" t="s">
        <v>995</v>
      </c>
      <c r="H42" t="str" cm="1">
        <f t="array" ref="H42">IF(AND(G42="",
      C42="Receipt"),
      _xlfn.XLOOKUP(1,
      (purchase_order_lines_coldchain!A42:A1040 = F42) *
      (purchase_order_lines_coldchain!G42:G1040 = E42) *
      (purchase_order_lines_coldchain!D42:D1040 = D42),
      purchase_order_lines_coldchain!B$2:B$1000,
      _xlfn.XLOOKUP(F42,purchase_order_lines_coldchain!A$2:A1040,
      purchase_order_lines_coldchain!B$2:B1040)),
      "")</f>
        <v/>
      </c>
      <c r="I42" t="str">
        <f t="shared" si="0"/>
        <v>PO000015</v>
      </c>
      <c r="J42" t="s">
        <v>1654</v>
      </c>
      <c r="K42" s="11">
        <v>13</v>
      </c>
      <c r="L42" s="11">
        <v>13</v>
      </c>
      <c r="M42" s="14">
        <v>6.92</v>
      </c>
      <c r="N42" s="14">
        <v>89.96</v>
      </c>
      <c r="O42">
        <v>1</v>
      </c>
      <c r="P42" t="s">
        <v>3275</v>
      </c>
    </row>
    <row r="43" spans="1:16" x14ac:dyDescent="0.25">
      <c r="A43" t="s">
        <v>1655</v>
      </c>
      <c r="B43" s="1">
        <v>45738.907638888886</v>
      </c>
      <c r="C43" t="s">
        <v>3274</v>
      </c>
      <c r="D43" t="s">
        <v>964</v>
      </c>
      <c r="E43" t="s">
        <v>681</v>
      </c>
      <c r="F43" t="s">
        <v>1550</v>
      </c>
      <c r="G43" t="s">
        <v>1130</v>
      </c>
      <c r="H43" t="str" cm="1">
        <f t="array" ref="H43">IF(AND(G43="",
      C43="Receipt"),
      _xlfn.XLOOKUP(1,
      (purchase_order_lines_coldchain!A43:A1041 = F43) *
      (purchase_order_lines_coldchain!G43:G1041 = E43) *
      (purchase_order_lines_coldchain!D43:D1041 = D43),
      purchase_order_lines_coldchain!B$2:B$1000,
      _xlfn.XLOOKUP(F43,purchase_order_lines_coldchain!A$2:A1041,
      purchase_order_lines_coldchain!B$2:B1041)),
      "")</f>
        <v/>
      </c>
      <c r="I43" t="str">
        <f t="shared" si="0"/>
        <v>PO000146</v>
      </c>
      <c r="J43" t="s">
        <v>1656</v>
      </c>
      <c r="K43" s="11">
        <v>82</v>
      </c>
      <c r="L43" s="11">
        <v>82</v>
      </c>
      <c r="M43" s="14">
        <v>4.59</v>
      </c>
      <c r="N43" s="14">
        <v>376.38</v>
      </c>
      <c r="O43">
        <v>1.9</v>
      </c>
      <c r="P43" t="s">
        <v>3275</v>
      </c>
    </row>
    <row r="44" spans="1:16" x14ac:dyDescent="0.25">
      <c r="A44" t="s">
        <v>1657</v>
      </c>
      <c r="B44" s="1">
        <v>45691.463194444441</v>
      </c>
      <c r="C44" t="s">
        <v>3274</v>
      </c>
      <c r="D44" t="s">
        <v>959</v>
      </c>
      <c r="E44" t="s">
        <v>888</v>
      </c>
      <c r="F44" t="s">
        <v>1143</v>
      </c>
      <c r="G44" t="s">
        <v>958</v>
      </c>
      <c r="H44" t="str" cm="1">
        <f t="array" ref="H44">IF(AND(G44="",
      C44="Receipt"),
      _xlfn.XLOOKUP(1,
      (purchase_order_lines_coldchain!A44:A1042 = F44) *
      (purchase_order_lines_coldchain!G44:G1042 = E44) *
      (purchase_order_lines_coldchain!D44:D1042 = D44),
      purchase_order_lines_coldchain!B$2:B$1000,
      _xlfn.XLOOKUP(F44,purchase_order_lines_coldchain!A$2:A1042,
      purchase_order_lines_coldchain!B$2:B1042)),
      "")</f>
        <v/>
      </c>
      <c r="I44" t="str">
        <f t="shared" si="0"/>
        <v>PO000001</v>
      </c>
      <c r="J44" t="s">
        <v>1658</v>
      </c>
      <c r="K44" s="11">
        <v>144</v>
      </c>
      <c r="L44" s="11">
        <v>144</v>
      </c>
      <c r="M44" s="14">
        <v>4.05</v>
      </c>
      <c r="N44" s="14">
        <v>583.20000000000005</v>
      </c>
      <c r="O44">
        <v>2.1</v>
      </c>
      <c r="P44" t="s">
        <v>3275</v>
      </c>
    </row>
    <row r="45" spans="1:16" x14ac:dyDescent="0.25">
      <c r="A45" t="s">
        <v>1659</v>
      </c>
      <c r="B45" s="1">
        <v>45713.463888888888</v>
      </c>
      <c r="C45" t="s">
        <v>3274</v>
      </c>
      <c r="D45" t="s">
        <v>972</v>
      </c>
      <c r="E45" t="s">
        <v>630</v>
      </c>
      <c r="F45" t="s">
        <v>1344</v>
      </c>
      <c r="G45" t="s">
        <v>1056</v>
      </c>
      <c r="H45" t="str" cm="1">
        <f t="array" ref="H45">IF(AND(G45="",
      C45="Receipt"),
      _xlfn.XLOOKUP(1,
      (purchase_order_lines_coldchain!A45:A1043 = F45) *
      (purchase_order_lines_coldchain!G45:G1043 = E45) *
      (purchase_order_lines_coldchain!D45:D1043 = D45),
      purchase_order_lines_coldchain!B$2:B$1000,
      _xlfn.XLOOKUP(F45,purchase_order_lines_coldchain!A$2:A1043,
      purchase_order_lines_coldchain!B$2:B1043)),
      "")</f>
        <v/>
      </c>
      <c r="I45" t="str">
        <f t="shared" si="0"/>
        <v>PO000072</v>
      </c>
      <c r="J45" t="s">
        <v>1660</v>
      </c>
      <c r="K45" s="11">
        <v>133</v>
      </c>
      <c r="L45" s="11">
        <v>133</v>
      </c>
      <c r="M45" s="14">
        <v>11.25</v>
      </c>
      <c r="N45" s="14">
        <v>1496.25</v>
      </c>
      <c r="O45">
        <v>5.7</v>
      </c>
      <c r="P45" t="s">
        <v>3275</v>
      </c>
    </row>
    <row r="46" spans="1:16" x14ac:dyDescent="0.25">
      <c r="A46" t="s">
        <v>1661</v>
      </c>
      <c r="B46" s="1">
        <v>45747.913888888892</v>
      </c>
      <c r="C46" t="s">
        <v>3274</v>
      </c>
      <c r="D46" t="s">
        <v>987</v>
      </c>
      <c r="E46" t="s">
        <v>449</v>
      </c>
      <c r="F46" t="s">
        <v>1382</v>
      </c>
      <c r="G46" t="s">
        <v>1069</v>
      </c>
      <c r="H46" t="str" cm="1">
        <f t="array" ref="H46">IF(AND(G46="",
      C46="Receipt"),
      _xlfn.XLOOKUP(1,
      (purchase_order_lines_coldchain!A46:A1044 = F46) *
      (purchase_order_lines_coldchain!G46:G1044 = E46) *
      (purchase_order_lines_coldchain!D46:D1044 = D46),
      purchase_order_lines_coldchain!B$2:B$1000,
      _xlfn.XLOOKUP(F46,purchase_order_lines_coldchain!A$2:A1044,
      purchase_order_lines_coldchain!B$2:B1044)),
      "")</f>
        <v/>
      </c>
      <c r="I46" t="str">
        <f t="shared" si="0"/>
        <v>PO000085</v>
      </c>
      <c r="J46" t="s">
        <v>1662</v>
      </c>
      <c r="K46" s="11">
        <v>145</v>
      </c>
      <c r="L46" s="11">
        <v>145</v>
      </c>
      <c r="M46" s="14">
        <v>15.57</v>
      </c>
      <c r="N46" s="14">
        <v>2257.65</v>
      </c>
      <c r="O46">
        <v>6.9</v>
      </c>
      <c r="P46" t="s">
        <v>3275</v>
      </c>
    </row>
    <row r="47" spans="1:16" x14ac:dyDescent="0.25">
      <c r="A47" t="s">
        <v>1663</v>
      </c>
      <c r="B47" s="1">
        <v>45691.952777777777</v>
      </c>
      <c r="C47" t="s">
        <v>3274</v>
      </c>
      <c r="D47" t="s">
        <v>996</v>
      </c>
      <c r="E47" t="s">
        <v>557</v>
      </c>
      <c r="F47" t="s">
        <v>1499</v>
      </c>
      <c r="G47" t="s">
        <v>1112</v>
      </c>
      <c r="H47" t="str" cm="1">
        <f t="array" ref="H47">IF(AND(G47="",
      C47="Receipt"),
      _xlfn.XLOOKUP(1,
      (purchase_order_lines_coldchain!A47:A1045 = F47) *
      (purchase_order_lines_coldchain!G47:G1045 = E47) *
      (purchase_order_lines_coldchain!D47:D1045 = D47),
      purchase_order_lines_coldchain!B$2:B$1000,
      _xlfn.XLOOKUP(F47,purchase_order_lines_coldchain!A$2:A1045,
      purchase_order_lines_coldchain!B$2:B1045)),
      "")</f>
        <v/>
      </c>
      <c r="I47" t="str">
        <f t="shared" si="0"/>
        <v>PO000128</v>
      </c>
      <c r="J47" t="s">
        <v>1664</v>
      </c>
      <c r="K47" s="11">
        <v>152</v>
      </c>
      <c r="L47" s="11">
        <v>152</v>
      </c>
      <c r="M47" s="14">
        <v>1.84</v>
      </c>
      <c r="N47" s="14">
        <v>279.68</v>
      </c>
      <c r="O47">
        <v>4.5999999999999996</v>
      </c>
      <c r="P47" t="s">
        <v>3275</v>
      </c>
    </row>
    <row r="48" spans="1:16" x14ac:dyDescent="0.25">
      <c r="A48" t="s">
        <v>1665</v>
      </c>
      <c r="B48" s="1">
        <v>45738.900694444441</v>
      </c>
      <c r="C48" t="s">
        <v>3274</v>
      </c>
      <c r="D48" t="s">
        <v>996</v>
      </c>
      <c r="E48" t="s">
        <v>777</v>
      </c>
      <c r="F48" t="s">
        <v>1342</v>
      </c>
      <c r="G48" t="s">
        <v>1055</v>
      </c>
      <c r="H48" t="str" cm="1">
        <f t="array" ref="H48">IF(AND(G48="",
      C48="Receipt"),
      _xlfn.XLOOKUP(1,
      (purchase_order_lines_coldchain!A48:A1046 = F48) *
      (purchase_order_lines_coldchain!G48:G1046 = E48) *
      (purchase_order_lines_coldchain!D48:D1046 = D48),
      purchase_order_lines_coldchain!B$2:B$1000,
      _xlfn.XLOOKUP(F48,purchase_order_lines_coldchain!A$2:A1046,
      purchase_order_lines_coldchain!B$2:B1046)),
      "")</f>
        <v/>
      </c>
      <c r="I48" t="str">
        <f t="shared" si="0"/>
        <v>PO000071</v>
      </c>
      <c r="J48" t="s">
        <v>1666</v>
      </c>
      <c r="K48" s="11">
        <v>170</v>
      </c>
      <c r="L48" s="11">
        <v>170</v>
      </c>
      <c r="M48" s="14">
        <v>15.48</v>
      </c>
      <c r="N48" s="14">
        <v>2631.6</v>
      </c>
      <c r="O48">
        <v>2.7</v>
      </c>
      <c r="P48" t="s">
        <v>3275</v>
      </c>
    </row>
    <row r="49" spans="1:16" x14ac:dyDescent="0.25">
      <c r="A49" t="s">
        <v>1667</v>
      </c>
      <c r="B49" s="1">
        <v>45701.119444444441</v>
      </c>
      <c r="C49" t="s">
        <v>3274</v>
      </c>
      <c r="D49" t="s">
        <v>976</v>
      </c>
      <c r="E49" t="s">
        <v>597</v>
      </c>
      <c r="F49" t="s">
        <v>1400</v>
      </c>
      <c r="G49" t="s">
        <v>1076</v>
      </c>
      <c r="H49" t="str" cm="1">
        <f t="array" ref="H49">IF(AND(G49="",
      C49="Receipt"),
      _xlfn.XLOOKUP(1,
      (purchase_order_lines_coldchain!A49:A1047 = F49) *
      (purchase_order_lines_coldchain!G49:G1047 = E49) *
      (purchase_order_lines_coldchain!D49:D1047 = D49),
      purchase_order_lines_coldchain!B$2:B$1000,
      _xlfn.XLOOKUP(F49,purchase_order_lines_coldchain!A$2:A1047,
      purchase_order_lines_coldchain!B$2:B1047)),
      "")</f>
        <v/>
      </c>
      <c r="I49" t="str">
        <f t="shared" si="0"/>
        <v>PO000092</v>
      </c>
      <c r="J49" t="s">
        <v>1668</v>
      </c>
      <c r="K49" s="11">
        <v>54</v>
      </c>
      <c r="L49" s="11">
        <v>54</v>
      </c>
      <c r="M49" s="14">
        <v>2.82</v>
      </c>
      <c r="N49" s="14">
        <v>152.28</v>
      </c>
      <c r="O49">
        <v>4.2</v>
      </c>
      <c r="P49" t="s">
        <v>3275</v>
      </c>
    </row>
    <row r="50" spans="1:16" x14ac:dyDescent="0.25">
      <c r="A50" t="s">
        <v>1669</v>
      </c>
      <c r="B50" s="1">
        <v>45691.577777777777</v>
      </c>
      <c r="C50" t="s">
        <v>3274</v>
      </c>
      <c r="D50" t="s">
        <v>996</v>
      </c>
      <c r="E50" t="s">
        <v>557</v>
      </c>
      <c r="F50" t="s">
        <v>1500</v>
      </c>
      <c r="G50" t="s">
        <v>1112</v>
      </c>
      <c r="H50" t="str" cm="1">
        <f t="array" ref="H50">IF(AND(G50="",
      C50="Receipt"),
      _xlfn.XLOOKUP(1,
      (purchase_order_lines_coldchain!A50:A1048 = F50) *
      (purchase_order_lines_coldchain!G50:G1048 = E50) *
      (purchase_order_lines_coldchain!D50:D1048 = D50),
      purchase_order_lines_coldchain!B$2:B$1000,
      _xlfn.XLOOKUP(F50,purchase_order_lines_coldchain!A$2:A1048,
      purchase_order_lines_coldchain!B$2:B1048)),
      "")</f>
        <v/>
      </c>
      <c r="I50" t="str">
        <f t="shared" si="0"/>
        <v>PO000128</v>
      </c>
      <c r="J50" t="s">
        <v>1670</v>
      </c>
      <c r="K50" s="11">
        <v>89</v>
      </c>
      <c r="L50" s="11">
        <v>89</v>
      </c>
      <c r="M50" s="14">
        <v>1.81</v>
      </c>
      <c r="N50" s="14">
        <v>161.09</v>
      </c>
      <c r="O50">
        <v>7.7</v>
      </c>
      <c r="P50" t="s">
        <v>3275</v>
      </c>
    </row>
    <row r="51" spans="1:16" x14ac:dyDescent="0.25">
      <c r="A51" t="s">
        <v>1671</v>
      </c>
      <c r="B51" s="1">
        <v>45719.181250000001</v>
      </c>
      <c r="C51" t="s">
        <v>3274</v>
      </c>
      <c r="D51" t="s">
        <v>996</v>
      </c>
      <c r="E51" t="s">
        <v>639</v>
      </c>
      <c r="F51" t="s">
        <v>1543</v>
      </c>
      <c r="G51" t="s">
        <v>1128</v>
      </c>
      <c r="H51" t="str" cm="1">
        <f t="array" ref="H51">IF(AND(G51="",
      C51="Receipt"),
      _xlfn.XLOOKUP(1,
      (purchase_order_lines_coldchain!A51:A1049 = F51) *
      (purchase_order_lines_coldchain!G51:G1049 = E51) *
      (purchase_order_lines_coldchain!D51:D1049 = D51),
      purchase_order_lines_coldchain!B$2:B$1000,
      _xlfn.XLOOKUP(F51,purchase_order_lines_coldchain!A$2:A1049,
      purchase_order_lines_coldchain!B$2:B1049)),
      "")</f>
        <v/>
      </c>
      <c r="I51" t="str">
        <f t="shared" si="0"/>
        <v>PO000144</v>
      </c>
      <c r="J51" t="s">
        <v>1672</v>
      </c>
      <c r="K51" s="11">
        <v>191</v>
      </c>
      <c r="L51" s="11">
        <v>191</v>
      </c>
      <c r="M51" s="14">
        <v>15.38</v>
      </c>
      <c r="N51" s="14">
        <v>2937.58</v>
      </c>
      <c r="O51">
        <v>2.1</v>
      </c>
      <c r="P51" t="s">
        <v>3275</v>
      </c>
    </row>
    <row r="52" spans="1:16" x14ac:dyDescent="0.25">
      <c r="A52" t="s">
        <v>1673</v>
      </c>
      <c r="B52" s="1">
        <v>45711.852083333331</v>
      </c>
      <c r="C52" t="s">
        <v>3274</v>
      </c>
      <c r="D52" t="s">
        <v>999</v>
      </c>
      <c r="E52" t="s">
        <v>496</v>
      </c>
      <c r="F52" t="s">
        <v>1245</v>
      </c>
      <c r="G52" t="s">
        <v>1022</v>
      </c>
      <c r="H52" t="str" cm="1">
        <f t="array" ref="H52">IF(AND(G52="",
      C52="Receipt"),
      _xlfn.XLOOKUP(1,
      (purchase_order_lines_coldchain!A52:A1050 = F52) *
      (purchase_order_lines_coldchain!G52:G1050 = E52) *
      (purchase_order_lines_coldchain!D52:D1050 = D52),
      purchase_order_lines_coldchain!B$2:B$1000,
      _xlfn.XLOOKUP(F52,purchase_order_lines_coldchain!A$2:A1050,
      purchase_order_lines_coldchain!B$2:B1050)),
      "")</f>
        <v/>
      </c>
      <c r="I52" t="str">
        <f t="shared" si="0"/>
        <v>PO000038</v>
      </c>
      <c r="J52" t="s">
        <v>1674</v>
      </c>
      <c r="K52" s="11">
        <v>108</v>
      </c>
      <c r="L52" s="11">
        <v>108</v>
      </c>
      <c r="M52" s="14">
        <v>7.65</v>
      </c>
      <c r="N52" s="14">
        <v>826.2</v>
      </c>
      <c r="O52">
        <v>3.3</v>
      </c>
      <c r="P52" t="s">
        <v>3275</v>
      </c>
    </row>
    <row r="53" spans="1:16" x14ac:dyDescent="0.25">
      <c r="A53" t="s">
        <v>1675</v>
      </c>
      <c r="B53" s="1">
        <v>45732.777083333334</v>
      </c>
      <c r="C53" t="s">
        <v>3274</v>
      </c>
      <c r="D53" t="s">
        <v>964</v>
      </c>
      <c r="E53" t="s">
        <v>615</v>
      </c>
      <c r="F53" t="s">
        <v>1541</v>
      </c>
      <c r="G53" t="s">
        <v>1127</v>
      </c>
      <c r="H53" t="str" cm="1">
        <f t="array" ref="H53">IF(AND(G53="",
      C53="Receipt"),
      _xlfn.XLOOKUP(1,
      (purchase_order_lines_coldchain!A53:A1051 = F53) *
      (purchase_order_lines_coldchain!G53:G1051 = E53) *
      (purchase_order_lines_coldchain!D53:D1051 = D53),
      purchase_order_lines_coldchain!B$2:B$1000,
      _xlfn.XLOOKUP(F53,purchase_order_lines_coldchain!A$2:A1051,
      purchase_order_lines_coldchain!B$2:B1051)),
      "")</f>
        <v/>
      </c>
      <c r="I53" t="str">
        <f t="shared" si="0"/>
        <v>PO000143</v>
      </c>
      <c r="J53" t="s">
        <v>1676</v>
      </c>
      <c r="K53" s="11">
        <v>148</v>
      </c>
      <c r="L53" s="11">
        <v>148</v>
      </c>
      <c r="M53" s="14">
        <v>5.95</v>
      </c>
      <c r="N53" s="14">
        <v>880.6</v>
      </c>
      <c r="O53">
        <v>0.9</v>
      </c>
      <c r="P53" t="s">
        <v>3275</v>
      </c>
    </row>
    <row r="54" spans="1:16" x14ac:dyDescent="0.25">
      <c r="A54" t="s">
        <v>1677</v>
      </c>
      <c r="B54" s="1">
        <v>45739.140277777777</v>
      </c>
      <c r="C54" t="s">
        <v>3274</v>
      </c>
      <c r="D54" t="s">
        <v>959</v>
      </c>
      <c r="E54" t="s">
        <v>606</v>
      </c>
      <c r="F54" t="s">
        <v>1323</v>
      </c>
      <c r="G54" t="s">
        <v>1678</v>
      </c>
      <c r="H54" t="str" cm="1">
        <f t="array" ref="H54">IF(AND(G54="",
      C54="Receipt"),
      _xlfn.XLOOKUP(1,
      (purchase_order_lines_coldchain!A54:A1052 = F54) *
      (purchase_order_lines_coldchain!G54:G1052 = E54) *
      (purchase_order_lines_coldchain!D54:D1052 = D54),
      purchase_order_lines_coldchain!B$2:B$1000,
      _xlfn.XLOOKUP(F54,purchase_order_lines_coldchain!A$2:A1052,
      purchase_order_lines_coldchain!B$2:B1052)),
      "")</f>
        <v>PO000047</v>
      </c>
      <c r="I54" t="str">
        <f t="shared" si="0"/>
        <v>PO000047</v>
      </c>
      <c r="J54" t="s">
        <v>1679</v>
      </c>
      <c r="K54" s="11">
        <v>126</v>
      </c>
      <c r="L54" s="11">
        <v>126</v>
      </c>
      <c r="M54" s="14">
        <v>2.58</v>
      </c>
      <c r="N54" s="14">
        <v>325.08</v>
      </c>
      <c r="O54">
        <v>4.9000000000000004</v>
      </c>
      <c r="P54" t="s">
        <v>3275</v>
      </c>
    </row>
    <row r="55" spans="1:16" x14ac:dyDescent="0.25">
      <c r="A55" t="s">
        <v>1680</v>
      </c>
      <c r="B55" s="1">
        <v>45738.845833333333</v>
      </c>
      <c r="C55" t="s">
        <v>3274</v>
      </c>
      <c r="D55" t="s">
        <v>987</v>
      </c>
      <c r="E55" t="s">
        <v>456</v>
      </c>
      <c r="F55" t="s">
        <v>1475</v>
      </c>
      <c r="G55" t="s">
        <v>1102</v>
      </c>
      <c r="H55" t="str" cm="1">
        <f t="array" ref="H55">IF(AND(G55="",
      C55="Receipt"),
      _xlfn.XLOOKUP(1,
      (purchase_order_lines_coldchain!A55:A1053 = F55) *
      (purchase_order_lines_coldchain!G55:G1053 = E55) *
      (purchase_order_lines_coldchain!D55:D1053 = D55),
      purchase_order_lines_coldchain!B$2:B$1000,
      _xlfn.XLOOKUP(F55,purchase_order_lines_coldchain!A$2:A1053,
      purchase_order_lines_coldchain!B$2:B1053)),
      "")</f>
        <v/>
      </c>
      <c r="I55" t="str">
        <f t="shared" si="0"/>
        <v>PO000118</v>
      </c>
      <c r="J55" t="s">
        <v>1681</v>
      </c>
      <c r="K55" s="11">
        <v>40</v>
      </c>
      <c r="L55" s="11">
        <v>40</v>
      </c>
      <c r="M55" s="14">
        <v>12.33</v>
      </c>
      <c r="N55" s="14">
        <v>493.2</v>
      </c>
      <c r="O55">
        <v>3.6</v>
      </c>
      <c r="P55" t="s">
        <v>3275</v>
      </c>
    </row>
    <row r="56" spans="1:16" x14ac:dyDescent="0.25">
      <c r="A56" t="s">
        <v>1682</v>
      </c>
      <c r="B56" s="1">
        <v>45712.73333333333</v>
      </c>
      <c r="C56" t="s">
        <v>3274</v>
      </c>
      <c r="D56" t="s">
        <v>999</v>
      </c>
      <c r="E56" t="s">
        <v>699</v>
      </c>
      <c r="F56" t="s">
        <v>1421</v>
      </c>
      <c r="G56" t="s">
        <v>1083</v>
      </c>
      <c r="H56" t="str" cm="1">
        <f t="array" ref="H56">IF(AND(G56="",
      C56="Receipt"),
      _xlfn.XLOOKUP(1,
      (purchase_order_lines_coldchain!A56:A1054 = F56) *
      (purchase_order_lines_coldchain!G56:G1054 = E56) *
      (purchase_order_lines_coldchain!D56:D1054 = D56),
      purchase_order_lines_coldchain!B$2:B$1000,
      _xlfn.XLOOKUP(F56,purchase_order_lines_coldchain!A$2:A1054,
      purchase_order_lines_coldchain!B$2:B1054)),
      "")</f>
        <v/>
      </c>
      <c r="I56" t="str">
        <f t="shared" si="0"/>
        <v>PO000099</v>
      </c>
      <c r="J56" t="s">
        <v>1683</v>
      </c>
      <c r="K56" s="11">
        <v>11</v>
      </c>
      <c r="L56" s="11">
        <v>11</v>
      </c>
      <c r="M56" s="14">
        <v>1.8</v>
      </c>
      <c r="N56" s="14">
        <v>19.8</v>
      </c>
      <c r="O56">
        <v>7.7</v>
      </c>
      <c r="P56" t="s">
        <v>3275</v>
      </c>
    </row>
    <row r="57" spans="1:16" x14ac:dyDescent="0.25">
      <c r="A57" t="s">
        <v>1684</v>
      </c>
      <c r="B57" s="1">
        <v>45711.85833333333</v>
      </c>
      <c r="C57" t="s">
        <v>3274</v>
      </c>
      <c r="D57" t="s">
        <v>999</v>
      </c>
      <c r="E57" t="s">
        <v>699</v>
      </c>
      <c r="F57" t="s">
        <v>1423</v>
      </c>
      <c r="G57" t="s">
        <v>1083</v>
      </c>
      <c r="H57" t="str" cm="1">
        <f t="array" ref="H57">IF(AND(G57="",
      C57="Receipt"),
      _xlfn.XLOOKUP(1,
      (purchase_order_lines_coldchain!A57:A1055 = F57) *
      (purchase_order_lines_coldchain!G57:G1055 = E57) *
      (purchase_order_lines_coldchain!D57:D1055 = D57),
      purchase_order_lines_coldchain!B$2:B$1000,
      _xlfn.XLOOKUP(F57,purchase_order_lines_coldchain!A$2:A1055,
      purchase_order_lines_coldchain!B$2:B1055)),
      "")</f>
        <v/>
      </c>
      <c r="I57" t="str">
        <f t="shared" si="0"/>
        <v>PO000099</v>
      </c>
      <c r="J57" t="s">
        <v>1685</v>
      </c>
      <c r="K57" s="11">
        <v>56</v>
      </c>
      <c r="L57" s="11">
        <v>56</v>
      </c>
      <c r="M57" s="14">
        <v>1.74</v>
      </c>
      <c r="N57" s="14">
        <v>97.44</v>
      </c>
      <c r="O57">
        <v>3.7</v>
      </c>
      <c r="P57" t="s">
        <v>3275</v>
      </c>
    </row>
    <row r="58" spans="1:16" x14ac:dyDescent="0.25">
      <c r="A58" t="s">
        <v>1686</v>
      </c>
      <c r="B58" s="1">
        <v>45691.504861111112</v>
      </c>
      <c r="C58" t="s">
        <v>3274</v>
      </c>
      <c r="D58" t="s">
        <v>959</v>
      </c>
      <c r="E58" t="s">
        <v>888</v>
      </c>
      <c r="F58" t="s">
        <v>1141</v>
      </c>
      <c r="G58" t="s">
        <v>958</v>
      </c>
      <c r="H58" t="str" cm="1">
        <f t="array" ref="H58">IF(AND(G58="",
      C58="Receipt"),
      _xlfn.XLOOKUP(1,
      (purchase_order_lines_coldchain!A58:A1056 = F58) *
      (purchase_order_lines_coldchain!G58:G1056 = E58) *
      (purchase_order_lines_coldchain!D58:D1056 = D58),
      purchase_order_lines_coldchain!B$2:B$1000,
      _xlfn.XLOOKUP(F58,purchase_order_lines_coldchain!A$2:A1056,
      purchase_order_lines_coldchain!B$2:B1056)),
      "")</f>
        <v/>
      </c>
      <c r="I58" t="str">
        <f t="shared" si="0"/>
        <v>PO000001</v>
      </c>
      <c r="J58" t="s">
        <v>1687</v>
      </c>
      <c r="K58" s="11">
        <v>84</v>
      </c>
      <c r="L58" s="11">
        <v>84</v>
      </c>
      <c r="M58" s="14">
        <v>3.75</v>
      </c>
      <c r="N58" s="14">
        <v>315</v>
      </c>
      <c r="O58">
        <v>2.6</v>
      </c>
      <c r="P58" t="s">
        <v>3275</v>
      </c>
    </row>
    <row r="59" spans="1:16" x14ac:dyDescent="0.25">
      <c r="A59" t="s">
        <v>1688</v>
      </c>
      <c r="B59" s="1">
        <v>45721.40902777778</v>
      </c>
      <c r="C59" t="s">
        <v>3274</v>
      </c>
      <c r="D59" t="s">
        <v>980</v>
      </c>
      <c r="E59" t="s">
        <v>843</v>
      </c>
      <c r="F59" t="s">
        <v>1328</v>
      </c>
      <c r="G59" t="s">
        <v>1050</v>
      </c>
      <c r="H59" t="str" cm="1">
        <f t="array" ref="H59">IF(AND(G59="",
      C59="Receipt"),
      _xlfn.XLOOKUP(1,
      (purchase_order_lines_coldchain!A59:A1057 = F59) *
      (purchase_order_lines_coldchain!G59:G1057 = E59) *
      (purchase_order_lines_coldchain!D59:D1057 = D59),
      purchase_order_lines_coldchain!B$2:B$1000,
      _xlfn.XLOOKUP(F59,purchase_order_lines_coldchain!A$2:A1057,
      purchase_order_lines_coldchain!B$2:B1057)),
      "")</f>
        <v/>
      </c>
      <c r="I59" t="str">
        <f t="shared" si="0"/>
        <v>PO000066</v>
      </c>
      <c r="J59" t="s">
        <v>1689</v>
      </c>
      <c r="K59" s="11">
        <v>106</v>
      </c>
      <c r="L59" s="11">
        <v>106</v>
      </c>
      <c r="M59" s="14">
        <v>8.4600000000000009</v>
      </c>
      <c r="N59" s="14">
        <v>896.76</v>
      </c>
      <c r="O59">
        <v>4.0999999999999996</v>
      </c>
      <c r="P59" t="s">
        <v>3275</v>
      </c>
    </row>
    <row r="60" spans="1:16" x14ac:dyDescent="0.25">
      <c r="A60" t="s">
        <v>1690</v>
      </c>
      <c r="B60" s="1">
        <v>45712.856249999997</v>
      </c>
      <c r="C60" t="s">
        <v>3274</v>
      </c>
      <c r="D60" t="s">
        <v>987</v>
      </c>
      <c r="E60" t="s">
        <v>567</v>
      </c>
      <c r="F60" t="s">
        <v>1481</v>
      </c>
      <c r="G60" t="s">
        <v>1104</v>
      </c>
      <c r="H60" t="str" cm="1">
        <f t="array" ref="H60">IF(AND(G60="",
      C60="Receipt"),
      _xlfn.XLOOKUP(1,
      (purchase_order_lines_coldchain!A60:A1058 = F60) *
      (purchase_order_lines_coldchain!G60:G1058 = E60) *
      (purchase_order_lines_coldchain!D60:D1058 = D60),
      purchase_order_lines_coldchain!B$2:B$1000,
      _xlfn.XLOOKUP(F60,purchase_order_lines_coldchain!A$2:A1058,
      purchase_order_lines_coldchain!B$2:B1058)),
      "")</f>
        <v/>
      </c>
      <c r="I60" t="str">
        <f t="shared" si="0"/>
        <v>PO000120</v>
      </c>
      <c r="J60" t="s">
        <v>1691</v>
      </c>
      <c r="K60" s="11">
        <v>53</v>
      </c>
      <c r="L60" s="11">
        <v>53</v>
      </c>
      <c r="M60" s="14">
        <v>1.61</v>
      </c>
      <c r="N60" s="14">
        <v>85.33</v>
      </c>
      <c r="O60">
        <v>5.3</v>
      </c>
      <c r="P60" t="s">
        <v>3275</v>
      </c>
    </row>
    <row r="61" spans="1:16" x14ac:dyDescent="0.25">
      <c r="A61" t="s">
        <v>1692</v>
      </c>
      <c r="B61" s="1">
        <v>45728.247916666667</v>
      </c>
      <c r="C61" t="s">
        <v>3274</v>
      </c>
      <c r="D61" t="s">
        <v>999</v>
      </c>
      <c r="E61" t="s">
        <v>813</v>
      </c>
      <c r="F61" t="s">
        <v>1256</v>
      </c>
      <c r="G61" t="s">
        <v>1026</v>
      </c>
      <c r="H61" t="str" cm="1">
        <f t="array" ref="H61">IF(AND(G61="",
      C61="Receipt"),
      _xlfn.XLOOKUP(1,
      (purchase_order_lines_coldchain!A61:A1059 = F61) *
      (purchase_order_lines_coldchain!G61:G1059 = E61) *
      (purchase_order_lines_coldchain!D61:D1059 = D61),
      purchase_order_lines_coldchain!B$2:B$1000,
      _xlfn.XLOOKUP(F61,purchase_order_lines_coldchain!A$2:A1059,
      purchase_order_lines_coldchain!B$2:B1059)),
      "")</f>
        <v/>
      </c>
      <c r="I61" t="str">
        <f t="shared" si="0"/>
        <v>PO000042</v>
      </c>
      <c r="J61" t="s">
        <v>1693</v>
      </c>
      <c r="K61" s="11">
        <v>163</v>
      </c>
      <c r="L61" s="11">
        <v>163</v>
      </c>
      <c r="M61" s="14">
        <v>5.64</v>
      </c>
      <c r="N61" s="14">
        <v>919.32</v>
      </c>
      <c r="O61">
        <v>4.5999999999999996</v>
      </c>
      <c r="P61" t="s">
        <v>3275</v>
      </c>
    </row>
    <row r="62" spans="1:16" x14ac:dyDescent="0.25">
      <c r="A62" t="s">
        <v>1694</v>
      </c>
      <c r="B62" s="1">
        <v>45733.652777777781</v>
      </c>
      <c r="C62" t="s">
        <v>3274</v>
      </c>
      <c r="D62" t="s">
        <v>976</v>
      </c>
      <c r="E62" t="s">
        <v>413</v>
      </c>
      <c r="F62" t="s">
        <v>1253</v>
      </c>
      <c r="G62" t="s">
        <v>1025</v>
      </c>
      <c r="H62" t="str" cm="1">
        <f t="array" ref="H62">IF(AND(G62="",
      C62="Receipt"),
      _xlfn.XLOOKUP(1,
      (purchase_order_lines_coldchain!A62:A1060 = F62) *
      (purchase_order_lines_coldchain!G62:G1060 = E62) *
      (purchase_order_lines_coldchain!D62:D1060 = D62),
      purchase_order_lines_coldchain!B$2:B$1000,
      _xlfn.XLOOKUP(F62,purchase_order_lines_coldchain!A$2:A1060,
      purchase_order_lines_coldchain!B$2:B1060)),
      "")</f>
        <v/>
      </c>
      <c r="I62" t="str">
        <f t="shared" si="0"/>
        <v>PO000041</v>
      </c>
      <c r="J62" t="s">
        <v>1695</v>
      </c>
      <c r="K62" s="11">
        <v>67</v>
      </c>
      <c r="L62" s="11">
        <v>67</v>
      </c>
      <c r="M62" s="14">
        <v>2.15</v>
      </c>
      <c r="N62" s="14">
        <v>144.05000000000001</v>
      </c>
      <c r="O62">
        <v>3</v>
      </c>
      <c r="P62" t="s">
        <v>3275</v>
      </c>
    </row>
    <row r="63" spans="1:16" x14ac:dyDescent="0.25">
      <c r="A63" t="s">
        <v>1696</v>
      </c>
      <c r="B63" s="1">
        <v>45668.77847222222</v>
      </c>
      <c r="C63" t="s">
        <v>3274</v>
      </c>
      <c r="D63" t="s">
        <v>968</v>
      </c>
      <c r="E63" t="s">
        <v>939</v>
      </c>
      <c r="F63" t="s">
        <v>1146</v>
      </c>
      <c r="G63" t="s">
        <v>967</v>
      </c>
      <c r="H63" t="str" cm="1">
        <f t="array" ref="H63">IF(AND(G63="",
      C63="Receipt"),
      _xlfn.XLOOKUP(1,
      (purchase_order_lines_coldchain!A63:A1061 = F63) *
      (purchase_order_lines_coldchain!G63:G1061 = E63) *
      (purchase_order_lines_coldchain!D63:D1061 = D63),
      purchase_order_lines_coldchain!B$2:B$1000,
      _xlfn.XLOOKUP(F63,purchase_order_lines_coldchain!A$2:A1061,
      purchase_order_lines_coldchain!B$2:B1061)),
      "")</f>
        <v/>
      </c>
      <c r="I63" t="str">
        <f t="shared" si="0"/>
        <v>PO000003</v>
      </c>
      <c r="J63" t="s">
        <v>1697</v>
      </c>
      <c r="K63" s="11">
        <v>49</v>
      </c>
      <c r="L63" s="11">
        <v>49</v>
      </c>
      <c r="M63" s="14">
        <v>3.96</v>
      </c>
      <c r="N63" s="14">
        <v>194.04</v>
      </c>
      <c r="O63">
        <v>3.5</v>
      </c>
      <c r="P63" t="s">
        <v>3275</v>
      </c>
    </row>
    <row r="64" spans="1:16" x14ac:dyDescent="0.25">
      <c r="A64" t="s">
        <v>1698</v>
      </c>
      <c r="B64" s="1">
        <v>45665.182638888888</v>
      </c>
      <c r="C64" t="s">
        <v>3274</v>
      </c>
      <c r="D64" t="s">
        <v>987</v>
      </c>
      <c r="E64" t="s">
        <v>520</v>
      </c>
      <c r="F64" t="s">
        <v>1246</v>
      </c>
      <c r="G64" t="s">
        <v>1023</v>
      </c>
      <c r="H64" t="str" cm="1">
        <f t="array" ref="H64">IF(AND(G64="",
      C64="Receipt"),
      _xlfn.XLOOKUP(1,
      (purchase_order_lines_coldchain!A64:A1062 = F64) *
      (purchase_order_lines_coldchain!G64:G1062 = E64) *
      (purchase_order_lines_coldchain!D64:D1062 = D64),
      purchase_order_lines_coldchain!B$2:B$1000,
      _xlfn.XLOOKUP(F64,purchase_order_lines_coldchain!A$2:A1062,
      purchase_order_lines_coldchain!B$2:B1062)),
      "")</f>
        <v/>
      </c>
      <c r="I64" t="str">
        <f t="shared" si="0"/>
        <v>PO000039</v>
      </c>
      <c r="J64" t="s">
        <v>1699</v>
      </c>
      <c r="K64" s="11">
        <v>178</v>
      </c>
      <c r="L64" s="11">
        <v>178</v>
      </c>
      <c r="M64" s="14">
        <v>4.74</v>
      </c>
      <c r="N64" s="14">
        <v>843.72</v>
      </c>
      <c r="O64">
        <v>1.8</v>
      </c>
      <c r="P64" t="s">
        <v>3275</v>
      </c>
    </row>
    <row r="65" spans="1:16" x14ac:dyDescent="0.25">
      <c r="A65" t="s">
        <v>1700</v>
      </c>
      <c r="B65" s="1">
        <v>45678.658333333333</v>
      </c>
      <c r="C65" t="s">
        <v>3274</v>
      </c>
      <c r="D65" t="s">
        <v>959</v>
      </c>
      <c r="E65" t="s">
        <v>699</v>
      </c>
      <c r="F65" t="s">
        <v>1283</v>
      </c>
      <c r="G65" t="s">
        <v>1035</v>
      </c>
      <c r="H65" t="str" cm="1">
        <f t="array" ref="H65">IF(AND(G65="",
      C65="Receipt"),
      _xlfn.XLOOKUP(1,
      (purchase_order_lines_coldchain!A65:A1063 = F65) *
      (purchase_order_lines_coldchain!G65:G1063 = E65) *
      (purchase_order_lines_coldchain!D65:D1063 = D65),
      purchase_order_lines_coldchain!B$2:B$1000,
      _xlfn.XLOOKUP(F65,purchase_order_lines_coldchain!A$2:A1063,
      purchase_order_lines_coldchain!B$2:B1063)),
      "")</f>
        <v/>
      </c>
      <c r="I65" t="str">
        <f t="shared" si="0"/>
        <v>PO000051</v>
      </c>
      <c r="J65" t="s">
        <v>1701</v>
      </c>
      <c r="K65" s="11">
        <v>104</v>
      </c>
      <c r="L65" s="11">
        <v>104</v>
      </c>
      <c r="M65" s="14">
        <v>1.77</v>
      </c>
      <c r="N65" s="14">
        <v>184.08</v>
      </c>
      <c r="O65">
        <v>5.5</v>
      </c>
      <c r="P65" t="s">
        <v>3275</v>
      </c>
    </row>
    <row r="66" spans="1:16" x14ac:dyDescent="0.25">
      <c r="A66" t="s">
        <v>1702</v>
      </c>
      <c r="B66" s="1">
        <v>45675.42291666667</v>
      </c>
      <c r="C66" t="s">
        <v>3274</v>
      </c>
      <c r="D66" t="s">
        <v>987</v>
      </c>
      <c r="E66" t="s">
        <v>663</v>
      </c>
      <c r="F66" t="s">
        <v>1218</v>
      </c>
      <c r="G66" t="s">
        <v>1012</v>
      </c>
      <c r="H66" t="str" cm="1">
        <f t="array" ref="H66">IF(AND(G66="",
      C66="Receipt"),
      _xlfn.XLOOKUP(1,
      (purchase_order_lines_coldchain!A66:A1064 = F66) *
      (purchase_order_lines_coldchain!G66:G1064 = E66) *
      (purchase_order_lines_coldchain!D66:D1064 = D66),
      purchase_order_lines_coldchain!B$2:B$1000,
      _xlfn.XLOOKUP(F66,purchase_order_lines_coldchain!A$2:A1064,
      purchase_order_lines_coldchain!B$2:B1064)),
      "")</f>
        <v/>
      </c>
      <c r="I66" t="str">
        <f t="shared" ref="I66:I129" si="1">G66 &amp; H66</f>
        <v>PO000028</v>
      </c>
      <c r="J66" t="s">
        <v>1703</v>
      </c>
      <c r="K66" s="11">
        <v>117</v>
      </c>
      <c r="L66" s="11">
        <v>117</v>
      </c>
      <c r="M66" s="14">
        <v>5.46</v>
      </c>
      <c r="N66" s="14">
        <v>638.82000000000005</v>
      </c>
      <c r="O66">
        <v>7.5</v>
      </c>
      <c r="P66" t="s">
        <v>3275</v>
      </c>
    </row>
    <row r="67" spans="1:16" x14ac:dyDescent="0.25">
      <c r="A67" t="s">
        <v>1704</v>
      </c>
      <c r="B67" s="1">
        <v>45722.761805555558</v>
      </c>
      <c r="C67" t="s">
        <v>3274</v>
      </c>
      <c r="D67" t="s">
        <v>980</v>
      </c>
      <c r="E67" t="s">
        <v>831</v>
      </c>
      <c r="F67" t="s">
        <v>1452</v>
      </c>
      <c r="G67" t="s">
        <v>1094</v>
      </c>
      <c r="H67" t="str" cm="1">
        <f t="array" ref="H67">IF(AND(G67="",
      C67="Receipt"),
      _xlfn.XLOOKUP(1,
      (purchase_order_lines_coldchain!A67:A1065 = F67) *
      (purchase_order_lines_coldchain!G67:G1065 = E67) *
      (purchase_order_lines_coldchain!D67:D1065 = D67),
      purchase_order_lines_coldchain!B$2:B$1000,
      _xlfn.XLOOKUP(F67,purchase_order_lines_coldchain!A$2:A1065,
      purchase_order_lines_coldchain!B$2:B1065)),
      "")</f>
        <v/>
      </c>
      <c r="I67" t="str">
        <f t="shared" si="1"/>
        <v>PO000110</v>
      </c>
      <c r="J67" t="s">
        <v>1705</v>
      </c>
      <c r="K67" s="11">
        <v>198</v>
      </c>
      <c r="L67" s="11">
        <v>198</v>
      </c>
      <c r="M67" s="14">
        <v>15.5</v>
      </c>
      <c r="N67" s="14">
        <v>3069</v>
      </c>
      <c r="O67">
        <v>7.6</v>
      </c>
      <c r="P67" t="s">
        <v>3275</v>
      </c>
    </row>
    <row r="68" spans="1:16" x14ac:dyDescent="0.25">
      <c r="A68" t="s">
        <v>1706</v>
      </c>
      <c r="B68" s="1">
        <v>45700.577777777777</v>
      </c>
      <c r="C68" t="s">
        <v>3274</v>
      </c>
      <c r="D68" t="s">
        <v>976</v>
      </c>
      <c r="E68" t="s">
        <v>609</v>
      </c>
      <c r="F68" t="s">
        <v>1401</v>
      </c>
      <c r="G68" t="s">
        <v>1076</v>
      </c>
      <c r="H68" t="str" cm="1">
        <f t="array" ref="H68">IF(AND(G68="",
      C68="Receipt"),
      _xlfn.XLOOKUP(1,
      (purchase_order_lines_coldchain!A68:A1066 = F68) *
      (purchase_order_lines_coldchain!G68:G1066 = E68) *
      (purchase_order_lines_coldchain!D68:D1066 = D68),
      purchase_order_lines_coldchain!B$2:B$1000,
      _xlfn.XLOOKUP(F68,purchase_order_lines_coldchain!A$2:A1066,
      purchase_order_lines_coldchain!B$2:B1066)),
      "")</f>
        <v/>
      </c>
      <c r="I68" t="str">
        <f t="shared" si="1"/>
        <v>PO000092</v>
      </c>
      <c r="J68" t="s">
        <v>1707</v>
      </c>
      <c r="K68" s="11">
        <v>209</v>
      </c>
      <c r="L68" s="11">
        <v>209</v>
      </c>
      <c r="M68" s="14">
        <v>2.7</v>
      </c>
      <c r="N68" s="14">
        <v>564.29999999999995</v>
      </c>
      <c r="O68">
        <v>6.3</v>
      </c>
      <c r="P68" t="s">
        <v>3275</v>
      </c>
    </row>
    <row r="69" spans="1:16" x14ac:dyDescent="0.25">
      <c r="A69" t="s">
        <v>1708</v>
      </c>
      <c r="B69" s="1">
        <v>45732.976388888892</v>
      </c>
      <c r="C69" t="s">
        <v>3274</v>
      </c>
      <c r="D69" t="s">
        <v>976</v>
      </c>
      <c r="E69" t="s">
        <v>551</v>
      </c>
      <c r="F69" t="s">
        <v>1466</v>
      </c>
      <c r="G69" t="s">
        <v>1099</v>
      </c>
      <c r="H69" t="str" cm="1">
        <f t="array" ref="H69">IF(AND(G69="",
      C69="Receipt"),
      _xlfn.XLOOKUP(1,
      (purchase_order_lines_coldchain!A69:A1067 = F69) *
      (purchase_order_lines_coldchain!G69:G1067 = E69) *
      (purchase_order_lines_coldchain!D69:D1067 = D69),
      purchase_order_lines_coldchain!B$2:B$1000,
      _xlfn.XLOOKUP(F69,purchase_order_lines_coldchain!A$2:A1067,
      purchase_order_lines_coldchain!B$2:B1067)),
      "")</f>
        <v/>
      </c>
      <c r="I69" t="str">
        <f t="shared" si="1"/>
        <v>PO000115</v>
      </c>
      <c r="J69" t="s">
        <v>1709</v>
      </c>
      <c r="K69" s="11">
        <v>73</v>
      </c>
      <c r="L69" s="11">
        <v>73</v>
      </c>
      <c r="M69" s="14">
        <v>17.29</v>
      </c>
      <c r="N69" s="14">
        <v>1262.17</v>
      </c>
      <c r="O69">
        <v>8</v>
      </c>
      <c r="P69" t="s">
        <v>3275</v>
      </c>
    </row>
    <row r="70" spans="1:16" x14ac:dyDescent="0.25">
      <c r="A70" t="s">
        <v>1710</v>
      </c>
      <c r="B70" s="1">
        <v>45685.378472222219</v>
      </c>
      <c r="C70" t="s">
        <v>3274</v>
      </c>
      <c r="D70" t="s">
        <v>999</v>
      </c>
      <c r="E70" t="s">
        <v>822</v>
      </c>
      <c r="F70" t="s">
        <v>1464</v>
      </c>
      <c r="G70" t="s">
        <v>1098</v>
      </c>
      <c r="H70" t="str" cm="1">
        <f t="array" ref="H70">IF(AND(G70="",
      C70="Receipt"),
      _xlfn.XLOOKUP(1,
      (purchase_order_lines_coldchain!A70:A1068 = F70) *
      (purchase_order_lines_coldchain!G70:G1068 = E70) *
      (purchase_order_lines_coldchain!D70:D1068 = D70),
      purchase_order_lines_coldchain!B$2:B$1000,
      _xlfn.XLOOKUP(F70,purchase_order_lines_coldchain!A$2:A1068,
      purchase_order_lines_coldchain!B$2:B1068)),
      "")</f>
        <v/>
      </c>
      <c r="I70" t="str">
        <f t="shared" si="1"/>
        <v>PO000114</v>
      </c>
      <c r="J70" t="s">
        <v>1711</v>
      </c>
      <c r="K70" s="11">
        <v>114</v>
      </c>
      <c r="L70" s="11">
        <v>114</v>
      </c>
      <c r="M70" s="14">
        <v>8.93</v>
      </c>
      <c r="N70" s="14">
        <v>1018.02</v>
      </c>
      <c r="O70">
        <v>4</v>
      </c>
      <c r="P70" t="s">
        <v>3275</v>
      </c>
    </row>
    <row r="71" spans="1:16" x14ac:dyDescent="0.25">
      <c r="A71" t="s">
        <v>1712</v>
      </c>
      <c r="B71" s="1">
        <v>45713.393750000003</v>
      </c>
      <c r="C71" t="s">
        <v>3274</v>
      </c>
      <c r="D71" t="s">
        <v>999</v>
      </c>
      <c r="E71" t="s">
        <v>882</v>
      </c>
      <c r="F71" t="s">
        <v>1244</v>
      </c>
      <c r="G71" t="s">
        <v>1022</v>
      </c>
      <c r="H71" t="str" cm="1">
        <f t="array" ref="H71">IF(AND(G71="",
      C71="Receipt"),
      _xlfn.XLOOKUP(1,
      (purchase_order_lines_coldchain!A71:A1069 = F71) *
      (purchase_order_lines_coldchain!G71:G1069 = E71) *
      (purchase_order_lines_coldchain!D71:D1069 = D71),
      purchase_order_lines_coldchain!B$2:B$1000,
      _xlfn.XLOOKUP(F71,purchase_order_lines_coldchain!A$2:A1069,
      purchase_order_lines_coldchain!B$2:B1069)),
      "")</f>
        <v/>
      </c>
      <c r="I71" t="str">
        <f t="shared" si="1"/>
        <v>PO000038</v>
      </c>
      <c r="J71" t="s">
        <v>1713</v>
      </c>
      <c r="K71" s="11">
        <v>15</v>
      </c>
      <c r="L71" s="11">
        <v>15</v>
      </c>
      <c r="M71" s="14">
        <v>3.21</v>
      </c>
      <c r="N71" s="14">
        <v>48.15</v>
      </c>
      <c r="O71">
        <v>4.3</v>
      </c>
      <c r="P71" t="s">
        <v>3275</v>
      </c>
    </row>
    <row r="72" spans="1:16" x14ac:dyDescent="0.25">
      <c r="A72" t="s">
        <v>1714</v>
      </c>
      <c r="B72" s="1">
        <v>45732.68472222222</v>
      </c>
      <c r="C72" t="s">
        <v>3274</v>
      </c>
      <c r="D72" t="s">
        <v>976</v>
      </c>
      <c r="E72" t="s">
        <v>551</v>
      </c>
      <c r="F72" t="s">
        <v>1465</v>
      </c>
      <c r="G72" t="s">
        <v>1099</v>
      </c>
      <c r="H72" t="str" cm="1">
        <f t="array" ref="H72">IF(AND(G72="",
      C72="Receipt"),
      _xlfn.XLOOKUP(1,
      (purchase_order_lines_coldchain!A72:A1070 = F72) *
      (purchase_order_lines_coldchain!G72:G1070 = E72) *
      (purchase_order_lines_coldchain!D72:D1070 = D72),
      purchase_order_lines_coldchain!B$2:B$1000,
      _xlfn.XLOOKUP(F72,purchase_order_lines_coldchain!A$2:A1070,
      purchase_order_lines_coldchain!B$2:B1070)),
      "")</f>
        <v/>
      </c>
      <c r="I72" t="str">
        <f t="shared" si="1"/>
        <v>PO000115</v>
      </c>
      <c r="J72" t="s">
        <v>1715</v>
      </c>
      <c r="K72" s="11">
        <v>189</v>
      </c>
      <c r="L72" s="11">
        <v>189</v>
      </c>
      <c r="M72" s="14">
        <v>17.850000000000001</v>
      </c>
      <c r="N72" s="14">
        <v>3373.65</v>
      </c>
      <c r="O72">
        <v>6.6</v>
      </c>
      <c r="P72" t="s">
        <v>3275</v>
      </c>
    </row>
    <row r="73" spans="1:16" x14ac:dyDescent="0.25">
      <c r="A73" t="s">
        <v>1716</v>
      </c>
      <c r="B73" s="1">
        <v>45699.569444444445</v>
      </c>
      <c r="C73" t="s">
        <v>3274</v>
      </c>
      <c r="D73" t="s">
        <v>987</v>
      </c>
      <c r="E73" t="s">
        <v>440</v>
      </c>
      <c r="F73" t="s">
        <v>1335</v>
      </c>
      <c r="G73" t="s">
        <v>1053</v>
      </c>
      <c r="H73" t="str" cm="1">
        <f t="array" ref="H73">IF(AND(G73="",
      C73="Receipt"),
      _xlfn.XLOOKUP(1,
      (purchase_order_lines_coldchain!A73:A1071 = F73) *
      (purchase_order_lines_coldchain!G73:G1071 = E73) *
      (purchase_order_lines_coldchain!D73:D1071 = D73),
      purchase_order_lines_coldchain!B$2:B$1000,
      _xlfn.XLOOKUP(F73,purchase_order_lines_coldchain!A$2:A1071,
      purchase_order_lines_coldchain!B$2:B1071)),
      "")</f>
        <v/>
      </c>
      <c r="I73" t="str">
        <f t="shared" si="1"/>
        <v>PO000069</v>
      </c>
      <c r="J73" t="s">
        <v>1717</v>
      </c>
      <c r="K73" s="11">
        <v>144</v>
      </c>
      <c r="L73" s="11">
        <v>144</v>
      </c>
      <c r="M73" s="14">
        <v>6.19</v>
      </c>
      <c r="N73" s="14">
        <v>891.36</v>
      </c>
      <c r="O73">
        <v>2.8</v>
      </c>
      <c r="P73" t="s">
        <v>3275</v>
      </c>
    </row>
    <row r="74" spans="1:16" x14ac:dyDescent="0.25">
      <c r="A74" t="s">
        <v>1718</v>
      </c>
      <c r="B74" s="1">
        <v>45680.662499999999</v>
      </c>
      <c r="C74" t="s">
        <v>3274</v>
      </c>
      <c r="D74" t="s">
        <v>990</v>
      </c>
      <c r="E74" t="s">
        <v>557</v>
      </c>
      <c r="F74" t="s">
        <v>1520</v>
      </c>
      <c r="G74" t="s">
        <v>1119</v>
      </c>
      <c r="H74" t="str" cm="1">
        <f t="array" ref="H74">IF(AND(G74="",
      C74="Receipt"),
      _xlfn.XLOOKUP(1,
      (purchase_order_lines_coldchain!A74:A1072 = F74) *
      (purchase_order_lines_coldchain!G74:G1072 = E74) *
      (purchase_order_lines_coldchain!D74:D1072 = D74),
      purchase_order_lines_coldchain!B$2:B$1000,
      _xlfn.XLOOKUP(F74,purchase_order_lines_coldchain!A$2:A1072,
      purchase_order_lines_coldchain!B$2:B1072)),
      "")</f>
        <v/>
      </c>
      <c r="I74" t="str">
        <f t="shared" si="1"/>
        <v>PO000135</v>
      </c>
      <c r="J74" t="s">
        <v>1719</v>
      </c>
      <c r="K74" s="11">
        <v>156</v>
      </c>
      <c r="L74" s="11">
        <v>156</v>
      </c>
      <c r="M74" s="14">
        <v>1.78</v>
      </c>
      <c r="N74" s="14">
        <v>277.68</v>
      </c>
      <c r="O74">
        <v>3.5</v>
      </c>
      <c r="P74" t="s">
        <v>3275</v>
      </c>
    </row>
    <row r="75" spans="1:16" x14ac:dyDescent="0.25">
      <c r="A75" t="s">
        <v>1720</v>
      </c>
      <c r="B75" s="1">
        <v>45747.321527777778</v>
      </c>
      <c r="C75" t="s">
        <v>3274</v>
      </c>
      <c r="D75" t="s">
        <v>996</v>
      </c>
      <c r="E75" t="s">
        <v>449</v>
      </c>
      <c r="F75" t="s">
        <v>1350</v>
      </c>
      <c r="G75" t="s">
        <v>1058</v>
      </c>
      <c r="H75" t="str" cm="1">
        <f t="array" ref="H75">IF(AND(G75="",
      C75="Receipt"),
      _xlfn.XLOOKUP(1,
      (purchase_order_lines_coldchain!A75:A1073 = F75) *
      (purchase_order_lines_coldchain!G75:G1073 = E75) *
      (purchase_order_lines_coldchain!D75:D1073 = D75),
      purchase_order_lines_coldchain!B$2:B$1000,
      _xlfn.XLOOKUP(F75,purchase_order_lines_coldchain!A$2:A1073,
      purchase_order_lines_coldchain!B$2:B1073)),
      "")</f>
        <v/>
      </c>
      <c r="I75" t="str">
        <f t="shared" si="1"/>
        <v>PO000074</v>
      </c>
      <c r="J75" t="s">
        <v>1721</v>
      </c>
      <c r="K75" s="11">
        <v>109</v>
      </c>
      <c r="L75" s="11">
        <v>109</v>
      </c>
      <c r="M75" s="14">
        <v>15.85</v>
      </c>
      <c r="N75" s="14">
        <v>1727.65</v>
      </c>
      <c r="O75">
        <v>6</v>
      </c>
      <c r="P75" t="s">
        <v>3275</v>
      </c>
    </row>
    <row r="76" spans="1:16" x14ac:dyDescent="0.25">
      <c r="A76" t="s">
        <v>1722</v>
      </c>
      <c r="B76" s="1">
        <v>45732.1</v>
      </c>
      <c r="C76" t="s">
        <v>3274</v>
      </c>
      <c r="D76" t="s">
        <v>996</v>
      </c>
      <c r="E76" t="s">
        <v>603</v>
      </c>
      <c r="F76" t="s">
        <v>1281</v>
      </c>
      <c r="G76" t="s">
        <v>1034</v>
      </c>
      <c r="H76" t="str" cm="1">
        <f t="array" ref="H76">IF(AND(G76="",
      C76="Receipt"),
      _xlfn.XLOOKUP(1,
      (purchase_order_lines_coldchain!A76:A1074 = F76) *
      (purchase_order_lines_coldchain!G76:G1074 = E76) *
      (purchase_order_lines_coldchain!D76:D1074 = D76),
      purchase_order_lines_coldchain!B$2:B$1000,
      _xlfn.XLOOKUP(F76,purchase_order_lines_coldchain!A$2:A1074,
      purchase_order_lines_coldchain!B$2:B1074)),
      "")</f>
        <v/>
      </c>
      <c r="I76" t="str">
        <f t="shared" si="1"/>
        <v>PO000050</v>
      </c>
      <c r="J76" t="s">
        <v>1723</v>
      </c>
      <c r="K76" s="11">
        <v>64</v>
      </c>
      <c r="L76" s="11">
        <v>64</v>
      </c>
      <c r="M76" s="14">
        <v>4.8899999999999997</v>
      </c>
      <c r="N76" s="14">
        <v>312.95999999999998</v>
      </c>
      <c r="O76">
        <v>7.3</v>
      </c>
      <c r="P76" t="s">
        <v>3275</v>
      </c>
    </row>
    <row r="77" spans="1:16" x14ac:dyDescent="0.25">
      <c r="A77" t="s">
        <v>1724</v>
      </c>
      <c r="B77" s="1">
        <v>45707.394444444442</v>
      </c>
      <c r="C77" t="s">
        <v>3274</v>
      </c>
      <c r="D77" t="s">
        <v>990</v>
      </c>
      <c r="E77" t="s">
        <v>666</v>
      </c>
      <c r="F77" t="s">
        <v>1170</v>
      </c>
      <c r="G77" t="s">
        <v>989</v>
      </c>
      <c r="H77" t="str" cm="1">
        <f t="array" ref="H77">IF(AND(G77="",
      C77="Receipt"),
      _xlfn.XLOOKUP(1,
      (purchase_order_lines_coldchain!A77:A1075 = F77) *
      (purchase_order_lines_coldchain!G77:G1075 = E77) *
      (purchase_order_lines_coldchain!D77:D1075 = D77),
      purchase_order_lines_coldchain!B$2:B$1000,
      _xlfn.XLOOKUP(F77,purchase_order_lines_coldchain!A$2:A1075,
      purchase_order_lines_coldchain!B$2:B1075)),
      "")</f>
        <v/>
      </c>
      <c r="I77" t="str">
        <f t="shared" si="1"/>
        <v>PO000011</v>
      </c>
      <c r="J77" t="s">
        <v>1725</v>
      </c>
      <c r="K77" s="11">
        <v>85</v>
      </c>
      <c r="L77" s="11">
        <v>85</v>
      </c>
      <c r="M77" s="14">
        <v>14.35</v>
      </c>
      <c r="N77" s="14">
        <v>1219.75</v>
      </c>
      <c r="O77">
        <v>7.2</v>
      </c>
      <c r="P77" t="s">
        <v>3275</v>
      </c>
    </row>
    <row r="78" spans="1:16" x14ac:dyDescent="0.25">
      <c r="A78" t="s">
        <v>1726</v>
      </c>
      <c r="B78" s="1">
        <v>45703.272916666669</v>
      </c>
      <c r="C78" t="s">
        <v>3274</v>
      </c>
      <c r="D78" t="s">
        <v>990</v>
      </c>
      <c r="E78" t="s">
        <v>430</v>
      </c>
      <c r="F78" t="s">
        <v>1513</v>
      </c>
      <c r="G78" t="s">
        <v>1117</v>
      </c>
      <c r="H78" t="str" cm="1">
        <f t="array" ref="H78">IF(AND(G78="",
      C78="Receipt"),
      _xlfn.XLOOKUP(1,
      (purchase_order_lines_coldchain!A78:A1076 = F78) *
      (purchase_order_lines_coldchain!G78:G1076 = E78) *
      (purchase_order_lines_coldchain!D78:D1076 = D78),
      purchase_order_lines_coldchain!B$2:B$1000,
      _xlfn.XLOOKUP(F78,purchase_order_lines_coldchain!A$2:A1076,
      purchase_order_lines_coldchain!B$2:B1076)),
      "")</f>
        <v/>
      </c>
      <c r="I78" t="str">
        <f t="shared" si="1"/>
        <v>PO000133</v>
      </c>
      <c r="J78" t="s">
        <v>1727</v>
      </c>
      <c r="K78" s="11">
        <v>178</v>
      </c>
      <c r="L78" s="11">
        <v>178</v>
      </c>
      <c r="M78" s="14">
        <v>5.07</v>
      </c>
      <c r="N78" s="14">
        <v>902.46</v>
      </c>
      <c r="O78">
        <v>1.3</v>
      </c>
      <c r="P78" t="s">
        <v>3275</v>
      </c>
    </row>
    <row r="79" spans="1:16" x14ac:dyDescent="0.25">
      <c r="A79" t="s">
        <v>1728</v>
      </c>
      <c r="B79" s="1">
        <v>45721.13958333333</v>
      </c>
      <c r="C79" t="s">
        <v>3274</v>
      </c>
      <c r="D79" t="s">
        <v>996</v>
      </c>
      <c r="E79" t="s">
        <v>711</v>
      </c>
      <c r="F79" t="s">
        <v>1545</v>
      </c>
      <c r="G79" t="s">
        <v>1128</v>
      </c>
      <c r="H79" t="str" cm="1">
        <f t="array" ref="H79">IF(AND(G79="",
      C79="Receipt"),
      _xlfn.XLOOKUP(1,
      (purchase_order_lines_coldchain!A79:A1077 = F79) *
      (purchase_order_lines_coldchain!G79:G1077 = E79) *
      (purchase_order_lines_coldchain!D79:D1077 = D79),
      purchase_order_lines_coldchain!B$2:B$1000,
      _xlfn.XLOOKUP(F79,purchase_order_lines_coldchain!A$2:A1077,
      purchase_order_lines_coldchain!B$2:B1077)),
      "")</f>
        <v/>
      </c>
      <c r="I79" t="str">
        <f t="shared" si="1"/>
        <v>PO000144</v>
      </c>
      <c r="J79" t="s">
        <v>1729</v>
      </c>
      <c r="K79" s="11">
        <v>60</v>
      </c>
      <c r="L79" s="11">
        <v>60</v>
      </c>
      <c r="M79" s="14">
        <v>10.86</v>
      </c>
      <c r="N79" s="14">
        <v>651.6</v>
      </c>
      <c r="O79">
        <v>0.9</v>
      </c>
      <c r="P79" t="s">
        <v>3275</v>
      </c>
    </row>
    <row r="80" spans="1:16" x14ac:dyDescent="0.25">
      <c r="A80" t="s">
        <v>1730</v>
      </c>
      <c r="B80" s="1">
        <v>45721.075694444444</v>
      </c>
      <c r="C80" t="s">
        <v>3274</v>
      </c>
      <c r="D80" t="s">
        <v>980</v>
      </c>
      <c r="E80" t="s">
        <v>606</v>
      </c>
      <c r="F80" t="s">
        <v>1327</v>
      </c>
      <c r="G80" t="s">
        <v>1050</v>
      </c>
      <c r="H80" t="str" cm="1">
        <f t="array" ref="H80">IF(AND(G80="",
      C80="Receipt"),
      _xlfn.XLOOKUP(1,
      (purchase_order_lines_coldchain!A80:A1078 = F80) *
      (purchase_order_lines_coldchain!G80:G1078 = E80) *
      (purchase_order_lines_coldchain!D80:D1078 = D80),
      purchase_order_lines_coldchain!B$2:B$1000,
      _xlfn.XLOOKUP(F80,purchase_order_lines_coldchain!A$2:A1078,
      purchase_order_lines_coldchain!B$2:B1078)),
      "")</f>
        <v/>
      </c>
      <c r="I80" t="str">
        <f t="shared" si="1"/>
        <v>PO000066</v>
      </c>
      <c r="J80" t="s">
        <v>1731</v>
      </c>
      <c r="K80" s="11">
        <v>182</v>
      </c>
      <c r="L80" s="11">
        <v>182</v>
      </c>
      <c r="M80" s="14">
        <v>2.65</v>
      </c>
      <c r="N80" s="14">
        <v>482.3</v>
      </c>
      <c r="O80">
        <v>7.2</v>
      </c>
      <c r="P80" t="s">
        <v>3275</v>
      </c>
    </row>
    <row r="81" spans="1:16" x14ac:dyDescent="0.25">
      <c r="A81" t="s">
        <v>1732</v>
      </c>
      <c r="B81" s="1">
        <v>45733.893055555556</v>
      </c>
      <c r="C81" t="s">
        <v>3274</v>
      </c>
      <c r="D81" t="s">
        <v>976</v>
      </c>
      <c r="E81" t="s">
        <v>551</v>
      </c>
      <c r="F81" t="s">
        <v>1467</v>
      </c>
      <c r="G81" t="s">
        <v>1099</v>
      </c>
      <c r="H81" t="str" cm="1">
        <f t="array" ref="H81">IF(AND(G81="",
      C81="Receipt"),
      _xlfn.XLOOKUP(1,
      (purchase_order_lines_coldchain!A81:A1079 = F81) *
      (purchase_order_lines_coldchain!G81:G1079 = E81) *
      (purchase_order_lines_coldchain!D81:D1079 = D81),
      purchase_order_lines_coldchain!B$2:B$1000,
      _xlfn.XLOOKUP(F81,purchase_order_lines_coldchain!A$2:A1079,
      purchase_order_lines_coldchain!B$2:B1079)),
      "")</f>
        <v/>
      </c>
      <c r="I81" t="str">
        <f t="shared" si="1"/>
        <v>PO000115</v>
      </c>
      <c r="J81" t="s">
        <v>1733</v>
      </c>
      <c r="K81" s="11">
        <v>34</v>
      </c>
      <c r="L81" s="11">
        <v>34</v>
      </c>
      <c r="M81" s="14">
        <v>16.95</v>
      </c>
      <c r="N81" s="14">
        <v>576.29999999999995</v>
      </c>
      <c r="O81">
        <v>2.2000000000000002</v>
      </c>
      <c r="P81" t="s">
        <v>3275</v>
      </c>
    </row>
    <row r="82" spans="1:16" x14ac:dyDescent="0.25">
      <c r="A82" t="s">
        <v>1734</v>
      </c>
      <c r="B82" s="1">
        <v>45710.239583333336</v>
      </c>
      <c r="C82" t="s">
        <v>3274</v>
      </c>
      <c r="D82" t="s">
        <v>959</v>
      </c>
      <c r="E82" t="s">
        <v>526</v>
      </c>
      <c r="F82" t="s">
        <v>1173</v>
      </c>
      <c r="G82" t="s">
        <v>992</v>
      </c>
      <c r="H82" t="str" cm="1">
        <f t="array" ref="H82">IF(AND(G82="",
      C82="Receipt"),
      _xlfn.XLOOKUP(1,
      (purchase_order_lines_coldchain!A82:A1080 = F82) *
      (purchase_order_lines_coldchain!G82:G1080 = E82) *
      (purchase_order_lines_coldchain!D82:D1080 = D82),
      purchase_order_lines_coldchain!B$2:B$1000,
      _xlfn.XLOOKUP(F82,purchase_order_lines_coldchain!A$2:A1080,
      purchase_order_lines_coldchain!B$2:B1080)),
      "")</f>
        <v/>
      </c>
      <c r="I82" t="str">
        <f t="shared" si="1"/>
        <v>PO000012</v>
      </c>
      <c r="J82" t="s">
        <v>1735</v>
      </c>
      <c r="K82" s="11">
        <v>129</v>
      </c>
      <c r="L82" s="11">
        <v>129</v>
      </c>
      <c r="M82" s="14">
        <v>11.65</v>
      </c>
      <c r="N82" s="14">
        <v>1502.85</v>
      </c>
      <c r="O82">
        <v>4.4000000000000004</v>
      </c>
      <c r="P82" t="s">
        <v>3275</v>
      </c>
    </row>
    <row r="83" spans="1:16" x14ac:dyDescent="0.25">
      <c r="A83" t="s">
        <v>1736</v>
      </c>
      <c r="B83" s="1">
        <v>45723.39166666667</v>
      </c>
      <c r="C83" t="s">
        <v>3274</v>
      </c>
      <c r="D83" t="s">
        <v>976</v>
      </c>
      <c r="E83" t="s">
        <v>891</v>
      </c>
      <c r="F83" t="s">
        <v>1446</v>
      </c>
      <c r="G83" t="s">
        <v>1092</v>
      </c>
      <c r="H83" t="str" cm="1">
        <f t="array" ref="H83">IF(AND(G83="",
      C83="Receipt"),
      _xlfn.XLOOKUP(1,
      (purchase_order_lines_coldchain!A83:A1081 = F83) *
      (purchase_order_lines_coldchain!G83:G1081 = E83) *
      (purchase_order_lines_coldchain!D83:D1081 = D83),
      purchase_order_lines_coldchain!B$2:B$1000,
      _xlfn.XLOOKUP(F83,purchase_order_lines_coldchain!A$2:A1081,
      purchase_order_lines_coldchain!B$2:B1081)),
      "")</f>
        <v/>
      </c>
      <c r="I83" t="str">
        <f t="shared" si="1"/>
        <v>PO000108</v>
      </c>
      <c r="J83" t="s">
        <v>1737</v>
      </c>
      <c r="K83" s="11">
        <v>21</v>
      </c>
      <c r="L83" s="11">
        <v>21</v>
      </c>
      <c r="M83" s="14">
        <v>9.2799999999999994</v>
      </c>
      <c r="N83" s="14">
        <v>194.88</v>
      </c>
      <c r="O83">
        <v>4.8</v>
      </c>
      <c r="P83" t="s">
        <v>3275</v>
      </c>
    </row>
    <row r="84" spans="1:16" x14ac:dyDescent="0.25">
      <c r="A84" t="s">
        <v>1738</v>
      </c>
      <c r="B84" s="1">
        <v>45697.133333333331</v>
      </c>
      <c r="C84" t="s">
        <v>3274</v>
      </c>
      <c r="D84" t="s">
        <v>968</v>
      </c>
      <c r="E84" t="s">
        <v>666</v>
      </c>
      <c r="F84" t="s">
        <v>1429</v>
      </c>
      <c r="G84" t="s">
        <v>1086</v>
      </c>
      <c r="H84" t="str" cm="1">
        <f t="array" ref="H84">IF(AND(G84="",
      C84="Receipt"),
      _xlfn.XLOOKUP(1,
      (purchase_order_lines_coldchain!A84:A1082 = F84) *
      (purchase_order_lines_coldchain!G84:G1082 = E84) *
      (purchase_order_lines_coldchain!D84:D1082 = D84),
      purchase_order_lines_coldchain!B$2:B$1000,
      _xlfn.XLOOKUP(F84,purchase_order_lines_coldchain!A$2:A1082,
      purchase_order_lines_coldchain!B$2:B1082)),
      "")</f>
        <v/>
      </c>
      <c r="I84" t="str">
        <f t="shared" si="1"/>
        <v>PO000102</v>
      </c>
      <c r="J84" t="s">
        <v>1739</v>
      </c>
      <c r="K84" s="11">
        <v>199</v>
      </c>
      <c r="L84" s="11">
        <v>199</v>
      </c>
      <c r="M84" s="14">
        <v>14.48</v>
      </c>
      <c r="N84" s="14">
        <v>2881.52</v>
      </c>
      <c r="O84">
        <v>4.7</v>
      </c>
      <c r="P84" t="s">
        <v>3275</v>
      </c>
    </row>
    <row r="85" spans="1:16" x14ac:dyDescent="0.25">
      <c r="A85" t="s">
        <v>1740</v>
      </c>
      <c r="B85" s="1">
        <v>45693.459722222222</v>
      </c>
      <c r="C85" t="s">
        <v>3274</v>
      </c>
      <c r="D85" t="s">
        <v>972</v>
      </c>
      <c r="E85" t="s">
        <v>557</v>
      </c>
      <c r="F85" t="s">
        <v>1288</v>
      </c>
      <c r="G85" t="s">
        <v>1037</v>
      </c>
      <c r="H85" t="str" cm="1">
        <f t="array" ref="H85">IF(AND(G85="",
      C85="Receipt"),
      _xlfn.XLOOKUP(1,
      (purchase_order_lines_coldchain!A85:A1083 = F85) *
      (purchase_order_lines_coldchain!G85:G1083 = E85) *
      (purchase_order_lines_coldchain!D85:D1083 = D85),
      purchase_order_lines_coldchain!B$2:B$1000,
      _xlfn.XLOOKUP(F85,purchase_order_lines_coldchain!A$2:A1083,
      purchase_order_lines_coldchain!B$2:B1083)),
      "")</f>
        <v/>
      </c>
      <c r="I85" t="str">
        <f t="shared" si="1"/>
        <v>PO000053</v>
      </c>
      <c r="J85" t="s">
        <v>1741</v>
      </c>
      <c r="K85" s="11">
        <v>147</v>
      </c>
      <c r="L85" s="11">
        <v>147</v>
      </c>
      <c r="M85" s="14">
        <v>1.86</v>
      </c>
      <c r="N85" s="14">
        <v>273.42</v>
      </c>
      <c r="O85">
        <v>7.1</v>
      </c>
      <c r="P85" t="s">
        <v>3275</v>
      </c>
    </row>
    <row r="86" spans="1:16" x14ac:dyDescent="0.25">
      <c r="A86" t="s">
        <v>1742</v>
      </c>
      <c r="B86" s="1">
        <v>45665.89166666667</v>
      </c>
      <c r="C86" t="s">
        <v>3274</v>
      </c>
      <c r="D86" t="s">
        <v>972</v>
      </c>
      <c r="E86" t="s">
        <v>440</v>
      </c>
      <c r="F86" t="s">
        <v>1371</v>
      </c>
      <c r="G86" t="s">
        <v>1065</v>
      </c>
      <c r="H86" t="str" cm="1">
        <f t="array" ref="H86">IF(AND(G86="",
      C86="Receipt"),
      _xlfn.XLOOKUP(1,
      (purchase_order_lines_coldchain!A86:A1084 = F86) *
      (purchase_order_lines_coldchain!G86:G1084 = E86) *
      (purchase_order_lines_coldchain!D86:D1084 = D86),
      purchase_order_lines_coldchain!B$2:B$1000,
      _xlfn.XLOOKUP(F86,purchase_order_lines_coldchain!A$2:A1084,
      purchase_order_lines_coldchain!B$2:B1084)),
      "")</f>
        <v/>
      </c>
      <c r="I86" t="str">
        <f t="shared" si="1"/>
        <v>PO000081</v>
      </c>
      <c r="J86" t="s">
        <v>1743</v>
      </c>
      <c r="K86" s="11">
        <v>29</v>
      </c>
      <c r="L86" s="11">
        <v>29</v>
      </c>
      <c r="M86" s="14">
        <v>6.17</v>
      </c>
      <c r="N86" s="14">
        <v>178.93</v>
      </c>
      <c r="O86">
        <v>2.1</v>
      </c>
      <c r="P86" t="s">
        <v>3275</v>
      </c>
    </row>
    <row r="87" spans="1:16" x14ac:dyDescent="0.25">
      <c r="A87" t="s">
        <v>1744</v>
      </c>
      <c r="B87" s="1">
        <v>45667.65625</v>
      </c>
      <c r="C87" t="s">
        <v>3274</v>
      </c>
      <c r="D87" t="s">
        <v>968</v>
      </c>
      <c r="E87" t="s">
        <v>526</v>
      </c>
      <c r="F87" t="s">
        <v>1356</v>
      </c>
      <c r="G87" t="s">
        <v>1060</v>
      </c>
      <c r="H87" t="str" cm="1">
        <f t="array" ref="H87">IF(AND(G87="",
      C87="Receipt"),
      _xlfn.XLOOKUP(1,
      (purchase_order_lines_coldchain!A87:A1085 = F87) *
      (purchase_order_lines_coldchain!G87:G1085 = E87) *
      (purchase_order_lines_coldchain!D87:D1085 = D87),
      purchase_order_lines_coldchain!B$2:B$1000,
      _xlfn.XLOOKUP(F87,purchase_order_lines_coldchain!A$2:A1085,
      purchase_order_lines_coldchain!B$2:B1085)),
      "")</f>
        <v/>
      </c>
      <c r="I87" t="str">
        <f t="shared" si="1"/>
        <v>PO000076</v>
      </c>
      <c r="J87" t="s">
        <v>1745</v>
      </c>
      <c r="K87" s="11">
        <v>40</v>
      </c>
      <c r="L87" s="11">
        <v>40</v>
      </c>
      <c r="M87" s="14">
        <v>12.58</v>
      </c>
      <c r="N87" s="14">
        <v>503.2</v>
      </c>
      <c r="O87">
        <v>3.6</v>
      </c>
      <c r="P87" t="s">
        <v>3275</v>
      </c>
    </row>
    <row r="88" spans="1:16" x14ac:dyDescent="0.25">
      <c r="A88" t="s">
        <v>1746</v>
      </c>
      <c r="B88" s="1">
        <v>45724.486805555556</v>
      </c>
      <c r="C88" t="s">
        <v>3274</v>
      </c>
      <c r="D88" t="s">
        <v>972</v>
      </c>
      <c r="E88" t="s">
        <v>885</v>
      </c>
      <c r="F88" t="s">
        <v>1354</v>
      </c>
      <c r="G88" t="s">
        <v>1059</v>
      </c>
      <c r="H88" t="str" cm="1">
        <f t="array" ref="H88">IF(AND(G88="",
      C88="Receipt"),
      _xlfn.XLOOKUP(1,
      (purchase_order_lines_coldchain!A88:A1086 = F88) *
      (purchase_order_lines_coldchain!G88:G1086 = E88) *
      (purchase_order_lines_coldchain!D88:D1086 = D88),
      purchase_order_lines_coldchain!B$2:B$1000,
      _xlfn.XLOOKUP(F88,purchase_order_lines_coldchain!A$2:A1086,
      purchase_order_lines_coldchain!B$2:B1086)),
      "")</f>
        <v/>
      </c>
      <c r="I88" t="str">
        <f t="shared" si="1"/>
        <v>PO000075</v>
      </c>
      <c r="J88" t="s">
        <v>1747</v>
      </c>
      <c r="K88" s="11">
        <v>79</v>
      </c>
      <c r="L88" s="11">
        <v>79</v>
      </c>
      <c r="M88" s="14">
        <v>16.34</v>
      </c>
      <c r="N88" s="14">
        <v>1290.8599999999999</v>
      </c>
      <c r="O88">
        <v>3.1</v>
      </c>
      <c r="P88" t="s">
        <v>3275</v>
      </c>
    </row>
    <row r="89" spans="1:16" x14ac:dyDescent="0.25">
      <c r="A89" t="s">
        <v>1748</v>
      </c>
      <c r="B89" s="1">
        <v>45689.142361111109</v>
      </c>
      <c r="C89" t="s">
        <v>3274</v>
      </c>
      <c r="D89" t="s">
        <v>980</v>
      </c>
      <c r="E89" t="s">
        <v>463</v>
      </c>
      <c r="F89" t="s">
        <v>1524</v>
      </c>
      <c r="G89" t="s">
        <v>1121</v>
      </c>
      <c r="H89" t="str" cm="1">
        <f t="array" ref="H89">IF(AND(G89="",
      C89="Receipt"),
      _xlfn.XLOOKUP(1,
      (purchase_order_lines_coldchain!A89:A1087 = F89) *
      (purchase_order_lines_coldchain!G89:G1087 = E89) *
      (purchase_order_lines_coldchain!D89:D1087 = D89),
      purchase_order_lines_coldchain!B$2:B$1000,
      _xlfn.XLOOKUP(F89,purchase_order_lines_coldchain!A$2:A1087,
      purchase_order_lines_coldchain!B$2:B1087)),
      "")</f>
        <v/>
      </c>
      <c r="I89" t="str">
        <f t="shared" si="1"/>
        <v>PO000137</v>
      </c>
      <c r="J89" t="s">
        <v>1749</v>
      </c>
      <c r="K89" s="11">
        <v>9</v>
      </c>
      <c r="L89" s="11">
        <v>9</v>
      </c>
      <c r="M89" s="14">
        <v>8.0500000000000007</v>
      </c>
      <c r="N89" s="14">
        <v>72.45</v>
      </c>
      <c r="O89">
        <v>0</v>
      </c>
      <c r="P89" t="s">
        <v>3275</v>
      </c>
    </row>
    <row r="90" spans="1:16" x14ac:dyDescent="0.25">
      <c r="A90" t="s">
        <v>1750</v>
      </c>
      <c r="B90" s="1">
        <v>45713.706250000003</v>
      </c>
      <c r="C90" t="s">
        <v>3274</v>
      </c>
      <c r="D90" t="s">
        <v>990</v>
      </c>
      <c r="E90" t="s">
        <v>693</v>
      </c>
      <c r="F90" t="s">
        <v>1231</v>
      </c>
      <c r="G90" t="s">
        <v>1017</v>
      </c>
      <c r="H90" t="str" cm="1">
        <f t="array" ref="H90">IF(AND(G90="",
      C90="Receipt"),
      _xlfn.XLOOKUP(1,
      (purchase_order_lines_coldchain!A90:A1088 = F90) *
      (purchase_order_lines_coldchain!G90:G1088 = E90) *
      (purchase_order_lines_coldchain!D90:D1088 = D90),
      purchase_order_lines_coldchain!B$2:B$1000,
      _xlfn.XLOOKUP(F90,purchase_order_lines_coldchain!A$2:A1088,
      purchase_order_lines_coldchain!B$2:B1088)),
      "")</f>
        <v/>
      </c>
      <c r="I90" t="str">
        <f t="shared" si="1"/>
        <v>PO000033</v>
      </c>
      <c r="J90" t="s">
        <v>1751</v>
      </c>
      <c r="K90" s="11">
        <v>153</v>
      </c>
      <c r="L90" s="11">
        <v>153</v>
      </c>
      <c r="M90" s="14">
        <v>15.44</v>
      </c>
      <c r="N90" s="14">
        <v>2362.3200000000002</v>
      </c>
      <c r="O90">
        <v>3</v>
      </c>
      <c r="P90" t="s">
        <v>3275</v>
      </c>
    </row>
    <row r="91" spans="1:16" x14ac:dyDescent="0.25">
      <c r="A91" t="s">
        <v>1752</v>
      </c>
      <c r="B91" s="1">
        <v>45693.116666666669</v>
      </c>
      <c r="C91" t="s">
        <v>3274</v>
      </c>
      <c r="D91" t="s">
        <v>976</v>
      </c>
      <c r="E91" t="s">
        <v>846</v>
      </c>
      <c r="F91" t="s">
        <v>1152</v>
      </c>
      <c r="G91" t="s">
        <v>975</v>
      </c>
      <c r="H91" t="str" cm="1">
        <f t="array" ref="H91">IF(AND(G91="",
      C91="Receipt"),
      _xlfn.XLOOKUP(1,
      (purchase_order_lines_coldchain!A91:A1089 = F91) *
      (purchase_order_lines_coldchain!G91:G1089 = E91) *
      (purchase_order_lines_coldchain!D91:D1089 = D91),
      purchase_order_lines_coldchain!B$2:B$1000,
      _xlfn.XLOOKUP(F91,purchase_order_lines_coldchain!A$2:A1089,
      purchase_order_lines_coldchain!B$2:B1089)),
      "")</f>
        <v/>
      </c>
      <c r="I91" t="str">
        <f t="shared" si="1"/>
        <v>PO000005</v>
      </c>
      <c r="J91" t="s">
        <v>1753</v>
      </c>
      <c r="K91" s="11">
        <v>113</v>
      </c>
      <c r="L91" s="11">
        <v>113</v>
      </c>
      <c r="M91" s="14">
        <v>16.2</v>
      </c>
      <c r="N91" s="14">
        <v>1830.6</v>
      </c>
      <c r="O91">
        <v>7.7</v>
      </c>
      <c r="P91" t="s">
        <v>3275</v>
      </c>
    </row>
    <row r="92" spans="1:16" x14ac:dyDescent="0.25">
      <c r="A92" t="s">
        <v>1754</v>
      </c>
      <c r="B92" s="1">
        <v>45730.931944444441</v>
      </c>
      <c r="C92" t="s">
        <v>3274</v>
      </c>
      <c r="D92" t="s">
        <v>980</v>
      </c>
      <c r="E92" t="s">
        <v>918</v>
      </c>
      <c r="F92" t="s">
        <v>1521</v>
      </c>
      <c r="G92" t="s">
        <v>1120</v>
      </c>
      <c r="H92" t="str" cm="1">
        <f t="array" ref="H92">IF(AND(G92="",
      C92="Receipt"),
      _xlfn.XLOOKUP(1,
      (purchase_order_lines_coldchain!A92:A1090 = F92) *
      (purchase_order_lines_coldchain!G92:G1090 = E92) *
      (purchase_order_lines_coldchain!D92:D1090 = D92),
      purchase_order_lines_coldchain!B$2:B$1000,
      _xlfn.XLOOKUP(F92,purchase_order_lines_coldchain!A$2:A1090,
      purchase_order_lines_coldchain!B$2:B1090)),
      "")</f>
        <v/>
      </c>
      <c r="I92" t="str">
        <f t="shared" si="1"/>
        <v>PO000136</v>
      </c>
      <c r="J92" t="s">
        <v>1755</v>
      </c>
      <c r="K92" s="11">
        <v>72</v>
      </c>
      <c r="L92" s="11">
        <v>72</v>
      </c>
      <c r="M92" s="14">
        <v>15.02</v>
      </c>
      <c r="N92" s="14">
        <v>1081.44</v>
      </c>
      <c r="O92">
        <v>3.5</v>
      </c>
      <c r="P92" t="s">
        <v>3275</v>
      </c>
    </row>
    <row r="93" spans="1:16" x14ac:dyDescent="0.25">
      <c r="A93" t="s">
        <v>1756</v>
      </c>
      <c r="B93" s="1">
        <v>45685.334722222222</v>
      </c>
      <c r="C93" t="s">
        <v>3274</v>
      </c>
      <c r="D93" t="s">
        <v>959</v>
      </c>
      <c r="E93" t="s">
        <v>714</v>
      </c>
      <c r="F93" t="s">
        <v>1161</v>
      </c>
      <c r="G93" t="s">
        <v>984</v>
      </c>
      <c r="H93" t="str" cm="1">
        <f t="array" ref="H93">IF(AND(G93="",
      C93="Receipt"),
      _xlfn.XLOOKUP(1,
      (purchase_order_lines_coldchain!A93:A1091 = F93) *
      (purchase_order_lines_coldchain!G93:G1091 = E93) *
      (purchase_order_lines_coldchain!D93:D1091 = D93),
      purchase_order_lines_coldchain!B$2:B$1000,
      _xlfn.XLOOKUP(F93,purchase_order_lines_coldchain!A$2:A1091,
      purchase_order_lines_coldchain!B$2:B1091)),
      "")</f>
        <v/>
      </c>
      <c r="I93" t="str">
        <f t="shared" si="1"/>
        <v>PO000008</v>
      </c>
      <c r="J93" t="s">
        <v>1757</v>
      </c>
      <c r="K93" s="11">
        <v>38</v>
      </c>
      <c r="L93" s="11">
        <v>38</v>
      </c>
      <c r="M93" s="14">
        <v>8.23</v>
      </c>
      <c r="N93" s="14">
        <v>312.74</v>
      </c>
      <c r="O93">
        <v>7.9</v>
      </c>
      <c r="P93" t="s">
        <v>3275</v>
      </c>
    </row>
    <row r="94" spans="1:16" x14ac:dyDescent="0.25">
      <c r="A94" t="s">
        <v>1758</v>
      </c>
      <c r="B94" s="1">
        <v>45701.015972222223</v>
      </c>
      <c r="C94" t="s">
        <v>3274</v>
      </c>
      <c r="D94" t="s">
        <v>968</v>
      </c>
      <c r="E94" t="s">
        <v>906</v>
      </c>
      <c r="F94" t="s">
        <v>1559</v>
      </c>
      <c r="G94" t="s">
        <v>1133</v>
      </c>
      <c r="H94" t="str" cm="1">
        <f t="array" ref="H94">IF(AND(G94="",
      C94="Receipt"),
      _xlfn.XLOOKUP(1,
      (purchase_order_lines_coldchain!A94:A1092 = F94) *
      (purchase_order_lines_coldchain!G94:G1092 = E94) *
      (purchase_order_lines_coldchain!D94:D1092 = D94),
      purchase_order_lines_coldchain!B$2:B$1000,
      _xlfn.XLOOKUP(F94,purchase_order_lines_coldchain!A$2:A1092,
      purchase_order_lines_coldchain!B$2:B1092)),
      "")</f>
        <v/>
      </c>
      <c r="I94" t="str">
        <f t="shared" si="1"/>
        <v>PO000149</v>
      </c>
      <c r="J94" t="s">
        <v>1759</v>
      </c>
      <c r="K94" s="11">
        <v>132</v>
      </c>
      <c r="L94" s="11">
        <v>132</v>
      </c>
      <c r="M94" s="14">
        <v>6.5</v>
      </c>
      <c r="N94" s="14">
        <v>858</v>
      </c>
      <c r="O94">
        <v>3.1</v>
      </c>
      <c r="P94" t="s">
        <v>3275</v>
      </c>
    </row>
    <row r="95" spans="1:16" x14ac:dyDescent="0.25">
      <c r="A95" t="s">
        <v>1760</v>
      </c>
      <c r="B95" s="1">
        <v>45704.624305555553</v>
      </c>
      <c r="C95" t="s">
        <v>3274</v>
      </c>
      <c r="D95" t="s">
        <v>972</v>
      </c>
      <c r="E95" t="s">
        <v>463</v>
      </c>
      <c r="F95" t="s">
        <v>1456</v>
      </c>
      <c r="G95" t="s">
        <v>1096</v>
      </c>
      <c r="H95" t="str" cm="1">
        <f t="array" ref="H95">IF(AND(G95="",
      C95="Receipt"),
      _xlfn.XLOOKUP(1,
      (purchase_order_lines_coldchain!A95:A1093 = F95) *
      (purchase_order_lines_coldchain!G95:G1093 = E95) *
      (purchase_order_lines_coldchain!D95:D1093 = D95),
      purchase_order_lines_coldchain!B$2:B$1000,
      _xlfn.XLOOKUP(F95,purchase_order_lines_coldchain!A$2:A1093,
      purchase_order_lines_coldchain!B$2:B1093)),
      "")</f>
        <v/>
      </c>
      <c r="I95" t="str">
        <f t="shared" si="1"/>
        <v>PO000112</v>
      </c>
      <c r="J95" t="s">
        <v>1761</v>
      </c>
      <c r="K95" s="11">
        <v>144</v>
      </c>
      <c r="L95" s="11">
        <v>144</v>
      </c>
      <c r="M95" s="14">
        <v>8.26</v>
      </c>
      <c r="N95" s="14">
        <v>1189.44</v>
      </c>
      <c r="O95">
        <v>-1.2</v>
      </c>
      <c r="P95" t="s">
        <v>3275</v>
      </c>
    </row>
    <row r="96" spans="1:16" x14ac:dyDescent="0.25">
      <c r="A96" t="s">
        <v>1762</v>
      </c>
      <c r="B96" s="1">
        <v>45707.279861111114</v>
      </c>
      <c r="C96" t="s">
        <v>3274</v>
      </c>
      <c r="D96" t="s">
        <v>959</v>
      </c>
      <c r="E96" t="s">
        <v>708</v>
      </c>
      <c r="F96" t="s">
        <v>1526</v>
      </c>
      <c r="G96" t="s">
        <v>1122</v>
      </c>
      <c r="H96" t="str" cm="1">
        <f t="array" ref="H96">IF(AND(G96="",
      C96="Receipt"),
      _xlfn.XLOOKUP(1,
      (purchase_order_lines_coldchain!A96:A1094 = F96) *
      (purchase_order_lines_coldchain!G96:G1094 = E96) *
      (purchase_order_lines_coldchain!D96:D1094 = D96),
      purchase_order_lines_coldchain!B$2:B$1000,
      _xlfn.XLOOKUP(F96,purchase_order_lines_coldchain!A$2:A1094,
      purchase_order_lines_coldchain!B$2:B1094)),
      "")</f>
        <v/>
      </c>
      <c r="I96" t="str">
        <f t="shared" si="1"/>
        <v>PO000138</v>
      </c>
      <c r="J96" t="s">
        <v>1763</v>
      </c>
      <c r="K96" s="11">
        <v>215</v>
      </c>
      <c r="L96" s="11">
        <v>215</v>
      </c>
      <c r="M96" s="14">
        <v>10.25</v>
      </c>
      <c r="N96" s="14">
        <v>2203.75</v>
      </c>
      <c r="O96">
        <v>5</v>
      </c>
      <c r="P96" t="s">
        <v>3275</v>
      </c>
    </row>
    <row r="97" spans="1:16" x14ac:dyDescent="0.25">
      <c r="A97" t="s">
        <v>1764</v>
      </c>
      <c r="B97" s="1">
        <v>45730.527083333334</v>
      </c>
      <c r="C97" t="s">
        <v>3274</v>
      </c>
      <c r="D97" t="s">
        <v>964</v>
      </c>
      <c r="E97" t="s">
        <v>813</v>
      </c>
      <c r="F97" t="s">
        <v>1542</v>
      </c>
      <c r="G97" t="s">
        <v>1127</v>
      </c>
      <c r="H97" t="str" cm="1">
        <f t="array" ref="H97">IF(AND(G97="",
      C97="Receipt"),
      _xlfn.XLOOKUP(1,
      (purchase_order_lines_coldchain!A97:A1095 = F97) *
      (purchase_order_lines_coldchain!G97:G1095 = E97) *
      (purchase_order_lines_coldchain!D97:D1095 = D97),
      purchase_order_lines_coldchain!B$2:B$1000,
      _xlfn.XLOOKUP(F97,purchase_order_lines_coldchain!A$2:A1095,
      purchase_order_lines_coldchain!B$2:B1095)),
      "")</f>
        <v/>
      </c>
      <c r="I97" t="str">
        <f t="shared" si="1"/>
        <v>PO000143</v>
      </c>
      <c r="J97" t="s">
        <v>1765</v>
      </c>
      <c r="K97" s="11">
        <v>116</v>
      </c>
      <c r="L97" s="11">
        <v>116</v>
      </c>
      <c r="M97" s="14">
        <v>5.57</v>
      </c>
      <c r="N97" s="14">
        <v>646.12</v>
      </c>
      <c r="O97">
        <v>4.9000000000000004</v>
      </c>
      <c r="P97" t="s">
        <v>3275</v>
      </c>
    </row>
    <row r="98" spans="1:16" x14ac:dyDescent="0.25">
      <c r="A98" t="s">
        <v>1766</v>
      </c>
      <c r="B98" s="1">
        <v>45700.369444444441</v>
      </c>
      <c r="C98" t="s">
        <v>3274</v>
      </c>
      <c r="D98" t="s">
        <v>976</v>
      </c>
      <c r="E98" t="s">
        <v>443</v>
      </c>
      <c r="F98" t="s">
        <v>1402</v>
      </c>
      <c r="G98" t="s">
        <v>1076</v>
      </c>
      <c r="H98" t="str" cm="1">
        <f t="array" ref="H98">IF(AND(G98="",
      C98="Receipt"),
      _xlfn.XLOOKUP(1,
      (purchase_order_lines_coldchain!A98:A1096 = F98) *
      (purchase_order_lines_coldchain!G98:G1096 = E98) *
      (purchase_order_lines_coldchain!D98:D1096 = D98),
      purchase_order_lines_coldchain!B$2:B$1000,
      _xlfn.XLOOKUP(F98,purchase_order_lines_coldchain!A$2:A1096,
      purchase_order_lines_coldchain!B$2:B1096)),
      "")</f>
        <v/>
      </c>
      <c r="I98" t="str">
        <f t="shared" si="1"/>
        <v>PO000092</v>
      </c>
      <c r="J98" t="s">
        <v>1767</v>
      </c>
      <c r="K98" s="11">
        <v>178</v>
      </c>
      <c r="L98" s="11">
        <v>178</v>
      </c>
      <c r="M98" s="14">
        <v>7.23</v>
      </c>
      <c r="N98" s="14">
        <v>1286.94</v>
      </c>
      <c r="O98">
        <v>-0.2</v>
      </c>
      <c r="P98" t="s">
        <v>3275</v>
      </c>
    </row>
    <row r="99" spans="1:16" x14ac:dyDescent="0.25">
      <c r="A99" t="s">
        <v>1768</v>
      </c>
      <c r="B99" s="1">
        <v>45706.862500000003</v>
      </c>
      <c r="C99" t="s">
        <v>3274</v>
      </c>
      <c r="D99" t="s">
        <v>990</v>
      </c>
      <c r="E99" t="s">
        <v>627</v>
      </c>
      <c r="F99" t="s">
        <v>1390</v>
      </c>
      <c r="G99" t="s">
        <v>1072</v>
      </c>
      <c r="H99" t="str" cm="1">
        <f t="array" ref="H99">IF(AND(G99="",
      C99="Receipt"),
      _xlfn.XLOOKUP(1,
      (purchase_order_lines_coldchain!A99:A1097 = F99) *
      (purchase_order_lines_coldchain!G99:G1097 = E99) *
      (purchase_order_lines_coldchain!D99:D1097 = D99),
      purchase_order_lines_coldchain!B$2:B$1000,
      _xlfn.XLOOKUP(F99,purchase_order_lines_coldchain!A$2:A1097,
      purchase_order_lines_coldchain!B$2:B1097)),
      "")</f>
        <v/>
      </c>
      <c r="I99" t="str">
        <f t="shared" si="1"/>
        <v>PO000088</v>
      </c>
      <c r="J99" t="s">
        <v>1769</v>
      </c>
      <c r="K99" s="11">
        <v>56</v>
      </c>
      <c r="L99" s="11">
        <v>56</v>
      </c>
      <c r="M99" s="14">
        <v>3.28</v>
      </c>
      <c r="N99" s="14">
        <v>183.68</v>
      </c>
      <c r="O99">
        <v>5.0999999999999996</v>
      </c>
      <c r="P99" t="s">
        <v>3275</v>
      </c>
    </row>
    <row r="100" spans="1:16" x14ac:dyDescent="0.25">
      <c r="A100" t="s">
        <v>1770</v>
      </c>
      <c r="B100" s="1">
        <v>45738.473611111112</v>
      </c>
      <c r="C100" t="s">
        <v>3274</v>
      </c>
      <c r="D100" t="s">
        <v>959</v>
      </c>
      <c r="E100" t="s">
        <v>843</v>
      </c>
      <c r="F100" t="s">
        <v>1324</v>
      </c>
      <c r="G100" t="s">
        <v>1049</v>
      </c>
      <c r="H100" t="str" cm="1">
        <f t="array" ref="H100">IF(AND(G100="",
      C100="Receipt"),
      _xlfn.XLOOKUP(1,
      (purchase_order_lines_coldchain!A100:A1098 = F100) *
      (purchase_order_lines_coldchain!G100:G1098 = E100) *
      (purchase_order_lines_coldchain!D100:D1098 = D100),
      purchase_order_lines_coldchain!B$2:B$1000,
      _xlfn.XLOOKUP(F100,purchase_order_lines_coldchain!A$2:A1098,
      purchase_order_lines_coldchain!B$2:B1098)),
      "")</f>
        <v/>
      </c>
      <c r="I100" t="str">
        <f t="shared" si="1"/>
        <v>PO000065</v>
      </c>
      <c r="J100" t="s">
        <v>1771</v>
      </c>
      <c r="K100" s="11">
        <v>48</v>
      </c>
      <c r="L100" s="11">
        <v>48</v>
      </c>
      <c r="M100" s="14">
        <v>8.09</v>
      </c>
      <c r="N100" s="14">
        <v>388.32</v>
      </c>
      <c r="O100">
        <v>5.5</v>
      </c>
      <c r="P100" t="s">
        <v>3275</v>
      </c>
    </row>
    <row r="101" spans="1:16" x14ac:dyDescent="0.25">
      <c r="A101" t="s">
        <v>1772</v>
      </c>
      <c r="B101" s="1">
        <v>45707.864583333336</v>
      </c>
      <c r="C101" t="s">
        <v>3274</v>
      </c>
      <c r="D101" t="s">
        <v>959</v>
      </c>
      <c r="E101" t="s">
        <v>526</v>
      </c>
      <c r="F101" t="s">
        <v>1172</v>
      </c>
      <c r="G101" t="s">
        <v>992</v>
      </c>
      <c r="H101" t="str" cm="1">
        <f t="array" ref="H101">IF(AND(G101="",
      C101="Receipt"),
      _xlfn.XLOOKUP(1,
      (purchase_order_lines_coldchain!A101:A1099 = F101) *
      (purchase_order_lines_coldchain!G101:G1099 = E101) *
      (purchase_order_lines_coldchain!D101:D1099 = D101),
      purchase_order_lines_coldchain!B$2:B$1000,
      _xlfn.XLOOKUP(F101,purchase_order_lines_coldchain!A$2:A1099,
      purchase_order_lines_coldchain!B$2:B1099)),
      "")</f>
        <v/>
      </c>
      <c r="I101" t="str">
        <f t="shared" si="1"/>
        <v>PO000012</v>
      </c>
      <c r="J101" t="s">
        <v>1773</v>
      </c>
      <c r="K101" s="11">
        <v>120</v>
      </c>
      <c r="L101" s="11">
        <v>120</v>
      </c>
      <c r="M101" s="14">
        <v>11.9</v>
      </c>
      <c r="N101" s="14">
        <v>1428</v>
      </c>
      <c r="O101">
        <v>1.3</v>
      </c>
      <c r="P101" t="s">
        <v>3275</v>
      </c>
    </row>
    <row r="102" spans="1:16" x14ac:dyDescent="0.25">
      <c r="A102" t="s">
        <v>1774</v>
      </c>
      <c r="B102" s="1">
        <v>45750.504861111112</v>
      </c>
      <c r="C102" t="s">
        <v>3274</v>
      </c>
      <c r="D102" t="s">
        <v>976</v>
      </c>
      <c r="E102" t="s">
        <v>472</v>
      </c>
      <c r="F102" t="s">
        <v>1399</v>
      </c>
      <c r="G102" t="s">
        <v>1075</v>
      </c>
      <c r="H102" t="str" cm="1">
        <f t="array" ref="H102">IF(AND(G102="",
      C102="Receipt"),
      _xlfn.XLOOKUP(1,
      (purchase_order_lines_coldchain!A102:A1100 = F102) *
      (purchase_order_lines_coldchain!G102:G1100 = E102) *
      (purchase_order_lines_coldchain!D102:D1100 = D102),
      purchase_order_lines_coldchain!B$2:B$1000,
      _xlfn.XLOOKUP(F102,purchase_order_lines_coldchain!A$2:A1100,
      purchase_order_lines_coldchain!B$2:B1100)),
      "")</f>
        <v/>
      </c>
      <c r="I102" t="str">
        <f t="shared" si="1"/>
        <v>PO000091</v>
      </c>
      <c r="J102" t="s">
        <v>1775</v>
      </c>
      <c r="K102" s="11">
        <v>201</v>
      </c>
      <c r="L102" s="11">
        <v>201</v>
      </c>
      <c r="M102" s="14">
        <v>10</v>
      </c>
      <c r="N102" s="14">
        <v>2010</v>
      </c>
      <c r="O102">
        <v>5.9</v>
      </c>
      <c r="P102" t="s">
        <v>3275</v>
      </c>
    </row>
    <row r="103" spans="1:16" x14ac:dyDescent="0.25">
      <c r="A103" t="s">
        <v>1776</v>
      </c>
      <c r="B103" s="1">
        <v>45711.185416666667</v>
      </c>
      <c r="C103" t="s">
        <v>3274</v>
      </c>
      <c r="D103" t="s">
        <v>999</v>
      </c>
      <c r="E103" t="s">
        <v>780</v>
      </c>
      <c r="F103" t="s">
        <v>1243</v>
      </c>
      <c r="G103" t="s">
        <v>1022</v>
      </c>
      <c r="H103" t="str" cm="1">
        <f t="array" ref="H103">IF(AND(G103="",
      C103="Receipt"),
      _xlfn.XLOOKUP(1,
      (purchase_order_lines_coldchain!A103:A1101 = F103) *
      (purchase_order_lines_coldchain!G103:G1101 = E103) *
      (purchase_order_lines_coldchain!D103:D1101 = D103),
      purchase_order_lines_coldchain!B$2:B$1000,
      _xlfn.XLOOKUP(F103,purchase_order_lines_coldchain!A$2:A1101,
      purchase_order_lines_coldchain!B$2:B1101)),
      "")</f>
        <v/>
      </c>
      <c r="I103" t="str">
        <f t="shared" si="1"/>
        <v>PO000038</v>
      </c>
      <c r="J103" t="s">
        <v>1777</v>
      </c>
      <c r="K103" s="11">
        <v>54</v>
      </c>
      <c r="L103" s="11">
        <v>54</v>
      </c>
      <c r="M103" s="14">
        <v>16.84</v>
      </c>
      <c r="N103" s="14">
        <v>909.36</v>
      </c>
      <c r="O103">
        <v>-11.7</v>
      </c>
      <c r="P103" t="s">
        <v>3275</v>
      </c>
    </row>
    <row r="104" spans="1:16" x14ac:dyDescent="0.25">
      <c r="A104" t="s">
        <v>1778</v>
      </c>
      <c r="B104" s="1">
        <v>45714.372916666667</v>
      </c>
      <c r="C104" t="s">
        <v>3274</v>
      </c>
      <c r="D104" t="s">
        <v>990</v>
      </c>
      <c r="E104" t="s">
        <v>642</v>
      </c>
      <c r="F104" t="s">
        <v>1232</v>
      </c>
      <c r="G104" t="s">
        <v>1017</v>
      </c>
      <c r="H104" t="str" cm="1">
        <f t="array" ref="H104">IF(AND(G104="",
      C104="Receipt"),
      _xlfn.XLOOKUP(1,
      (purchase_order_lines_coldchain!A104:A1102 = F104) *
      (purchase_order_lines_coldchain!G104:G1102 = E104) *
      (purchase_order_lines_coldchain!D104:D1102 = D104),
      purchase_order_lines_coldchain!B$2:B$1000,
      _xlfn.XLOOKUP(F104,purchase_order_lines_coldchain!A$2:A1102,
      purchase_order_lines_coldchain!B$2:B1102)),
      "")</f>
        <v/>
      </c>
      <c r="I104" t="str">
        <f t="shared" si="1"/>
        <v>PO000033</v>
      </c>
      <c r="J104" t="s">
        <v>1779</v>
      </c>
      <c r="K104" s="11">
        <v>135</v>
      </c>
      <c r="L104" s="11">
        <v>135</v>
      </c>
      <c r="M104" s="14">
        <v>8.59</v>
      </c>
      <c r="N104" s="14">
        <v>1159.6500000000001</v>
      </c>
      <c r="O104">
        <v>0.5</v>
      </c>
      <c r="P104" t="s">
        <v>3275</v>
      </c>
    </row>
    <row r="105" spans="1:16" x14ac:dyDescent="0.25">
      <c r="A105" t="s">
        <v>1780</v>
      </c>
      <c r="B105" s="1">
        <v>45690.671527777777</v>
      </c>
      <c r="C105" t="s">
        <v>3274</v>
      </c>
      <c r="D105" t="s">
        <v>959</v>
      </c>
      <c r="E105" t="s">
        <v>888</v>
      </c>
      <c r="F105" t="s">
        <v>1142</v>
      </c>
      <c r="G105" t="s">
        <v>958</v>
      </c>
      <c r="H105" t="str" cm="1">
        <f t="array" ref="H105">IF(AND(G105="",
      C105="Receipt"),
      _xlfn.XLOOKUP(1,
      (purchase_order_lines_coldchain!A105:A1103 = F105) *
      (purchase_order_lines_coldchain!G105:G1103 = E105) *
      (purchase_order_lines_coldchain!D105:D1103 = D105),
      purchase_order_lines_coldchain!B$2:B$1000,
      _xlfn.XLOOKUP(F105,purchase_order_lines_coldchain!A$2:A1103,
      purchase_order_lines_coldchain!B$2:B1103)),
      "")</f>
        <v/>
      </c>
      <c r="I105" t="str">
        <f t="shared" si="1"/>
        <v>PO000001</v>
      </c>
      <c r="J105" t="s">
        <v>1781</v>
      </c>
      <c r="K105" s="11">
        <v>92</v>
      </c>
      <c r="L105" s="11">
        <v>92</v>
      </c>
      <c r="M105" s="14">
        <v>3.57</v>
      </c>
      <c r="N105" s="14">
        <v>328.44</v>
      </c>
      <c r="O105">
        <v>2.1</v>
      </c>
      <c r="P105" t="s">
        <v>3275</v>
      </c>
    </row>
    <row r="106" spans="1:16" x14ac:dyDescent="0.25">
      <c r="A106" t="s">
        <v>1782</v>
      </c>
      <c r="B106" s="1">
        <v>45716.668749999997</v>
      </c>
      <c r="C106" t="s">
        <v>3274</v>
      </c>
      <c r="D106" t="s">
        <v>968</v>
      </c>
      <c r="E106" t="s">
        <v>687</v>
      </c>
      <c r="F106" t="s">
        <v>1299</v>
      </c>
      <c r="G106" t="s">
        <v>1041</v>
      </c>
      <c r="H106" t="str" cm="1">
        <f t="array" ref="H106">IF(AND(G106="",
      C106="Receipt"),
      _xlfn.XLOOKUP(1,
      (purchase_order_lines_coldchain!A106:A1104 = F106) *
      (purchase_order_lines_coldchain!G106:G1104 = E106) *
      (purchase_order_lines_coldchain!D106:D1104 = D106),
      purchase_order_lines_coldchain!B$2:B$1000,
      _xlfn.XLOOKUP(F106,purchase_order_lines_coldchain!A$2:A1104,
      purchase_order_lines_coldchain!B$2:B1104)),
      "")</f>
        <v/>
      </c>
      <c r="I106" t="str">
        <f t="shared" si="1"/>
        <v>PO000057</v>
      </c>
      <c r="J106" t="s">
        <v>1783</v>
      </c>
      <c r="K106" s="11">
        <v>81</v>
      </c>
      <c r="L106" s="11">
        <v>81</v>
      </c>
      <c r="M106" s="14">
        <v>16.64</v>
      </c>
      <c r="N106" s="14">
        <v>1347.84</v>
      </c>
      <c r="O106">
        <v>1.7</v>
      </c>
      <c r="P106" t="s">
        <v>3275</v>
      </c>
    </row>
    <row r="107" spans="1:16" x14ac:dyDescent="0.25">
      <c r="A107" t="s">
        <v>1784</v>
      </c>
      <c r="B107" s="1">
        <v>45681.213888888888</v>
      </c>
      <c r="C107" t="s">
        <v>3274</v>
      </c>
      <c r="D107" t="s">
        <v>964</v>
      </c>
      <c r="E107" t="s">
        <v>681</v>
      </c>
      <c r="F107" t="s">
        <v>1163</v>
      </c>
      <c r="G107" t="s">
        <v>985</v>
      </c>
      <c r="H107" t="str" cm="1">
        <f t="array" ref="H107">IF(AND(G107="",
      C107="Receipt"),
      _xlfn.XLOOKUP(1,
      (purchase_order_lines_coldchain!A107:A1105 = F107) *
      (purchase_order_lines_coldchain!G107:G1105 = E107) *
      (purchase_order_lines_coldchain!D107:D1105 = D107),
      purchase_order_lines_coldchain!B$2:B$1000,
      _xlfn.XLOOKUP(F107,purchase_order_lines_coldchain!A$2:A1105,
      purchase_order_lines_coldchain!B$2:B1105)),
      "")</f>
        <v/>
      </c>
      <c r="I107" t="str">
        <f t="shared" si="1"/>
        <v>PO000009</v>
      </c>
      <c r="J107" t="s">
        <v>1785</v>
      </c>
      <c r="K107" s="11">
        <v>189</v>
      </c>
      <c r="L107" s="11">
        <v>189</v>
      </c>
      <c r="M107" s="14">
        <v>4.1500000000000004</v>
      </c>
      <c r="N107" s="14">
        <v>784.35</v>
      </c>
      <c r="O107">
        <v>3.2</v>
      </c>
      <c r="P107" t="s">
        <v>3275</v>
      </c>
    </row>
    <row r="108" spans="1:16" x14ac:dyDescent="0.25">
      <c r="A108" t="s">
        <v>1786</v>
      </c>
      <c r="B108" s="1">
        <v>45702.099305555559</v>
      </c>
      <c r="C108" t="s">
        <v>3274</v>
      </c>
      <c r="D108" t="s">
        <v>968</v>
      </c>
      <c r="E108" t="s">
        <v>924</v>
      </c>
      <c r="F108" t="s">
        <v>1558</v>
      </c>
      <c r="G108" t="s">
        <v>1133</v>
      </c>
      <c r="H108" t="str" cm="1">
        <f t="array" ref="H108">IF(AND(G108="",
      C108="Receipt"),
      _xlfn.XLOOKUP(1,
      (purchase_order_lines_coldchain!A108:A1106 = F108) *
      (purchase_order_lines_coldchain!G108:G1106 = E108) *
      (purchase_order_lines_coldchain!D108:D1106 = D108),
      purchase_order_lines_coldchain!B$2:B$1000,
      _xlfn.XLOOKUP(F108,purchase_order_lines_coldchain!A$2:A1106,
      purchase_order_lines_coldchain!B$2:B1106)),
      "")</f>
        <v/>
      </c>
      <c r="I108" t="str">
        <f t="shared" si="1"/>
        <v>PO000149</v>
      </c>
      <c r="J108" t="s">
        <v>1787</v>
      </c>
      <c r="K108" s="11">
        <v>120</v>
      </c>
      <c r="L108" s="11">
        <v>120</v>
      </c>
      <c r="M108" s="14">
        <v>4.05</v>
      </c>
      <c r="N108" s="14">
        <v>486</v>
      </c>
      <c r="O108">
        <v>3.4</v>
      </c>
      <c r="P108" t="s">
        <v>3275</v>
      </c>
    </row>
    <row r="109" spans="1:16" x14ac:dyDescent="0.25">
      <c r="A109" t="s">
        <v>1788</v>
      </c>
      <c r="B109" s="1">
        <v>45733.1</v>
      </c>
      <c r="C109" t="s">
        <v>3274</v>
      </c>
      <c r="D109" t="s">
        <v>959</v>
      </c>
      <c r="E109" t="s">
        <v>729</v>
      </c>
      <c r="F109" t="s">
        <v>1260</v>
      </c>
      <c r="G109" t="s">
        <v>1027</v>
      </c>
      <c r="H109" t="str" cm="1">
        <f t="array" ref="H109">IF(AND(G109="",
      C109="Receipt"),
      _xlfn.XLOOKUP(1,
      (purchase_order_lines_coldchain!A109:A1107 = F109) *
      (purchase_order_lines_coldchain!G109:G1107 = E109) *
      (purchase_order_lines_coldchain!D109:D1107 = D109),
      purchase_order_lines_coldchain!B$2:B$1000,
      _xlfn.XLOOKUP(F109,purchase_order_lines_coldchain!A$2:A1107,
      purchase_order_lines_coldchain!B$2:B1107)),
      "")</f>
        <v/>
      </c>
      <c r="I109" t="str">
        <f t="shared" si="1"/>
        <v>PO000043</v>
      </c>
      <c r="J109" t="s">
        <v>1789</v>
      </c>
      <c r="K109" s="11">
        <v>169</v>
      </c>
      <c r="L109" s="11">
        <v>169</v>
      </c>
      <c r="M109" s="14">
        <v>13.3</v>
      </c>
      <c r="N109" s="14">
        <v>2247.6999999999998</v>
      </c>
      <c r="O109">
        <v>3.1</v>
      </c>
      <c r="P109" t="s">
        <v>3275</v>
      </c>
    </row>
    <row r="110" spans="1:16" x14ac:dyDescent="0.25">
      <c r="A110" t="s">
        <v>1790</v>
      </c>
      <c r="B110" s="1">
        <v>45692.366666666669</v>
      </c>
      <c r="C110" t="s">
        <v>3274</v>
      </c>
      <c r="D110" t="s">
        <v>976</v>
      </c>
      <c r="E110" t="s">
        <v>915</v>
      </c>
      <c r="F110" t="s">
        <v>1153</v>
      </c>
      <c r="G110" t="s">
        <v>975</v>
      </c>
      <c r="H110" t="str" cm="1">
        <f t="array" ref="H110">IF(AND(G110="",
      C110="Receipt"),
      _xlfn.XLOOKUP(1,
      (purchase_order_lines_coldchain!A110:A1108 = F110) *
      (purchase_order_lines_coldchain!G110:G1108 = E110) *
      (purchase_order_lines_coldchain!D110:D1108 = D110),
      purchase_order_lines_coldchain!B$2:B$1000,
      _xlfn.XLOOKUP(F110,purchase_order_lines_coldchain!A$2:A1108,
      purchase_order_lines_coldchain!B$2:B1108)),
      "")</f>
        <v/>
      </c>
      <c r="I110" t="str">
        <f t="shared" si="1"/>
        <v>PO000005</v>
      </c>
      <c r="J110" t="s">
        <v>1791</v>
      </c>
      <c r="K110" s="11">
        <v>73</v>
      </c>
      <c r="L110" s="11">
        <v>73</v>
      </c>
      <c r="M110" s="14">
        <v>10.25</v>
      </c>
      <c r="N110" s="14">
        <v>748.25</v>
      </c>
      <c r="O110">
        <v>1.9</v>
      </c>
      <c r="P110" t="s">
        <v>3275</v>
      </c>
    </row>
    <row r="111" spans="1:16" x14ac:dyDescent="0.25">
      <c r="A111" t="s">
        <v>1792</v>
      </c>
      <c r="B111" s="1">
        <v>45678.957638888889</v>
      </c>
      <c r="C111" t="s">
        <v>3274</v>
      </c>
      <c r="D111" t="s">
        <v>972</v>
      </c>
      <c r="E111" t="s">
        <v>615</v>
      </c>
      <c r="F111" t="s">
        <v>1320</v>
      </c>
      <c r="G111" t="s">
        <v>1048</v>
      </c>
      <c r="H111" t="str" cm="1">
        <f t="array" ref="H111">IF(AND(G111="",
      C111="Receipt"),
      _xlfn.XLOOKUP(1,
      (purchase_order_lines_coldchain!A111:A1109 = F111) *
      (purchase_order_lines_coldchain!G111:G1109 = E111) *
      (purchase_order_lines_coldchain!D111:D1109 = D111),
      purchase_order_lines_coldchain!B$2:B$1000,
      _xlfn.XLOOKUP(F111,purchase_order_lines_coldchain!A$2:A1109,
      purchase_order_lines_coldchain!B$2:B1109)),
      "")</f>
        <v/>
      </c>
      <c r="I111" t="str">
        <f t="shared" si="1"/>
        <v>PO000064</v>
      </c>
      <c r="J111" t="s">
        <v>1793</v>
      </c>
      <c r="K111" s="11">
        <v>18</v>
      </c>
      <c r="L111" s="11">
        <v>18</v>
      </c>
      <c r="M111" s="14">
        <v>6.7</v>
      </c>
      <c r="N111" s="14">
        <v>120.6</v>
      </c>
      <c r="O111">
        <v>2.9</v>
      </c>
      <c r="P111" t="s">
        <v>3275</v>
      </c>
    </row>
    <row r="112" spans="1:16" x14ac:dyDescent="0.25">
      <c r="A112" t="s">
        <v>1794</v>
      </c>
      <c r="B112" s="1">
        <v>45720.992361111108</v>
      </c>
      <c r="C112" t="s">
        <v>3274</v>
      </c>
      <c r="D112" t="s">
        <v>980</v>
      </c>
      <c r="E112" t="s">
        <v>843</v>
      </c>
      <c r="F112" t="s">
        <v>1326</v>
      </c>
      <c r="G112" t="s">
        <v>1050</v>
      </c>
      <c r="H112" t="str" cm="1">
        <f t="array" ref="H112">IF(AND(G112="",
      C112="Receipt"),
      _xlfn.XLOOKUP(1,
      (purchase_order_lines_coldchain!A112:A1110 = F112) *
      (purchase_order_lines_coldchain!G112:G1110 = E112) *
      (purchase_order_lines_coldchain!D112:D1110 = D112),
      purchase_order_lines_coldchain!B$2:B$1000,
      _xlfn.XLOOKUP(F112,purchase_order_lines_coldchain!A$2:A1110,
      purchase_order_lines_coldchain!B$2:B1110)),
      "")</f>
        <v/>
      </c>
      <c r="I112" t="str">
        <f t="shared" si="1"/>
        <v>PO000066</v>
      </c>
      <c r="J112" t="s">
        <v>1795</v>
      </c>
      <c r="K112" s="11">
        <v>124</v>
      </c>
      <c r="L112" s="11">
        <v>124</v>
      </c>
      <c r="M112" s="14">
        <v>8.6300000000000008</v>
      </c>
      <c r="N112" s="14">
        <v>1070.1199999999999</v>
      </c>
      <c r="O112">
        <v>2.6</v>
      </c>
      <c r="P112" t="s">
        <v>3275</v>
      </c>
    </row>
    <row r="113" spans="1:16" x14ac:dyDescent="0.25">
      <c r="A113" t="s">
        <v>1796</v>
      </c>
      <c r="B113" s="1">
        <v>45718.226388888892</v>
      </c>
      <c r="C113" t="s">
        <v>3274</v>
      </c>
      <c r="D113" t="s">
        <v>959</v>
      </c>
      <c r="E113" t="s">
        <v>606</v>
      </c>
      <c r="F113" t="s">
        <v>1196</v>
      </c>
      <c r="G113" t="s">
        <v>1004</v>
      </c>
      <c r="H113" t="str" cm="1">
        <f t="array" ref="H113">IF(AND(G113="",
      C113="Receipt"),
      _xlfn.XLOOKUP(1,
      (purchase_order_lines_coldchain!A113:A1111 = F113) *
      (purchase_order_lines_coldchain!G113:G1111 = E113) *
      (purchase_order_lines_coldchain!D113:D1111 = D113),
      purchase_order_lines_coldchain!B$2:B$1000,
      _xlfn.XLOOKUP(F113,purchase_order_lines_coldchain!A$2:A1111,
      purchase_order_lines_coldchain!B$2:B1111)),
      "")</f>
        <v/>
      </c>
      <c r="I113" t="str">
        <f t="shared" si="1"/>
        <v>PO000020</v>
      </c>
      <c r="J113" t="s">
        <v>1797</v>
      </c>
      <c r="K113" s="11">
        <v>18</v>
      </c>
      <c r="L113" s="11">
        <v>18</v>
      </c>
      <c r="M113" s="14">
        <v>2.4700000000000002</v>
      </c>
      <c r="N113" s="14">
        <v>44.46</v>
      </c>
      <c r="O113">
        <v>2.5</v>
      </c>
      <c r="P113" t="s">
        <v>3275</v>
      </c>
    </row>
    <row r="114" spans="1:16" x14ac:dyDescent="0.25">
      <c r="A114" t="s">
        <v>1798</v>
      </c>
      <c r="B114" s="1">
        <v>45735.598611111112</v>
      </c>
      <c r="C114" t="s">
        <v>3274</v>
      </c>
      <c r="D114" t="s">
        <v>964</v>
      </c>
      <c r="E114" t="s">
        <v>517</v>
      </c>
      <c r="F114" t="s">
        <v>1410</v>
      </c>
      <c r="G114" t="s">
        <v>1079</v>
      </c>
      <c r="H114" t="str" cm="1">
        <f t="array" ref="H114">IF(AND(G114="",
      C114="Receipt"),
      _xlfn.XLOOKUP(1,
      (purchase_order_lines_coldchain!A114:A1112 = F114) *
      (purchase_order_lines_coldchain!G114:G1112 = E114) *
      (purchase_order_lines_coldchain!D114:D1112 = D114),
      purchase_order_lines_coldchain!B$2:B$1000,
      _xlfn.XLOOKUP(F114,purchase_order_lines_coldchain!A$2:A1112,
      purchase_order_lines_coldchain!B$2:B1112)),
      "")</f>
        <v/>
      </c>
      <c r="I114" t="str">
        <f t="shared" si="1"/>
        <v>PO000095</v>
      </c>
      <c r="J114" t="s">
        <v>1799</v>
      </c>
      <c r="K114" s="11">
        <v>194</v>
      </c>
      <c r="L114" s="11">
        <v>194</v>
      </c>
      <c r="M114" s="14">
        <v>9.14</v>
      </c>
      <c r="N114" s="14">
        <v>1773.16</v>
      </c>
      <c r="O114">
        <v>5.3</v>
      </c>
      <c r="P114" t="s">
        <v>3275</v>
      </c>
    </row>
    <row r="115" spans="1:16" x14ac:dyDescent="0.25">
      <c r="A115" t="s">
        <v>1800</v>
      </c>
      <c r="B115" s="1">
        <v>45734.776388888888</v>
      </c>
      <c r="C115" t="s">
        <v>3274</v>
      </c>
      <c r="D115" t="s">
        <v>990</v>
      </c>
      <c r="E115" t="s">
        <v>846</v>
      </c>
      <c r="F115" t="s">
        <v>1285</v>
      </c>
      <c r="G115" t="s">
        <v>1036</v>
      </c>
      <c r="H115" t="str" cm="1">
        <f t="array" ref="H115">IF(AND(G115="",
      C115="Receipt"),
      _xlfn.XLOOKUP(1,
      (purchase_order_lines_coldchain!A115:A1113 = F115) *
      (purchase_order_lines_coldchain!G115:G1113 = E115) *
      (purchase_order_lines_coldchain!D115:D1113 = D115),
      purchase_order_lines_coldchain!B$2:B$1000,
      _xlfn.XLOOKUP(F115,purchase_order_lines_coldchain!A$2:A1113,
      purchase_order_lines_coldchain!B$2:B1113)),
      "")</f>
        <v/>
      </c>
      <c r="I115" t="str">
        <f t="shared" si="1"/>
        <v>PO000052</v>
      </c>
      <c r="J115" t="s">
        <v>1801</v>
      </c>
      <c r="K115" s="11">
        <v>163</v>
      </c>
      <c r="L115" s="11">
        <v>163</v>
      </c>
      <c r="M115" s="14">
        <v>14.16</v>
      </c>
      <c r="N115" s="14">
        <v>2308.08</v>
      </c>
      <c r="O115">
        <v>7.5</v>
      </c>
      <c r="P115" t="s">
        <v>3275</v>
      </c>
    </row>
    <row r="116" spans="1:16" x14ac:dyDescent="0.25">
      <c r="A116" t="s">
        <v>1802</v>
      </c>
      <c r="B116" s="1">
        <v>45721.259027777778</v>
      </c>
      <c r="C116" t="s">
        <v>3274</v>
      </c>
      <c r="D116" t="s">
        <v>990</v>
      </c>
      <c r="E116" t="s">
        <v>888</v>
      </c>
      <c r="F116" t="s">
        <v>1273</v>
      </c>
      <c r="G116" t="s">
        <v>1031</v>
      </c>
      <c r="H116" t="str" cm="1">
        <f t="array" ref="H116">IF(AND(G116="",
      C116="Receipt"),
      _xlfn.XLOOKUP(1,
      (purchase_order_lines_coldchain!A116:A1114 = F116) *
      (purchase_order_lines_coldchain!G116:G1114 = E116) *
      (purchase_order_lines_coldchain!D116:D1114 = D116),
      purchase_order_lines_coldchain!B$2:B$1000,
      _xlfn.XLOOKUP(F116,purchase_order_lines_coldchain!A$2:A1114,
      purchase_order_lines_coldchain!B$2:B1114)),
      "")</f>
        <v/>
      </c>
      <c r="I116" t="str">
        <f t="shared" si="1"/>
        <v>PO000047</v>
      </c>
      <c r="J116" t="s">
        <v>1803</v>
      </c>
      <c r="K116" s="11">
        <v>115</v>
      </c>
      <c r="L116" s="11">
        <v>115</v>
      </c>
      <c r="M116" s="14">
        <v>3.71</v>
      </c>
      <c r="N116" s="14">
        <v>426.65</v>
      </c>
      <c r="O116">
        <v>4</v>
      </c>
      <c r="P116" t="s">
        <v>3275</v>
      </c>
    </row>
    <row r="117" spans="1:16" x14ac:dyDescent="0.25">
      <c r="A117" t="s">
        <v>1804</v>
      </c>
      <c r="B117" s="1">
        <v>45722.901388888888</v>
      </c>
      <c r="C117" t="s">
        <v>3274</v>
      </c>
      <c r="D117" t="s">
        <v>968</v>
      </c>
      <c r="E117" t="s">
        <v>684</v>
      </c>
      <c r="F117" t="s">
        <v>1416</v>
      </c>
      <c r="G117" t="s">
        <v>1081</v>
      </c>
      <c r="H117" t="str" cm="1">
        <f t="array" ref="H117">IF(AND(G117="",
      C117="Receipt"),
      _xlfn.XLOOKUP(1,
      (purchase_order_lines_coldchain!A117:A1115 = F117) *
      (purchase_order_lines_coldchain!G117:G1115 = E117) *
      (purchase_order_lines_coldchain!D117:D1115 = D117),
      purchase_order_lines_coldchain!B$2:B$1000,
      _xlfn.XLOOKUP(F117,purchase_order_lines_coldchain!A$2:A1115,
      purchase_order_lines_coldchain!B$2:B1115)),
      "")</f>
        <v/>
      </c>
      <c r="I117" t="str">
        <f t="shared" si="1"/>
        <v>PO000097</v>
      </c>
      <c r="J117" t="s">
        <v>1805</v>
      </c>
      <c r="K117" s="11">
        <v>123</v>
      </c>
      <c r="L117" s="11">
        <v>123</v>
      </c>
      <c r="M117" s="14">
        <v>15.33</v>
      </c>
      <c r="N117" s="14">
        <v>1885.59</v>
      </c>
      <c r="O117">
        <v>1.8</v>
      </c>
      <c r="P117" t="s">
        <v>3275</v>
      </c>
    </row>
    <row r="118" spans="1:16" x14ac:dyDescent="0.25">
      <c r="A118" t="s">
        <v>1806</v>
      </c>
      <c r="B118" s="1">
        <v>45676.773611111108</v>
      </c>
      <c r="C118" t="s">
        <v>3274</v>
      </c>
      <c r="D118" t="s">
        <v>987</v>
      </c>
      <c r="E118" t="s">
        <v>557</v>
      </c>
      <c r="F118" t="s">
        <v>1166</v>
      </c>
      <c r="G118" t="s">
        <v>986</v>
      </c>
      <c r="H118" t="str" cm="1">
        <f t="array" ref="H118">IF(AND(G118="",
      C118="Receipt"),
      _xlfn.XLOOKUP(1,
      (purchase_order_lines_coldchain!A118:A1116 = F118) *
      (purchase_order_lines_coldchain!G118:G1116 = E118) *
      (purchase_order_lines_coldchain!D118:D1116 = D118),
      purchase_order_lines_coldchain!B$2:B$1000,
      _xlfn.XLOOKUP(F118,purchase_order_lines_coldchain!A$2:A1116,
      purchase_order_lines_coldchain!B$2:B1116)),
      "")</f>
        <v/>
      </c>
      <c r="I118" t="str">
        <f t="shared" si="1"/>
        <v>PO000010</v>
      </c>
      <c r="J118" t="s">
        <v>1807</v>
      </c>
      <c r="K118" s="11">
        <v>198</v>
      </c>
      <c r="L118" s="11">
        <v>198</v>
      </c>
      <c r="M118" s="14">
        <v>1.66</v>
      </c>
      <c r="N118" s="14">
        <v>328.68</v>
      </c>
      <c r="O118">
        <v>3.8</v>
      </c>
      <c r="P118" t="s">
        <v>3275</v>
      </c>
    </row>
    <row r="119" spans="1:16" x14ac:dyDescent="0.25">
      <c r="A119" t="s">
        <v>1808</v>
      </c>
      <c r="B119" s="1">
        <v>45681.629166666666</v>
      </c>
      <c r="C119" t="s">
        <v>3274</v>
      </c>
      <c r="D119" t="s">
        <v>980</v>
      </c>
      <c r="E119" t="s">
        <v>921</v>
      </c>
      <c r="F119" t="s">
        <v>1318</v>
      </c>
      <c r="G119" t="s">
        <v>1047</v>
      </c>
      <c r="H119" t="str" cm="1">
        <f t="array" ref="H119">IF(AND(G119="",
      C119="Receipt"),
      _xlfn.XLOOKUP(1,
      (purchase_order_lines_coldchain!A119:A1117 = F119) *
      (purchase_order_lines_coldchain!G119:G1117 = E119) *
      (purchase_order_lines_coldchain!D119:D1117 = D119),
      purchase_order_lines_coldchain!B$2:B$1000,
      _xlfn.XLOOKUP(F119,purchase_order_lines_coldchain!A$2:A1117,
      purchase_order_lines_coldchain!B$2:B1117)),
      "")</f>
        <v/>
      </c>
      <c r="I119" t="str">
        <f t="shared" si="1"/>
        <v>PO000063</v>
      </c>
      <c r="J119" t="s">
        <v>1809</v>
      </c>
      <c r="K119" s="11">
        <v>15</v>
      </c>
      <c r="L119" s="11">
        <v>15</v>
      </c>
      <c r="M119" s="14">
        <v>15.68</v>
      </c>
      <c r="N119" s="14">
        <v>235.2</v>
      </c>
      <c r="O119">
        <v>2.6</v>
      </c>
      <c r="P119" t="s">
        <v>3275</v>
      </c>
    </row>
    <row r="120" spans="1:16" x14ac:dyDescent="0.25">
      <c r="A120" t="s">
        <v>1810</v>
      </c>
      <c r="B120" s="1">
        <v>45684.876388888886</v>
      </c>
      <c r="C120" t="s">
        <v>3274</v>
      </c>
      <c r="D120" t="s">
        <v>959</v>
      </c>
      <c r="E120" t="s">
        <v>714</v>
      </c>
      <c r="F120" t="s">
        <v>1160</v>
      </c>
      <c r="G120" t="s">
        <v>984</v>
      </c>
      <c r="H120" t="str" cm="1">
        <f t="array" ref="H120">IF(AND(G120="",
      C120="Receipt"),
      _xlfn.XLOOKUP(1,
      (purchase_order_lines_coldchain!A120:A1118 = F120) *
      (purchase_order_lines_coldchain!G120:G1118 = E120) *
      (purchase_order_lines_coldchain!D120:D1118 = D120),
      purchase_order_lines_coldchain!B$2:B$1000,
      _xlfn.XLOOKUP(F120,purchase_order_lines_coldchain!A$2:A1118,
      purchase_order_lines_coldchain!B$2:B1118)),
      "")</f>
        <v/>
      </c>
      <c r="I120" t="str">
        <f t="shared" si="1"/>
        <v>PO000008</v>
      </c>
      <c r="J120" t="s">
        <v>1811</v>
      </c>
      <c r="K120" s="11">
        <v>119</v>
      </c>
      <c r="L120" s="11">
        <v>119</v>
      </c>
      <c r="M120" s="14">
        <v>8.09</v>
      </c>
      <c r="N120" s="14">
        <v>962.71</v>
      </c>
      <c r="O120">
        <v>6.2</v>
      </c>
      <c r="P120" t="s">
        <v>3275</v>
      </c>
    </row>
    <row r="121" spans="1:16" x14ac:dyDescent="0.25">
      <c r="A121" t="s">
        <v>1812</v>
      </c>
      <c r="B121" s="1">
        <v>45702.875694444447</v>
      </c>
      <c r="C121" t="s">
        <v>3274</v>
      </c>
      <c r="D121" t="s">
        <v>980</v>
      </c>
      <c r="E121" t="s">
        <v>915</v>
      </c>
      <c r="F121" t="s">
        <v>1381</v>
      </c>
      <c r="G121" t="s">
        <v>1068</v>
      </c>
      <c r="H121" t="str" cm="1">
        <f t="array" ref="H121">IF(AND(G121="",
      C121="Receipt"),
      _xlfn.XLOOKUP(1,
      (purchase_order_lines_coldchain!A121:A1119 = F121) *
      (purchase_order_lines_coldchain!G121:G1119 = E121) *
      (purchase_order_lines_coldchain!D121:D1119 = D121),
      purchase_order_lines_coldchain!B$2:B$1000,
      _xlfn.XLOOKUP(F121,purchase_order_lines_coldchain!A$2:A1119,
      purchase_order_lines_coldchain!B$2:B1119)),
      "")</f>
        <v/>
      </c>
      <c r="I121" t="str">
        <f t="shared" si="1"/>
        <v>PO000084</v>
      </c>
      <c r="J121" t="s">
        <v>1813</v>
      </c>
      <c r="K121" s="11">
        <v>98</v>
      </c>
      <c r="L121" s="11">
        <v>98</v>
      </c>
      <c r="M121" s="14">
        <v>10.79</v>
      </c>
      <c r="N121" s="14">
        <v>1057.42</v>
      </c>
      <c r="O121">
        <v>2.2000000000000002</v>
      </c>
      <c r="P121" t="s">
        <v>3275</v>
      </c>
    </row>
    <row r="122" spans="1:16" x14ac:dyDescent="0.25">
      <c r="A122" t="s">
        <v>1814</v>
      </c>
      <c r="B122" s="1">
        <v>45684.899305555555</v>
      </c>
      <c r="C122" t="s">
        <v>3274</v>
      </c>
      <c r="D122" t="s">
        <v>959</v>
      </c>
      <c r="E122" t="s">
        <v>570</v>
      </c>
      <c r="F122" t="s">
        <v>1362</v>
      </c>
      <c r="G122" t="s">
        <v>1062</v>
      </c>
      <c r="H122" t="str" cm="1">
        <f t="array" ref="H122">IF(AND(G122="",
      C122="Receipt"),
      _xlfn.XLOOKUP(1,
      (purchase_order_lines_coldchain!A122:A1120 = F122) *
      (purchase_order_lines_coldchain!G122:G1120 = E122) *
      (purchase_order_lines_coldchain!D122:D1120 = D122),
      purchase_order_lines_coldchain!B$2:B$1000,
      _xlfn.XLOOKUP(F122,purchase_order_lines_coldchain!A$2:A1120,
      purchase_order_lines_coldchain!B$2:B1120)),
      "")</f>
        <v/>
      </c>
      <c r="I122" t="str">
        <f t="shared" si="1"/>
        <v>PO000078</v>
      </c>
      <c r="J122" t="s">
        <v>1815</v>
      </c>
      <c r="K122" s="11">
        <v>25</v>
      </c>
      <c r="L122" s="11">
        <v>25</v>
      </c>
      <c r="M122" s="14">
        <v>11.54</v>
      </c>
      <c r="N122" s="14">
        <v>288.5</v>
      </c>
      <c r="O122">
        <v>-16</v>
      </c>
      <c r="P122" t="s">
        <v>3275</v>
      </c>
    </row>
    <row r="123" spans="1:16" x14ac:dyDescent="0.25">
      <c r="A123" t="s">
        <v>1816</v>
      </c>
      <c r="B123" s="1">
        <v>45669.456944444442</v>
      </c>
      <c r="C123" t="s">
        <v>3274</v>
      </c>
      <c r="D123" t="s">
        <v>987</v>
      </c>
      <c r="E123" t="s">
        <v>600</v>
      </c>
      <c r="F123" t="s">
        <v>1373</v>
      </c>
      <c r="G123" t="s">
        <v>1066</v>
      </c>
      <c r="H123" t="str" cm="1">
        <f t="array" ref="H123">IF(AND(G123="",
      C123="Receipt"),
      _xlfn.XLOOKUP(1,
      (purchase_order_lines_coldchain!A123:A1121 = F123) *
      (purchase_order_lines_coldchain!G123:G1121 = E123) *
      (purchase_order_lines_coldchain!D123:D1121 = D123),
      purchase_order_lines_coldchain!B$2:B$1000,
      _xlfn.XLOOKUP(F123,purchase_order_lines_coldchain!A$2:A1121,
      purchase_order_lines_coldchain!B$2:B1121)),
      "")</f>
        <v/>
      </c>
      <c r="I123" t="str">
        <f t="shared" si="1"/>
        <v>PO000082</v>
      </c>
      <c r="J123" t="s">
        <v>1817</v>
      </c>
      <c r="K123" s="11">
        <v>89</v>
      </c>
      <c r="L123" s="11">
        <v>89</v>
      </c>
      <c r="M123" s="14">
        <v>17.82</v>
      </c>
      <c r="N123" s="14">
        <v>1585.98</v>
      </c>
      <c r="O123">
        <v>5.6</v>
      </c>
      <c r="P123" t="s">
        <v>3275</v>
      </c>
    </row>
    <row r="124" spans="1:16" x14ac:dyDescent="0.25">
      <c r="A124" t="s">
        <v>1818</v>
      </c>
      <c r="B124" s="1">
        <v>45682.606944444444</v>
      </c>
      <c r="C124" t="s">
        <v>3274</v>
      </c>
      <c r="D124" t="s">
        <v>990</v>
      </c>
      <c r="E124" t="s">
        <v>696</v>
      </c>
      <c r="F124" t="s">
        <v>1309</v>
      </c>
      <c r="G124" t="s">
        <v>1044</v>
      </c>
      <c r="H124" t="str" cm="1">
        <f t="array" ref="H124">IF(AND(G124="",
      C124="Receipt"),
      _xlfn.XLOOKUP(1,
      (purchase_order_lines_coldchain!A124:A1122 = F124) *
      (purchase_order_lines_coldchain!G124:G1122 = E124) *
      (purchase_order_lines_coldchain!D124:D1122 = D124),
      purchase_order_lines_coldchain!B$2:B$1000,
      _xlfn.XLOOKUP(F124,purchase_order_lines_coldchain!A$2:A1122,
      purchase_order_lines_coldchain!B$2:B1122)),
      "")</f>
        <v/>
      </c>
      <c r="I124" t="str">
        <f t="shared" si="1"/>
        <v>PO000060</v>
      </c>
      <c r="J124" t="s">
        <v>1819</v>
      </c>
      <c r="K124" s="11">
        <v>81</v>
      </c>
      <c r="L124" s="11">
        <v>81</v>
      </c>
      <c r="M124" s="14">
        <v>4.72</v>
      </c>
      <c r="N124" s="14">
        <v>382.32</v>
      </c>
      <c r="O124">
        <v>5.0999999999999996</v>
      </c>
      <c r="P124" t="s">
        <v>3275</v>
      </c>
    </row>
    <row r="125" spans="1:16" x14ac:dyDescent="0.25">
      <c r="A125" t="s">
        <v>1820</v>
      </c>
      <c r="B125" s="1">
        <v>45718.759027777778</v>
      </c>
      <c r="C125" t="s">
        <v>3274</v>
      </c>
      <c r="D125" t="s">
        <v>990</v>
      </c>
      <c r="E125" t="s">
        <v>888</v>
      </c>
      <c r="F125" t="s">
        <v>1272</v>
      </c>
      <c r="G125" t="s">
        <v>1031</v>
      </c>
      <c r="H125" t="str" cm="1">
        <f t="array" ref="H125">IF(AND(G125="",
      C125="Receipt"),
      _xlfn.XLOOKUP(1,
      (purchase_order_lines_coldchain!A125:A1123 = F125) *
      (purchase_order_lines_coldchain!G125:G1123 = E125) *
      (purchase_order_lines_coldchain!D125:D1123 = D125),
      purchase_order_lines_coldchain!B$2:B$1000,
      _xlfn.XLOOKUP(F125,purchase_order_lines_coldchain!A$2:A1123,
      purchase_order_lines_coldchain!B$2:B1123)),
      "")</f>
        <v/>
      </c>
      <c r="I125" t="str">
        <f t="shared" si="1"/>
        <v>PO000047</v>
      </c>
      <c r="J125" t="s">
        <v>1821</v>
      </c>
      <c r="K125" s="11">
        <v>24</v>
      </c>
      <c r="L125" s="11">
        <v>24</v>
      </c>
      <c r="M125" s="14">
        <v>3.7</v>
      </c>
      <c r="N125" s="14">
        <v>88.8</v>
      </c>
      <c r="O125">
        <v>4.9000000000000004</v>
      </c>
      <c r="P125" t="s">
        <v>3275</v>
      </c>
    </row>
    <row r="126" spans="1:16" x14ac:dyDescent="0.25">
      <c r="A126" t="s">
        <v>1822</v>
      </c>
      <c r="B126" s="1">
        <v>45702.282638888886</v>
      </c>
      <c r="C126" t="s">
        <v>3274</v>
      </c>
      <c r="D126" t="s">
        <v>980</v>
      </c>
      <c r="E126" t="s">
        <v>843</v>
      </c>
      <c r="F126" t="s">
        <v>1485</v>
      </c>
      <c r="G126" t="s">
        <v>1106</v>
      </c>
      <c r="H126" t="str" cm="1">
        <f t="array" ref="H126">IF(AND(G126="",
      C126="Receipt"),
      _xlfn.XLOOKUP(1,
      (purchase_order_lines_coldchain!A126:A1124 = F126) *
      (purchase_order_lines_coldchain!G126:G1124 = E126) *
      (purchase_order_lines_coldchain!D126:D1124 = D126),
      purchase_order_lines_coldchain!B$2:B$1000,
      _xlfn.XLOOKUP(F126,purchase_order_lines_coldchain!A$2:A1124,
      purchase_order_lines_coldchain!B$2:B1124)),
      "")</f>
        <v/>
      </c>
      <c r="I126" t="str">
        <f t="shared" si="1"/>
        <v>PO000122</v>
      </c>
      <c r="J126" t="s">
        <v>1823</v>
      </c>
      <c r="K126" s="11">
        <v>17</v>
      </c>
      <c r="L126" s="11">
        <v>17</v>
      </c>
      <c r="M126" s="14">
        <v>8.06</v>
      </c>
      <c r="N126" s="14">
        <v>137.02000000000001</v>
      </c>
      <c r="O126">
        <v>3.1</v>
      </c>
      <c r="P126" t="s">
        <v>3275</v>
      </c>
    </row>
    <row r="127" spans="1:16" x14ac:dyDescent="0.25">
      <c r="A127" t="s">
        <v>1824</v>
      </c>
      <c r="B127" s="1">
        <v>45740.411805555559</v>
      </c>
      <c r="C127" t="s">
        <v>3274</v>
      </c>
      <c r="D127" t="s">
        <v>990</v>
      </c>
      <c r="E127" t="s">
        <v>493</v>
      </c>
      <c r="F127" t="s">
        <v>1331</v>
      </c>
      <c r="G127" t="s">
        <v>1051</v>
      </c>
      <c r="H127" t="str" cm="1">
        <f t="array" ref="H127">IF(AND(G127="",
      C127="Receipt"),
      _xlfn.XLOOKUP(1,
      (purchase_order_lines_coldchain!A127:A1125 = F127) *
      (purchase_order_lines_coldchain!G127:G1125 = E127) *
      (purchase_order_lines_coldchain!D127:D1125 = D127),
      purchase_order_lines_coldchain!B$2:B$1000,
      _xlfn.XLOOKUP(F127,purchase_order_lines_coldchain!A$2:A1125,
      purchase_order_lines_coldchain!B$2:B1125)),
      "")</f>
        <v/>
      </c>
      <c r="I127" t="str">
        <f t="shared" si="1"/>
        <v>PO000067</v>
      </c>
      <c r="J127" t="s">
        <v>1825</v>
      </c>
      <c r="K127" s="11">
        <v>138</v>
      </c>
      <c r="L127" s="11">
        <v>138</v>
      </c>
      <c r="M127" s="14">
        <v>6.62</v>
      </c>
      <c r="N127" s="14">
        <v>913.56</v>
      </c>
      <c r="O127">
        <v>5</v>
      </c>
      <c r="P127" t="s">
        <v>3275</v>
      </c>
    </row>
    <row r="128" spans="1:16" x14ac:dyDescent="0.25">
      <c r="A128" t="s">
        <v>1826</v>
      </c>
      <c r="B128" s="1">
        <v>45679.100694444445</v>
      </c>
      <c r="C128" t="s">
        <v>3274</v>
      </c>
      <c r="D128" t="s">
        <v>996</v>
      </c>
      <c r="E128" t="s">
        <v>813</v>
      </c>
      <c r="F128" t="s">
        <v>1503</v>
      </c>
      <c r="G128" t="s">
        <v>1113</v>
      </c>
      <c r="H128" t="str" cm="1">
        <f t="array" ref="H128">IF(AND(G128="",
      C128="Receipt"),
      _xlfn.XLOOKUP(1,
      (purchase_order_lines_coldchain!A128:A1126 = F128) *
      (purchase_order_lines_coldchain!G128:G1126 = E128) *
      (purchase_order_lines_coldchain!D128:D1126 = D128),
      purchase_order_lines_coldchain!B$2:B$1000,
      _xlfn.XLOOKUP(F128,purchase_order_lines_coldchain!A$2:A1126,
      purchase_order_lines_coldchain!B$2:B1126)),
      "")</f>
        <v/>
      </c>
      <c r="I128" t="str">
        <f t="shared" si="1"/>
        <v>PO000129</v>
      </c>
      <c r="J128" t="s">
        <v>1827</v>
      </c>
      <c r="K128" s="11">
        <v>192</v>
      </c>
      <c r="L128" s="11">
        <v>192</v>
      </c>
      <c r="M128" s="14">
        <v>5.55</v>
      </c>
      <c r="N128" s="14">
        <v>1065.5999999999999</v>
      </c>
      <c r="O128">
        <v>3.6</v>
      </c>
      <c r="P128" t="s">
        <v>3275</v>
      </c>
    </row>
    <row r="129" spans="1:16" x14ac:dyDescent="0.25">
      <c r="A129" t="s">
        <v>1828</v>
      </c>
      <c r="B129" s="1">
        <v>45705.070833333331</v>
      </c>
      <c r="C129" t="s">
        <v>3274</v>
      </c>
      <c r="D129" t="s">
        <v>990</v>
      </c>
      <c r="E129" t="s">
        <v>420</v>
      </c>
      <c r="F129" t="s">
        <v>1389</v>
      </c>
      <c r="G129" t="s">
        <v>1072</v>
      </c>
      <c r="H129" t="str" cm="1">
        <f t="array" ref="H129">IF(AND(G129="",
      C129="Receipt"),
      _xlfn.XLOOKUP(1,
      (purchase_order_lines_coldchain!A129:A1127 = F129) *
      (purchase_order_lines_coldchain!G129:G1127 = E129) *
      (purchase_order_lines_coldchain!D129:D1127 = D129),
      purchase_order_lines_coldchain!B$2:B$1000,
      _xlfn.XLOOKUP(F129,purchase_order_lines_coldchain!A$2:A1127,
      purchase_order_lines_coldchain!B$2:B1127)),
      "")</f>
        <v/>
      </c>
      <c r="I129" t="str">
        <f t="shared" si="1"/>
        <v>PO000088</v>
      </c>
      <c r="J129" t="s">
        <v>1829</v>
      </c>
      <c r="K129" s="11">
        <v>14</v>
      </c>
      <c r="L129" s="11">
        <v>14</v>
      </c>
      <c r="M129" s="14">
        <v>11.99</v>
      </c>
      <c r="N129" s="14">
        <v>167.86</v>
      </c>
      <c r="O129">
        <v>5.9</v>
      </c>
      <c r="P129" t="s">
        <v>3275</v>
      </c>
    </row>
    <row r="130" spans="1:16" x14ac:dyDescent="0.25">
      <c r="A130" t="s">
        <v>1830</v>
      </c>
      <c r="B130" s="1">
        <v>45742.651388888888</v>
      </c>
      <c r="C130" t="s">
        <v>3274</v>
      </c>
      <c r="D130" t="s">
        <v>987</v>
      </c>
      <c r="E130" t="s">
        <v>867</v>
      </c>
      <c r="F130" t="s">
        <v>1238</v>
      </c>
      <c r="G130" t="s">
        <v>1020</v>
      </c>
      <c r="H130" t="str" cm="1">
        <f t="array" ref="H130">IF(AND(G130="",
      C130="Receipt"),
      _xlfn.XLOOKUP(1,
      (purchase_order_lines_coldchain!A130:A1128 = F130) *
      (purchase_order_lines_coldchain!G130:G1128 = E130) *
      (purchase_order_lines_coldchain!D130:D1128 = D130),
      purchase_order_lines_coldchain!B$2:B$1000,
      _xlfn.XLOOKUP(F130,purchase_order_lines_coldchain!A$2:A1128,
      purchase_order_lines_coldchain!B$2:B1128)),
      "")</f>
        <v/>
      </c>
      <c r="I130" t="str">
        <f t="shared" ref="I130:I193" si="2">G130 &amp; H130</f>
        <v>PO000036</v>
      </c>
      <c r="J130" t="s">
        <v>1831</v>
      </c>
      <c r="K130" s="11">
        <v>52</v>
      </c>
      <c r="L130" s="11">
        <v>52</v>
      </c>
      <c r="M130" s="14">
        <v>14.94</v>
      </c>
      <c r="N130" s="14">
        <v>776.88</v>
      </c>
      <c r="O130">
        <v>3</v>
      </c>
      <c r="P130" t="s">
        <v>3275</v>
      </c>
    </row>
    <row r="131" spans="1:16" x14ac:dyDescent="0.25">
      <c r="A131" t="s">
        <v>1832</v>
      </c>
      <c r="B131" s="1">
        <v>45738.474305555559</v>
      </c>
      <c r="C131" t="s">
        <v>3274</v>
      </c>
      <c r="D131" t="s">
        <v>980</v>
      </c>
      <c r="E131" t="s">
        <v>708</v>
      </c>
      <c r="F131" t="s">
        <v>1191</v>
      </c>
      <c r="G131" t="s">
        <v>1002</v>
      </c>
      <c r="H131" t="str" cm="1">
        <f t="array" ref="H131">IF(AND(G131="",
      C131="Receipt"),
      _xlfn.XLOOKUP(1,
      (purchase_order_lines_coldchain!A131:A1129 = F131) *
      (purchase_order_lines_coldchain!G131:G1129 = E131) *
      (purchase_order_lines_coldchain!D131:D1129 = D131),
      purchase_order_lines_coldchain!B$2:B$1000,
      _xlfn.XLOOKUP(F131,purchase_order_lines_coldchain!A$2:A1129,
      purchase_order_lines_coldchain!B$2:B1129)),
      "")</f>
        <v/>
      </c>
      <c r="I131" t="str">
        <f t="shared" si="2"/>
        <v>PO000018</v>
      </c>
      <c r="J131" t="s">
        <v>1833</v>
      </c>
      <c r="K131" s="11">
        <v>131</v>
      </c>
      <c r="L131" s="11">
        <v>131</v>
      </c>
      <c r="M131" s="14">
        <v>10.34</v>
      </c>
      <c r="N131" s="14">
        <v>1354.54</v>
      </c>
      <c r="O131">
        <v>6.2</v>
      </c>
      <c r="P131" t="s">
        <v>3275</v>
      </c>
    </row>
    <row r="132" spans="1:16" x14ac:dyDescent="0.25">
      <c r="A132" t="s">
        <v>1834</v>
      </c>
      <c r="B132" s="1">
        <v>45716.674305555556</v>
      </c>
      <c r="C132" t="s">
        <v>3274</v>
      </c>
      <c r="D132" t="s">
        <v>959</v>
      </c>
      <c r="E132" t="s">
        <v>744</v>
      </c>
      <c r="F132" t="s">
        <v>1483</v>
      </c>
      <c r="G132" t="s">
        <v>1105</v>
      </c>
      <c r="H132" t="str" cm="1">
        <f t="array" ref="H132">IF(AND(G132="",
      C132="Receipt"),
      _xlfn.XLOOKUP(1,
      (purchase_order_lines_coldchain!A132:A1130 = F132) *
      (purchase_order_lines_coldchain!G132:G1130 = E132) *
      (purchase_order_lines_coldchain!D132:D1130 = D132),
      purchase_order_lines_coldchain!B$2:B$1000,
      _xlfn.XLOOKUP(F132,purchase_order_lines_coldchain!A$2:A1130,
      purchase_order_lines_coldchain!B$2:B1130)),
      "")</f>
        <v/>
      </c>
      <c r="I132" t="str">
        <f t="shared" si="2"/>
        <v>PO000121</v>
      </c>
      <c r="J132" t="s">
        <v>1835</v>
      </c>
      <c r="K132" s="11">
        <v>79</v>
      </c>
      <c r="L132" s="11">
        <v>79</v>
      </c>
      <c r="M132" s="14">
        <v>5.14</v>
      </c>
      <c r="N132" s="14">
        <v>406.06</v>
      </c>
      <c r="O132">
        <v>5</v>
      </c>
      <c r="P132" t="s">
        <v>3275</v>
      </c>
    </row>
    <row r="133" spans="1:16" x14ac:dyDescent="0.25">
      <c r="A133" t="s">
        <v>1836</v>
      </c>
      <c r="B133" s="1">
        <v>45710.151388888888</v>
      </c>
      <c r="C133" t="s">
        <v>3274</v>
      </c>
      <c r="D133" t="s">
        <v>999</v>
      </c>
      <c r="E133" t="s">
        <v>624</v>
      </c>
      <c r="F133" t="s">
        <v>1553</v>
      </c>
      <c r="G133" t="s">
        <v>1131</v>
      </c>
      <c r="H133" t="str" cm="1">
        <f t="array" ref="H133">IF(AND(G133="",
      C133="Receipt"),
      _xlfn.XLOOKUP(1,
      (purchase_order_lines_coldchain!A133:A1131 = F133) *
      (purchase_order_lines_coldchain!G133:G1131 = E133) *
      (purchase_order_lines_coldchain!D133:D1131 = D133),
      purchase_order_lines_coldchain!B$2:B$1000,
      _xlfn.XLOOKUP(F133,purchase_order_lines_coldchain!A$2:A1131,
      purchase_order_lines_coldchain!B$2:B1131)),
      "")</f>
        <v/>
      </c>
      <c r="I133" t="str">
        <f t="shared" si="2"/>
        <v>PO000147</v>
      </c>
      <c r="J133" t="s">
        <v>1837</v>
      </c>
      <c r="K133" s="11">
        <v>109</v>
      </c>
      <c r="L133" s="11">
        <v>109</v>
      </c>
      <c r="M133" s="14">
        <v>3.83</v>
      </c>
      <c r="N133" s="14">
        <v>417.47</v>
      </c>
      <c r="O133">
        <v>2.7</v>
      </c>
      <c r="P133" t="s">
        <v>3275</v>
      </c>
    </row>
    <row r="134" spans="1:16" x14ac:dyDescent="0.25">
      <c r="A134" t="s">
        <v>1838</v>
      </c>
      <c r="B134" s="1">
        <v>45710.527777777781</v>
      </c>
      <c r="C134" t="s">
        <v>3274</v>
      </c>
      <c r="D134" t="s">
        <v>999</v>
      </c>
      <c r="E134" t="s">
        <v>888</v>
      </c>
      <c r="F134" t="s">
        <v>1441</v>
      </c>
      <c r="G134" t="s">
        <v>1090</v>
      </c>
      <c r="H134" t="str" cm="1">
        <f t="array" ref="H134">IF(AND(G134="",
      C134="Receipt"),
      _xlfn.XLOOKUP(1,
      (purchase_order_lines_coldchain!A134:A1132 = F134) *
      (purchase_order_lines_coldchain!G134:G1132 = E134) *
      (purchase_order_lines_coldchain!D134:D1132 = D134),
      purchase_order_lines_coldchain!B$2:B$1000,
      _xlfn.XLOOKUP(F134,purchase_order_lines_coldchain!A$2:A1132,
      purchase_order_lines_coldchain!B$2:B1132)),
      "")</f>
        <v/>
      </c>
      <c r="I134" t="str">
        <f t="shared" si="2"/>
        <v>PO000106</v>
      </c>
      <c r="J134" t="s">
        <v>1839</v>
      </c>
      <c r="K134" s="11">
        <v>141</v>
      </c>
      <c r="L134" s="11">
        <v>141</v>
      </c>
      <c r="M134" s="14">
        <v>4.1100000000000003</v>
      </c>
      <c r="N134" s="14">
        <v>579.51</v>
      </c>
      <c r="O134">
        <v>2.2999999999999998</v>
      </c>
      <c r="P134" t="s">
        <v>3275</v>
      </c>
    </row>
    <row r="135" spans="1:16" x14ac:dyDescent="0.25">
      <c r="A135" t="s">
        <v>1840</v>
      </c>
      <c r="B135" s="1">
        <v>45668.631944444445</v>
      </c>
      <c r="C135" t="s">
        <v>3274</v>
      </c>
      <c r="D135" t="s">
        <v>968</v>
      </c>
      <c r="E135" t="s">
        <v>603</v>
      </c>
      <c r="F135" t="s">
        <v>1534</v>
      </c>
      <c r="G135" t="s">
        <v>1125</v>
      </c>
      <c r="H135" t="str" cm="1">
        <f t="array" ref="H135">IF(AND(G135="",
      C135="Receipt"),
      _xlfn.XLOOKUP(1,
      (purchase_order_lines_coldchain!A135:A1133 = F135) *
      (purchase_order_lines_coldchain!G135:G1133 = E135) *
      (purchase_order_lines_coldchain!D135:D1133 = D135),
      purchase_order_lines_coldchain!B$2:B$1000,
      _xlfn.XLOOKUP(F135,purchase_order_lines_coldchain!A$2:A1133,
      purchase_order_lines_coldchain!B$2:B1133)),
      "")</f>
        <v/>
      </c>
      <c r="I135" t="str">
        <f t="shared" si="2"/>
        <v>PO000141</v>
      </c>
      <c r="J135" t="s">
        <v>1841</v>
      </c>
      <c r="K135" s="11">
        <v>88</v>
      </c>
      <c r="L135" s="11">
        <v>88</v>
      </c>
      <c r="M135" s="14">
        <v>4.7300000000000004</v>
      </c>
      <c r="N135" s="14">
        <v>416.24</v>
      </c>
      <c r="O135">
        <v>5.2</v>
      </c>
      <c r="P135" t="s">
        <v>3275</v>
      </c>
    </row>
    <row r="136" spans="1:16" x14ac:dyDescent="0.25">
      <c r="A136" t="s">
        <v>1842</v>
      </c>
      <c r="B136" s="1">
        <v>45713.372916666667</v>
      </c>
      <c r="C136" t="s">
        <v>3274</v>
      </c>
      <c r="D136" t="s">
        <v>990</v>
      </c>
      <c r="E136" t="s">
        <v>693</v>
      </c>
      <c r="F136" t="s">
        <v>1230</v>
      </c>
      <c r="G136" t="s">
        <v>1017</v>
      </c>
      <c r="H136" t="str" cm="1">
        <f t="array" ref="H136">IF(AND(G136="",
      C136="Receipt"),
      _xlfn.XLOOKUP(1,
      (purchase_order_lines_coldchain!A136:A1134 = F136) *
      (purchase_order_lines_coldchain!G136:G1134 = E136) *
      (purchase_order_lines_coldchain!D136:D1134 = D136),
      purchase_order_lines_coldchain!B$2:B$1000,
      _xlfn.XLOOKUP(F136,purchase_order_lines_coldchain!A$2:A1134,
      purchase_order_lines_coldchain!B$2:B1134)),
      "")</f>
        <v/>
      </c>
      <c r="I136" t="str">
        <f t="shared" si="2"/>
        <v>PO000033</v>
      </c>
      <c r="J136" t="s">
        <v>1843</v>
      </c>
      <c r="K136" s="11">
        <v>98</v>
      </c>
      <c r="L136" s="11">
        <v>98</v>
      </c>
      <c r="M136" s="14">
        <v>16.649999999999999</v>
      </c>
      <c r="N136" s="14">
        <v>1631.7</v>
      </c>
      <c r="O136">
        <v>3.4</v>
      </c>
      <c r="P136" t="s">
        <v>3275</v>
      </c>
    </row>
    <row r="137" spans="1:16" x14ac:dyDescent="0.25">
      <c r="A137" t="s">
        <v>1844</v>
      </c>
      <c r="B137" s="1">
        <v>45680.082638888889</v>
      </c>
      <c r="C137" t="s">
        <v>3274</v>
      </c>
      <c r="D137" t="s">
        <v>972</v>
      </c>
      <c r="E137" t="s">
        <v>615</v>
      </c>
      <c r="F137" t="s">
        <v>1322</v>
      </c>
      <c r="G137" t="s">
        <v>1048</v>
      </c>
      <c r="H137" t="str" cm="1">
        <f t="array" ref="H137">IF(AND(G137="",
      C137="Receipt"),
      _xlfn.XLOOKUP(1,
      (purchase_order_lines_coldchain!A137:A1135 = F137) *
      (purchase_order_lines_coldchain!G137:G1135 = E137) *
      (purchase_order_lines_coldchain!D137:D1135 = D137),
      purchase_order_lines_coldchain!B$2:B$1000,
      _xlfn.XLOOKUP(F137,purchase_order_lines_coldchain!A$2:A1135,
      purchase_order_lines_coldchain!B$2:B1135)),
      "")</f>
        <v/>
      </c>
      <c r="I137" t="str">
        <f t="shared" si="2"/>
        <v>PO000064</v>
      </c>
      <c r="J137" t="s">
        <v>1845</v>
      </c>
      <c r="K137" s="11">
        <v>68</v>
      </c>
      <c r="L137" s="11">
        <v>68</v>
      </c>
      <c r="M137" s="14">
        <v>6.08</v>
      </c>
      <c r="N137" s="14">
        <v>413.44</v>
      </c>
      <c r="O137">
        <v>3.8</v>
      </c>
      <c r="P137" t="s">
        <v>3275</v>
      </c>
    </row>
    <row r="138" spans="1:16" x14ac:dyDescent="0.25">
      <c r="A138" t="s">
        <v>1846</v>
      </c>
      <c r="B138" s="1">
        <v>45693.459722222222</v>
      </c>
      <c r="C138" t="s">
        <v>3274</v>
      </c>
      <c r="D138" t="s">
        <v>972</v>
      </c>
      <c r="E138" t="s">
        <v>557</v>
      </c>
      <c r="F138" t="s">
        <v>1290</v>
      </c>
      <c r="G138" t="s">
        <v>1037</v>
      </c>
      <c r="H138" t="str" cm="1">
        <f t="array" ref="H138">IF(AND(G138="",
      C138="Receipt"),
      _xlfn.XLOOKUP(1,
      (purchase_order_lines_coldchain!A138:A1136 = F138) *
      (purchase_order_lines_coldchain!G138:G1136 = E138) *
      (purchase_order_lines_coldchain!D138:D1136 = D138),
      purchase_order_lines_coldchain!B$2:B$1000,
      _xlfn.XLOOKUP(F138,purchase_order_lines_coldchain!A$2:A1136,
      purchase_order_lines_coldchain!B$2:B1136)),
      "")</f>
        <v/>
      </c>
      <c r="I138" t="str">
        <f t="shared" si="2"/>
        <v>PO000053</v>
      </c>
      <c r="J138" t="s">
        <v>1847</v>
      </c>
      <c r="K138" s="11">
        <v>155</v>
      </c>
      <c r="L138" s="11">
        <v>155</v>
      </c>
      <c r="M138" s="14">
        <v>1.84</v>
      </c>
      <c r="N138" s="14">
        <v>285.2</v>
      </c>
      <c r="O138">
        <v>6.1</v>
      </c>
      <c r="P138" t="s">
        <v>3275</v>
      </c>
    </row>
    <row r="139" spans="1:16" x14ac:dyDescent="0.25">
      <c r="A139" t="s">
        <v>1848</v>
      </c>
      <c r="B139" s="1">
        <v>45724.927083333336</v>
      </c>
      <c r="C139" t="s">
        <v>3274</v>
      </c>
      <c r="D139" t="s">
        <v>980</v>
      </c>
      <c r="E139" t="s">
        <v>792</v>
      </c>
      <c r="F139" t="s">
        <v>1155</v>
      </c>
      <c r="G139" t="s">
        <v>979</v>
      </c>
      <c r="H139" t="str" cm="1">
        <f t="array" ref="H139">IF(AND(G139="",
      C139="Receipt"),
      _xlfn.XLOOKUP(1,
      (purchase_order_lines_coldchain!A139:A1137 = F139) *
      (purchase_order_lines_coldchain!G139:G1137 = E139) *
      (purchase_order_lines_coldchain!D139:D1137 = D139),
      purchase_order_lines_coldchain!B$2:B$1000,
      _xlfn.XLOOKUP(F139,purchase_order_lines_coldchain!A$2:A1137,
      purchase_order_lines_coldchain!B$2:B1137)),
      "")</f>
        <v/>
      </c>
      <c r="I139" t="str">
        <f t="shared" si="2"/>
        <v>PO000006</v>
      </c>
      <c r="J139" t="s">
        <v>1849</v>
      </c>
      <c r="K139" s="11">
        <v>9</v>
      </c>
      <c r="L139" s="11">
        <v>9</v>
      </c>
      <c r="M139" s="14">
        <v>4.54</v>
      </c>
      <c r="N139" s="14">
        <v>40.86</v>
      </c>
      <c r="O139">
        <v>-16.3</v>
      </c>
      <c r="P139" t="s">
        <v>3275</v>
      </c>
    </row>
    <row r="140" spans="1:16" x14ac:dyDescent="0.25">
      <c r="A140" t="s">
        <v>1850</v>
      </c>
      <c r="B140" s="1">
        <v>45707.363194444442</v>
      </c>
      <c r="C140" t="s">
        <v>3274</v>
      </c>
      <c r="D140" t="s">
        <v>959</v>
      </c>
      <c r="E140" t="s">
        <v>648</v>
      </c>
      <c r="F140" t="s">
        <v>1528</v>
      </c>
      <c r="G140" t="s">
        <v>1122</v>
      </c>
      <c r="H140" t="str" cm="1">
        <f t="array" ref="H140">IF(AND(G140="",
      C140="Receipt"),
      _xlfn.XLOOKUP(1,
      (purchase_order_lines_coldchain!A140:A1138 = F140) *
      (purchase_order_lines_coldchain!G140:G1138 = E140) *
      (purchase_order_lines_coldchain!D140:D1138 = D140),
      purchase_order_lines_coldchain!B$2:B$1000,
      _xlfn.XLOOKUP(F140,purchase_order_lines_coldchain!A$2:A1138,
      purchase_order_lines_coldchain!B$2:B1138)),
      "")</f>
        <v/>
      </c>
      <c r="I140" t="str">
        <f t="shared" si="2"/>
        <v>PO000138</v>
      </c>
      <c r="J140" t="s">
        <v>1851</v>
      </c>
      <c r="K140" s="11">
        <v>26</v>
      </c>
      <c r="L140" s="11">
        <v>26</v>
      </c>
      <c r="M140" s="14">
        <v>10.1</v>
      </c>
      <c r="N140" s="14">
        <v>262.60000000000002</v>
      </c>
      <c r="O140">
        <v>-1</v>
      </c>
      <c r="P140" t="s">
        <v>3275</v>
      </c>
    </row>
    <row r="141" spans="1:16" x14ac:dyDescent="0.25">
      <c r="A141" t="s">
        <v>1852</v>
      </c>
      <c r="B141" s="1">
        <v>45708.934027777781</v>
      </c>
      <c r="C141" t="s">
        <v>3274</v>
      </c>
      <c r="D141" t="s">
        <v>999</v>
      </c>
      <c r="E141" t="s">
        <v>768</v>
      </c>
      <c r="F141" t="s">
        <v>1508</v>
      </c>
      <c r="G141" t="s">
        <v>1115</v>
      </c>
      <c r="H141" t="str" cm="1">
        <f t="array" ref="H141">IF(AND(G141="",
      C141="Receipt"),
      _xlfn.XLOOKUP(1,
      (purchase_order_lines_coldchain!A141:A1139 = F141) *
      (purchase_order_lines_coldchain!G141:G1139 = E141) *
      (purchase_order_lines_coldchain!D141:D1139 = D141),
      purchase_order_lines_coldchain!B$2:B$1000,
      _xlfn.XLOOKUP(F141,purchase_order_lines_coldchain!A$2:A1139,
      purchase_order_lines_coldchain!B$2:B1139)),
      "")</f>
        <v/>
      </c>
      <c r="I141" t="str">
        <f t="shared" si="2"/>
        <v>PO000131</v>
      </c>
      <c r="J141" t="s">
        <v>1853</v>
      </c>
      <c r="K141" s="11">
        <v>150</v>
      </c>
      <c r="L141" s="11">
        <v>150</v>
      </c>
      <c r="M141" s="14">
        <v>10.58</v>
      </c>
      <c r="N141" s="14">
        <v>1587</v>
      </c>
      <c r="O141">
        <v>4.4000000000000004</v>
      </c>
      <c r="P141" t="s">
        <v>3275</v>
      </c>
    </row>
    <row r="142" spans="1:16" x14ac:dyDescent="0.25">
      <c r="A142" t="s">
        <v>1854</v>
      </c>
      <c r="B142" s="1">
        <v>45723.818055555559</v>
      </c>
      <c r="C142" t="s">
        <v>3274</v>
      </c>
      <c r="D142" t="s">
        <v>968</v>
      </c>
      <c r="E142" t="s">
        <v>466</v>
      </c>
      <c r="F142" t="s">
        <v>1415</v>
      </c>
      <c r="G142" t="s">
        <v>1081</v>
      </c>
      <c r="H142" t="str" cm="1">
        <f t="array" ref="H142">IF(AND(G142="",
      C142="Receipt"),
      _xlfn.XLOOKUP(1,
      (purchase_order_lines_coldchain!A142:A1140 = F142) *
      (purchase_order_lines_coldchain!G142:G1140 = E142) *
      (purchase_order_lines_coldchain!D142:D1140 = D142),
      purchase_order_lines_coldchain!B$2:B$1000,
      _xlfn.XLOOKUP(F142,purchase_order_lines_coldchain!A$2:A1140,
      purchase_order_lines_coldchain!B$2:B1140)),
      "")</f>
        <v/>
      </c>
      <c r="I142" t="str">
        <f t="shared" si="2"/>
        <v>PO000097</v>
      </c>
      <c r="J142" t="s">
        <v>1855</v>
      </c>
      <c r="K142" s="11">
        <v>85</v>
      </c>
      <c r="L142" s="11">
        <v>85</v>
      </c>
      <c r="M142" s="14">
        <v>7.69</v>
      </c>
      <c r="N142" s="14">
        <v>653.65</v>
      </c>
      <c r="O142">
        <v>3.7</v>
      </c>
      <c r="P142" t="s">
        <v>3275</v>
      </c>
    </row>
    <row r="143" spans="1:16" x14ac:dyDescent="0.25">
      <c r="A143" t="s">
        <v>1856</v>
      </c>
      <c r="B143" s="1">
        <v>45688.746527777781</v>
      </c>
      <c r="C143" t="s">
        <v>3274</v>
      </c>
      <c r="D143" t="s">
        <v>996</v>
      </c>
      <c r="E143" t="s">
        <v>536</v>
      </c>
      <c r="F143" t="s">
        <v>1436</v>
      </c>
      <c r="G143" t="s">
        <v>1088</v>
      </c>
      <c r="H143" t="str" cm="1">
        <f t="array" ref="H143">IF(AND(G143="",
      C143="Receipt"),
      _xlfn.XLOOKUP(1,
      (purchase_order_lines_coldchain!A143:A1141 = F143) *
      (purchase_order_lines_coldchain!G143:G1141 = E143) *
      (purchase_order_lines_coldchain!D143:D1141 = D143),
      purchase_order_lines_coldchain!B$2:B$1000,
      _xlfn.XLOOKUP(F143,purchase_order_lines_coldchain!A$2:A1141,
      purchase_order_lines_coldchain!B$2:B1141)),
      "")</f>
        <v/>
      </c>
      <c r="I143" t="str">
        <f t="shared" si="2"/>
        <v>PO000104</v>
      </c>
      <c r="J143" t="s">
        <v>1857</v>
      </c>
      <c r="K143" s="11">
        <v>160</v>
      </c>
      <c r="L143" s="11">
        <v>160</v>
      </c>
      <c r="M143" s="14">
        <v>2.23</v>
      </c>
      <c r="N143" s="14">
        <v>356.8</v>
      </c>
      <c r="O143">
        <v>-0.4</v>
      </c>
      <c r="P143" t="s">
        <v>3275</v>
      </c>
    </row>
    <row r="144" spans="1:16" x14ac:dyDescent="0.25">
      <c r="A144" t="s">
        <v>1858</v>
      </c>
      <c r="B144" s="1">
        <v>45686.922222222223</v>
      </c>
      <c r="C144" t="s">
        <v>3274</v>
      </c>
      <c r="D144" t="s">
        <v>987</v>
      </c>
      <c r="E144" t="s">
        <v>933</v>
      </c>
      <c r="F144" t="s">
        <v>1333</v>
      </c>
      <c r="G144" t="s">
        <v>1052</v>
      </c>
      <c r="H144" t="str" cm="1">
        <f t="array" ref="H144">IF(AND(G144="",
      C144="Receipt"),
      _xlfn.XLOOKUP(1,
      (purchase_order_lines_coldchain!A144:A1142 = F144) *
      (purchase_order_lines_coldchain!G144:G1142 = E144) *
      (purchase_order_lines_coldchain!D144:D1142 = D144),
      purchase_order_lines_coldchain!B$2:B$1000,
      _xlfn.XLOOKUP(F144,purchase_order_lines_coldchain!A$2:A1142,
      purchase_order_lines_coldchain!B$2:B1142)),
      "")</f>
        <v/>
      </c>
      <c r="I144" t="str">
        <f t="shared" si="2"/>
        <v>PO000068</v>
      </c>
      <c r="J144" t="s">
        <v>1859</v>
      </c>
      <c r="K144" s="11">
        <v>208</v>
      </c>
      <c r="L144" s="11">
        <v>208</v>
      </c>
      <c r="M144" s="14">
        <v>4.67</v>
      </c>
      <c r="N144" s="14">
        <v>971.36</v>
      </c>
      <c r="O144">
        <v>0.6</v>
      </c>
      <c r="P144" t="s">
        <v>3275</v>
      </c>
    </row>
    <row r="145" spans="1:16" x14ac:dyDescent="0.25">
      <c r="A145" t="s">
        <v>1860</v>
      </c>
      <c r="B145" s="1">
        <v>45704.423611111109</v>
      </c>
      <c r="C145" t="s">
        <v>3274</v>
      </c>
      <c r="D145" t="s">
        <v>996</v>
      </c>
      <c r="E145" t="s">
        <v>449</v>
      </c>
      <c r="F145" t="s">
        <v>1489</v>
      </c>
      <c r="G145" t="s">
        <v>1108</v>
      </c>
      <c r="H145" t="str" cm="1">
        <f t="array" ref="H145">IF(AND(G145="",
      C145="Receipt"),
      _xlfn.XLOOKUP(1,
      (purchase_order_lines_coldchain!A145:A1143 = F145) *
      (purchase_order_lines_coldchain!G145:G1143 = E145) *
      (purchase_order_lines_coldchain!D145:D1143 = D145),
      purchase_order_lines_coldchain!B$2:B$1000,
      _xlfn.XLOOKUP(F145,purchase_order_lines_coldchain!A$2:A1143,
      purchase_order_lines_coldchain!B$2:B1143)),
      "")</f>
        <v/>
      </c>
      <c r="I145" t="str">
        <f t="shared" si="2"/>
        <v>PO000124</v>
      </c>
      <c r="J145" t="s">
        <v>1861</v>
      </c>
      <c r="K145" s="11">
        <v>218</v>
      </c>
      <c r="L145" s="11">
        <v>218</v>
      </c>
      <c r="M145" s="14">
        <v>14.46</v>
      </c>
      <c r="N145" s="14">
        <v>3152.28</v>
      </c>
      <c r="O145">
        <v>6.7</v>
      </c>
      <c r="P145" t="s">
        <v>3275</v>
      </c>
    </row>
    <row r="146" spans="1:16" x14ac:dyDescent="0.25">
      <c r="A146" t="s">
        <v>1862</v>
      </c>
      <c r="B146" s="1">
        <v>45708.388194444444</v>
      </c>
      <c r="C146" t="s">
        <v>3274</v>
      </c>
      <c r="D146" t="s">
        <v>972</v>
      </c>
      <c r="E146" t="s">
        <v>807</v>
      </c>
      <c r="F146" t="s">
        <v>1221</v>
      </c>
      <c r="G146" t="s">
        <v>1013</v>
      </c>
      <c r="H146" t="str" cm="1">
        <f t="array" ref="H146">IF(AND(G146="",
      C146="Receipt"),
      _xlfn.XLOOKUP(1,
      (purchase_order_lines_coldchain!A146:A1144 = F146) *
      (purchase_order_lines_coldchain!G146:G1144 = E146) *
      (purchase_order_lines_coldchain!D146:D1144 = D146),
      purchase_order_lines_coldchain!B$2:B$1000,
      _xlfn.XLOOKUP(F146,purchase_order_lines_coldchain!A$2:A1144,
      purchase_order_lines_coldchain!B$2:B1144)),
      "")</f>
        <v/>
      </c>
      <c r="I146" t="str">
        <f t="shared" si="2"/>
        <v>PO000029</v>
      </c>
      <c r="J146" t="s">
        <v>1863</v>
      </c>
      <c r="K146" s="11">
        <v>133</v>
      </c>
      <c r="L146" s="11">
        <v>133</v>
      </c>
      <c r="M146" s="14">
        <v>13.02</v>
      </c>
      <c r="N146" s="14">
        <v>1731.66</v>
      </c>
      <c r="O146">
        <v>2.6</v>
      </c>
      <c r="P146" t="s">
        <v>3275</v>
      </c>
    </row>
    <row r="147" spans="1:16" x14ac:dyDescent="0.25">
      <c r="A147" t="s">
        <v>1864</v>
      </c>
      <c r="B147" s="1">
        <v>45741.036805555559</v>
      </c>
      <c r="C147" t="s">
        <v>3274</v>
      </c>
      <c r="D147" t="s">
        <v>990</v>
      </c>
      <c r="E147" t="s">
        <v>405</v>
      </c>
      <c r="F147" t="s">
        <v>1330</v>
      </c>
      <c r="G147" t="s">
        <v>1051</v>
      </c>
      <c r="H147" t="str" cm="1">
        <f t="array" ref="H147">IF(AND(G147="",
      C147="Receipt"),
      _xlfn.XLOOKUP(1,
      (purchase_order_lines_coldchain!A147:A1145 = F147) *
      (purchase_order_lines_coldchain!G147:G1145 = E147) *
      (purchase_order_lines_coldchain!D147:D1145 = D147),
      purchase_order_lines_coldchain!B$2:B$1000,
      _xlfn.XLOOKUP(F147,purchase_order_lines_coldchain!A$2:A1145,
      purchase_order_lines_coldchain!B$2:B1145)),
      "")</f>
        <v/>
      </c>
      <c r="I147" t="str">
        <f t="shared" si="2"/>
        <v>PO000067</v>
      </c>
      <c r="J147" t="s">
        <v>1865</v>
      </c>
      <c r="K147" s="11">
        <v>47</v>
      </c>
      <c r="L147" s="11">
        <v>47</v>
      </c>
      <c r="M147" s="14">
        <v>14.49</v>
      </c>
      <c r="N147" s="14">
        <v>681.03</v>
      </c>
      <c r="O147">
        <v>5.0999999999999996</v>
      </c>
      <c r="P147" t="s">
        <v>3275</v>
      </c>
    </row>
    <row r="148" spans="1:16" x14ac:dyDescent="0.25">
      <c r="A148" t="s">
        <v>1866</v>
      </c>
      <c r="B148" s="1">
        <v>45713.088888888888</v>
      </c>
      <c r="C148" t="s">
        <v>3274</v>
      </c>
      <c r="D148" t="s">
        <v>972</v>
      </c>
      <c r="E148" t="s">
        <v>909</v>
      </c>
      <c r="F148" t="s">
        <v>1346</v>
      </c>
      <c r="G148" t="s">
        <v>1056</v>
      </c>
      <c r="H148" t="str" cm="1">
        <f t="array" ref="H148">IF(AND(G148="",
      C148="Receipt"),
      _xlfn.XLOOKUP(1,
      (purchase_order_lines_coldchain!A148:A1146 = F148) *
      (purchase_order_lines_coldchain!G148:G1146 = E148) *
      (purchase_order_lines_coldchain!D148:D1146 = D148),
      purchase_order_lines_coldchain!B$2:B$1000,
      _xlfn.XLOOKUP(F148,purchase_order_lines_coldchain!A$2:A1146,
      purchase_order_lines_coldchain!B$2:B1146)),
      "")</f>
        <v/>
      </c>
      <c r="I148" t="str">
        <f t="shared" si="2"/>
        <v>PO000072</v>
      </c>
      <c r="J148" t="s">
        <v>1867</v>
      </c>
      <c r="K148" s="11">
        <v>174</v>
      </c>
      <c r="L148" s="11">
        <v>174</v>
      </c>
      <c r="M148" s="14">
        <v>16.59</v>
      </c>
      <c r="N148" s="14">
        <v>2886.66</v>
      </c>
      <c r="O148">
        <v>4.2</v>
      </c>
      <c r="P148" t="s">
        <v>3275</v>
      </c>
    </row>
    <row r="149" spans="1:16" x14ac:dyDescent="0.25">
      <c r="A149" t="s">
        <v>1868</v>
      </c>
      <c r="B149" s="1">
        <v>45740.140972222223</v>
      </c>
      <c r="C149" t="s">
        <v>3274</v>
      </c>
      <c r="D149" t="s">
        <v>980</v>
      </c>
      <c r="E149" t="s">
        <v>708</v>
      </c>
      <c r="F149" t="s">
        <v>1189</v>
      </c>
      <c r="G149" t="s">
        <v>1002</v>
      </c>
      <c r="H149" t="str" cm="1">
        <f t="array" ref="H149">IF(AND(G149="",
      C149="Receipt"),
      _xlfn.XLOOKUP(1,
      (purchase_order_lines_coldchain!A149:A1147 = F149) *
      (purchase_order_lines_coldchain!G149:G1147 = E149) *
      (purchase_order_lines_coldchain!D149:D1147 = D149),
      purchase_order_lines_coldchain!B$2:B$1000,
      _xlfn.XLOOKUP(F149,purchase_order_lines_coldchain!A$2:A1147,
      purchase_order_lines_coldchain!B$2:B1147)),
      "")</f>
        <v/>
      </c>
      <c r="I149" t="str">
        <f t="shared" si="2"/>
        <v>PO000018</v>
      </c>
      <c r="J149" t="s">
        <v>1869</v>
      </c>
      <c r="K149" s="11">
        <v>92</v>
      </c>
      <c r="L149" s="11">
        <v>92</v>
      </c>
      <c r="M149" s="14">
        <v>10.65</v>
      </c>
      <c r="N149" s="14">
        <v>979.8</v>
      </c>
      <c r="O149">
        <v>2.5</v>
      </c>
      <c r="P149" t="s">
        <v>3275</v>
      </c>
    </row>
    <row r="150" spans="1:16" x14ac:dyDescent="0.25">
      <c r="A150" t="s">
        <v>1870</v>
      </c>
      <c r="B150" s="1">
        <v>45718.147916666669</v>
      </c>
      <c r="C150" t="s">
        <v>3274</v>
      </c>
      <c r="D150" t="s">
        <v>959</v>
      </c>
      <c r="E150" t="s">
        <v>557</v>
      </c>
      <c r="F150" t="s">
        <v>1459</v>
      </c>
      <c r="G150" t="s">
        <v>1097</v>
      </c>
      <c r="H150" t="str" cm="1">
        <f t="array" ref="H150">IF(AND(G150="",
      C150="Receipt"),
      _xlfn.XLOOKUP(1,
      (purchase_order_lines_coldchain!A150:A1148 = F150) *
      (purchase_order_lines_coldchain!G150:G1148 = E150) *
      (purchase_order_lines_coldchain!D150:D1148 = D150),
      purchase_order_lines_coldchain!B$2:B$1000,
      _xlfn.XLOOKUP(F150,purchase_order_lines_coldchain!A$2:A1148,
      purchase_order_lines_coldchain!B$2:B1148)),
      "")</f>
        <v/>
      </c>
      <c r="I150" t="str">
        <f t="shared" si="2"/>
        <v>PO000113</v>
      </c>
      <c r="J150" t="s">
        <v>1871</v>
      </c>
      <c r="K150" s="11">
        <v>152</v>
      </c>
      <c r="L150" s="11">
        <v>152</v>
      </c>
      <c r="M150" s="14">
        <v>1.79</v>
      </c>
      <c r="N150" s="14">
        <v>272.08</v>
      </c>
      <c r="O150">
        <v>7.2</v>
      </c>
      <c r="P150" t="s">
        <v>3275</v>
      </c>
    </row>
    <row r="151" spans="1:16" x14ac:dyDescent="0.25">
      <c r="A151" t="s">
        <v>1872</v>
      </c>
      <c r="B151" s="1">
        <v>45699.839583333334</v>
      </c>
      <c r="C151" t="s">
        <v>3274</v>
      </c>
      <c r="D151" t="s">
        <v>980</v>
      </c>
      <c r="E151" t="s">
        <v>720</v>
      </c>
      <c r="F151" t="s">
        <v>1426</v>
      </c>
      <c r="G151" t="s">
        <v>1678</v>
      </c>
      <c r="H151" t="str" cm="1">
        <f t="array" ref="H151">IF(AND(G151="",
      C151="Receipt"),
      _xlfn.XLOOKUP(1,
      (purchase_order_lines_coldchain!A151:A1149 = F151) *
      (purchase_order_lines_coldchain!G151:G1149 = E151) *
      (purchase_order_lines_coldchain!D151:D1149 = D151),
      purchase_order_lines_coldchain!B$2:B$1000,
      _xlfn.XLOOKUP(F151,purchase_order_lines_coldchain!A$2:A1149,
      purchase_order_lines_coldchain!B$2:B1149)),
      "")</f>
        <v>PO000049</v>
      </c>
      <c r="I151" t="str">
        <f t="shared" si="2"/>
        <v>PO000049</v>
      </c>
      <c r="J151" t="s">
        <v>1873</v>
      </c>
      <c r="K151" s="11">
        <v>198</v>
      </c>
      <c r="L151" s="11">
        <v>198</v>
      </c>
      <c r="M151" s="14">
        <v>8.9499999999999993</v>
      </c>
      <c r="N151" s="14">
        <v>1772.1</v>
      </c>
      <c r="O151">
        <v>3.4</v>
      </c>
      <c r="P151" t="s">
        <v>3275</v>
      </c>
    </row>
    <row r="152" spans="1:16" x14ac:dyDescent="0.25">
      <c r="A152" t="s">
        <v>1874</v>
      </c>
      <c r="B152" s="1">
        <v>45713.947222222225</v>
      </c>
      <c r="C152" t="s">
        <v>3274</v>
      </c>
      <c r="D152" t="s">
        <v>976</v>
      </c>
      <c r="E152" t="s">
        <v>615</v>
      </c>
      <c r="F152" t="s">
        <v>1241</v>
      </c>
      <c r="G152" t="s">
        <v>1021</v>
      </c>
      <c r="H152" t="str" cm="1">
        <f t="array" ref="H152">IF(AND(G152="",
      C152="Receipt"),
      _xlfn.XLOOKUP(1,
      (purchase_order_lines_coldchain!A152:A1150 = F152) *
      (purchase_order_lines_coldchain!G152:G1150 = E152) *
      (purchase_order_lines_coldchain!D152:D1150 = D152),
      purchase_order_lines_coldchain!B$2:B$1000,
      _xlfn.XLOOKUP(F152,purchase_order_lines_coldchain!A$2:A1150,
      purchase_order_lines_coldchain!B$2:B1150)),
      "")</f>
        <v/>
      </c>
      <c r="I152" t="str">
        <f t="shared" si="2"/>
        <v>PO000037</v>
      </c>
      <c r="J152" t="s">
        <v>1875</v>
      </c>
      <c r="K152" s="11">
        <v>136</v>
      </c>
      <c r="L152" s="11">
        <v>136</v>
      </c>
      <c r="M152" s="14">
        <v>5.86</v>
      </c>
      <c r="N152" s="14">
        <v>796.96</v>
      </c>
      <c r="O152">
        <v>8.5</v>
      </c>
      <c r="P152" t="s">
        <v>3275</v>
      </c>
    </row>
    <row r="153" spans="1:16" x14ac:dyDescent="0.25">
      <c r="A153" t="s">
        <v>1876</v>
      </c>
      <c r="B153" s="1">
        <v>45721.933333333334</v>
      </c>
      <c r="C153" t="s">
        <v>3274</v>
      </c>
      <c r="D153" t="s">
        <v>990</v>
      </c>
      <c r="E153" t="s">
        <v>894</v>
      </c>
      <c r="F153" t="s">
        <v>1198</v>
      </c>
      <c r="G153" t="s">
        <v>1005</v>
      </c>
      <c r="H153" t="str" cm="1">
        <f t="array" ref="H153">IF(AND(G153="",
      C153="Receipt"),
      _xlfn.XLOOKUP(1,
      (purchase_order_lines_coldchain!A153:A1151 = F153) *
      (purchase_order_lines_coldchain!G153:G1151 = E153) *
      (purchase_order_lines_coldchain!D153:D1151 = D153),
      purchase_order_lines_coldchain!B$2:B$1000,
      _xlfn.XLOOKUP(F153,purchase_order_lines_coldchain!A$2:A1151,
      purchase_order_lines_coldchain!B$2:B1151)),
      "")</f>
        <v/>
      </c>
      <c r="I153" t="str">
        <f t="shared" si="2"/>
        <v>PO000021</v>
      </c>
      <c r="J153" t="s">
        <v>1877</v>
      </c>
      <c r="K153" s="11">
        <v>18</v>
      </c>
      <c r="L153" s="11">
        <v>18</v>
      </c>
      <c r="M153" s="14">
        <v>8.24</v>
      </c>
      <c r="N153" s="14">
        <v>148.32</v>
      </c>
      <c r="O153">
        <v>5.4</v>
      </c>
      <c r="P153" t="s">
        <v>3275</v>
      </c>
    </row>
    <row r="154" spans="1:16" x14ac:dyDescent="0.25">
      <c r="A154" t="s">
        <v>1878</v>
      </c>
      <c r="B154" s="1">
        <v>45701.202777777777</v>
      </c>
      <c r="C154" t="s">
        <v>3274</v>
      </c>
      <c r="D154" t="s">
        <v>996</v>
      </c>
      <c r="E154" t="s">
        <v>557</v>
      </c>
      <c r="F154" t="s">
        <v>1276</v>
      </c>
      <c r="G154" t="s">
        <v>1033</v>
      </c>
      <c r="H154" t="str" cm="1">
        <f t="array" ref="H154">IF(AND(G154="",
      C154="Receipt"),
      _xlfn.XLOOKUP(1,
      (purchase_order_lines_coldchain!A154:A1152 = F154) *
      (purchase_order_lines_coldchain!G154:G1152 = E154) *
      (purchase_order_lines_coldchain!D154:D1152 = D154),
      purchase_order_lines_coldchain!B$2:B$1000,
      _xlfn.XLOOKUP(F154,purchase_order_lines_coldchain!A$2:A1152,
      purchase_order_lines_coldchain!B$2:B1152)),
      "")</f>
        <v/>
      </c>
      <c r="I154" t="str">
        <f t="shared" si="2"/>
        <v>PO000049</v>
      </c>
      <c r="J154" t="s">
        <v>1879</v>
      </c>
      <c r="K154" s="11">
        <v>89</v>
      </c>
      <c r="L154" s="11">
        <v>89</v>
      </c>
      <c r="M154" s="14">
        <v>1.71</v>
      </c>
      <c r="N154" s="14">
        <v>152.19</v>
      </c>
      <c r="O154">
        <v>6.9</v>
      </c>
      <c r="P154" t="s">
        <v>3275</v>
      </c>
    </row>
    <row r="155" spans="1:16" x14ac:dyDescent="0.25">
      <c r="A155" t="s">
        <v>1880</v>
      </c>
      <c r="B155" s="1">
        <v>45742.193055555559</v>
      </c>
      <c r="C155" t="s">
        <v>3274</v>
      </c>
      <c r="D155" t="s">
        <v>987</v>
      </c>
      <c r="E155" t="s">
        <v>867</v>
      </c>
      <c r="F155" t="s">
        <v>1240</v>
      </c>
      <c r="G155" t="s">
        <v>1020</v>
      </c>
      <c r="H155" t="str" cm="1">
        <f t="array" ref="H155">IF(AND(G155="",
      C155="Receipt"),
      _xlfn.XLOOKUP(1,
      (purchase_order_lines_coldchain!A155:A1153 = F155) *
      (purchase_order_lines_coldchain!G155:G1153 = E155) *
      (purchase_order_lines_coldchain!D155:D1153 = D155),
      purchase_order_lines_coldchain!B$2:B$1000,
      _xlfn.XLOOKUP(F155,purchase_order_lines_coldchain!A$2:A1153,
      purchase_order_lines_coldchain!B$2:B1153)),
      "")</f>
        <v/>
      </c>
      <c r="I155" t="str">
        <f t="shared" si="2"/>
        <v>PO000036</v>
      </c>
      <c r="J155" t="s">
        <v>1881</v>
      </c>
      <c r="K155" s="11">
        <v>211</v>
      </c>
      <c r="L155" s="11">
        <v>211</v>
      </c>
      <c r="M155" s="14">
        <v>15.77</v>
      </c>
      <c r="N155" s="14">
        <v>3327.47</v>
      </c>
      <c r="O155">
        <v>1.7</v>
      </c>
      <c r="P155" t="s">
        <v>3275</v>
      </c>
    </row>
    <row r="156" spans="1:16" x14ac:dyDescent="0.25">
      <c r="A156" t="s">
        <v>1882</v>
      </c>
      <c r="B156" s="1">
        <v>45688.302083333336</v>
      </c>
      <c r="C156" t="s">
        <v>3274</v>
      </c>
      <c r="D156" t="s">
        <v>999</v>
      </c>
      <c r="E156" t="s">
        <v>861</v>
      </c>
      <c r="F156" t="s">
        <v>1369</v>
      </c>
      <c r="G156" t="s">
        <v>1064</v>
      </c>
      <c r="H156" t="str" cm="1">
        <f t="array" ref="H156">IF(AND(G156="",
      C156="Receipt"),
      _xlfn.XLOOKUP(1,
      (purchase_order_lines_coldchain!A156:A1154 = F156) *
      (purchase_order_lines_coldchain!G156:G1154 = E156) *
      (purchase_order_lines_coldchain!D156:D1154 = D156),
      purchase_order_lines_coldchain!B$2:B$1000,
      _xlfn.XLOOKUP(F156,purchase_order_lines_coldchain!A$2:A1154,
      purchase_order_lines_coldchain!B$2:B1154)),
      "")</f>
        <v/>
      </c>
      <c r="I156" t="str">
        <f t="shared" si="2"/>
        <v>PO000080</v>
      </c>
      <c r="J156" t="s">
        <v>1883</v>
      </c>
      <c r="K156" s="11">
        <v>30</v>
      </c>
      <c r="L156" s="11">
        <v>30</v>
      </c>
      <c r="M156" s="14">
        <v>7.89</v>
      </c>
      <c r="N156" s="14">
        <v>236.7</v>
      </c>
      <c r="O156">
        <v>2.8</v>
      </c>
      <c r="P156" t="s">
        <v>3275</v>
      </c>
    </row>
    <row r="157" spans="1:16" x14ac:dyDescent="0.25">
      <c r="A157" t="s">
        <v>1884</v>
      </c>
      <c r="B157" s="1">
        <v>45709.179861111108</v>
      </c>
      <c r="C157" t="s">
        <v>3274</v>
      </c>
      <c r="D157" t="s">
        <v>972</v>
      </c>
      <c r="E157" t="s">
        <v>807</v>
      </c>
      <c r="F157" t="s">
        <v>1220</v>
      </c>
      <c r="G157" t="s">
        <v>1013</v>
      </c>
      <c r="H157" t="str" cm="1">
        <f t="array" ref="H157">IF(AND(G157="",
      C157="Receipt"),
      _xlfn.XLOOKUP(1,
      (purchase_order_lines_coldchain!A157:A1155 = F157) *
      (purchase_order_lines_coldchain!G157:G1155 = E157) *
      (purchase_order_lines_coldchain!D157:D1155 = D157),
      purchase_order_lines_coldchain!B$2:B$1000,
      _xlfn.XLOOKUP(F157,purchase_order_lines_coldchain!A$2:A1155,
      purchase_order_lines_coldchain!B$2:B1155)),
      "")</f>
        <v/>
      </c>
      <c r="I157" t="str">
        <f t="shared" si="2"/>
        <v>PO000029</v>
      </c>
      <c r="J157" t="s">
        <v>1885</v>
      </c>
      <c r="K157" s="11">
        <v>69</v>
      </c>
      <c r="L157" s="11">
        <v>69</v>
      </c>
      <c r="M157" s="14">
        <v>13.34</v>
      </c>
      <c r="N157" s="14">
        <v>920.46</v>
      </c>
      <c r="O157">
        <v>3.4</v>
      </c>
      <c r="P157" t="s">
        <v>3275</v>
      </c>
    </row>
    <row r="158" spans="1:16" x14ac:dyDescent="0.25">
      <c r="A158" t="s">
        <v>1886</v>
      </c>
      <c r="B158" s="1">
        <v>45678.754861111112</v>
      </c>
      <c r="C158" t="s">
        <v>3274</v>
      </c>
      <c r="D158" t="s">
        <v>964</v>
      </c>
      <c r="E158" t="s">
        <v>502</v>
      </c>
      <c r="F158" t="s">
        <v>1145</v>
      </c>
      <c r="G158" t="s">
        <v>963</v>
      </c>
      <c r="H158" t="str" cm="1">
        <f t="array" ref="H158">IF(AND(G158="",
      C158="Receipt"),
      _xlfn.XLOOKUP(1,
      (purchase_order_lines_coldchain!A158:A1156 = F158) *
      (purchase_order_lines_coldchain!G158:G1156 = E158) *
      (purchase_order_lines_coldchain!D158:D1156 = D158),
      purchase_order_lines_coldchain!B$2:B$1000,
      _xlfn.XLOOKUP(F158,purchase_order_lines_coldchain!A$2:A1156,
      purchase_order_lines_coldchain!B$2:B1156)),
      "")</f>
        <v/>
      </c>
      <c r="I158" t="str">
        <f t="shared" si="2"/>
        <v>PO000002</v>
      </c>
      <c r="J158" t="s">
        <v>1887</v>
      </c>
      <c r="K158" s="11">
        <v>195</v>
      </c>
      <c r="L158" s="11">
        <v>195</v>
      </c>
      <c r="M158" s="14">
        <v>13.16</v>
      </c>
      <c r="N158" s="14">
        <v>2566.1999999999998</v>
      </c>
      <c r="O158">
        <v>2.2999999999999998</v>
      </c>
      <c r="P158" t="s">
        <v>3275</v>
      </c>
    </row>
    <row r="159" spans="1:16" x14ac:dyDescent="0.25">
      <c r="A159" t="s">
        <v>1888</v>
      </c>
      <c r="B159" s="1">
        <v>45686.732638888891</v>
      </c>
      <c r="C159" t="s">
        <v>3274</v>
      </c>
      <c r="D159" t="s">
        <v>959</v>
      </c>
      <c r="E159" t="s">
        <v>570</v>
      </c>
      <c r="F159" t="s">
        <v>1361</v>
      </c>
      <c r="G159" t="s">
        <v>1062</v>
      </c>
      <c r="H159" t="str" cm="1">
        <f t="array" ref="H159">IF(AND(G159="",
      C159="Receipt"),
      _xlfn.XLOOKUP(1,
      (purchase_order_lines_coldchain!A159:A1157 = F159) *
      (purchase_order_lines_coldchain!G159:G1157 = E159) *
      (purchase_order_lines_coldchain!D159:D1157 = D159),
      purchase_order_lines_coldchain!B$2:B$1000,
      _xlfn.XLOOKUP(F159,purchase_order_lines_coldchain!A$2:A1157,
      purchase_order_lines_coldchain!B$2:B1157)),
      "")</f>
        <v/>
      </c>
      <c r="I159" t="str">
        <f t="shared" si="2"/>
        <v>PO000078</v>
      </c>
      <c r="J159" t="s">
        <v>1889</v>
      </c>
      <c r="K159" s="11">
        <v>135</v>
      </c>
      <c r="L159" s="11">
        <v>135</v>
      </c>
      <c r="M159" s="14">
        <v>10.66</v>
      </c>
      <c r="N159" s="14">
        <v>1439.1</v>
      </c>
      <c r="O159">
        <v>-16</v>
      </c>
      <c r="P159" t="s">
        <v>3275</v>
      </c>
    </row>
    <row r="160" spans="1:16" x14ac:dyDescent="0.25">
      <c r="A160" t="s">
        <v>1890</v>
      </c>
      <c r="B160" s="1">
        <v>45701.296527777777</v>
      </c>
      <c r="C160" t="s">
        <v>3274</v>
      </c>
      <c r="D160" t="s">
        <v>996</v>
      </c>
      <c r="E160" t="s">
        <v>554</v>
      </c>
      <c r="F160" t="s">
        <v>1251</v>
      </c>
      <c r="G160" t="s">
        <v>1024</v>
      </c>
      <c r="H160" t="str" cm="1">
        <f t="array" ref="H160">IF(AND(G160="",
      C160="Receipt"),
      _xlfn.XLOOKUP(1,
      (purchase_order_lines_coldchain!A160:A1158 = F160) *
      (purchase_order_lines_coldchain!G160:G1158 = E160) *
      (purchase_order_lines_coldchain!D160:D1158 = D160),
      purchase_order_lines_coldchain!B$2:B$1000,
      _xlfn.XLOOKUP(F160,purchase_order_lines_coldchain!A$2:A1158,
      purchase_order_lines_coldchain!B$2:B1158)),
      "")</f>
        <v/>
      </c>
      <c r="I160" t="str">
        <f t="shared" si="2"/>
        <v>PO000040</v>
      </c>
      <c r="J160" t="s">
        <v>1891</v>
      </c>
      <c r="K160" s="11">
        <v>87</v>
      </c>
      <c r="L160" s="11">
        <v>87</v>
      </c>
      <c r="M160" s="14">
        <v>15.89</v>
      </c>
      <c r="N160" s="14">
        <v>1382.43</v>
      </c>
      <c r="O160">
        <v>0.8</v>
      </c>
      <c r="P160" t="s">
        <v>3275</v>
      </c>
    </row>
    <row r="161" spans="1:16" x14ac:dyDescent="0.25">
      <c r="A161" t="s">
        <v>1892</v>
      </c>
      <c r="B161" s="1">
        <v>45717.561805555553</v>
      </c>
      <c r="C161" t="s">
        <v>3274</v>
      </c>
      <c r="D161" t="s">
        <v>999</v>
      </c>
      <c r="E161" t="s">
        <v>744</v>
      </c>
      <c r="F161" t="s">
        <v>1425</v>
      </c>
      <c r="G161" t="s">
        <v>1084</v>
      </c>
      <c r="H161" t="str" cm="1">
        <f t="array" ref="H161">IF(AND(G161="",
      C161="Receipt"),
      _xlfn.XLOOKUP(1,
      (purchase_order_lines_coldchain!A161:A1159 = F161) *
      (purchase_order_lines_coldchain!G161:G1159 = E161) *
      (purchase_order_lines_coldchain!D161:D1159 = D161),
      purchase_order_lines_coldchain!B$2:B$1000,
      _xlfn.XLOOKUP(F161,purchase_order_lines_coldchain!A$2:A1159,
      purchase_order_lines_coldchain!B$2:B1159)),
      "")</f>
        <v/>
      </c>
      <c r="I161" t="str">
        <f t="shared" si="2"/>
        <v>PO000100</v>
      </c>
      <c r="J161" t="s">
        <v>1893</v>
      </c>
      <c r="K161" s="11">
        <v>224</v>
      </c>
      <c r="L161" s="11">
        <v>224</v>
      </c>
      <c r="M161" s="14">
        <v>5.48</v>
      </c>
      <c r="N161" s="14">
        <v>1227.52</v>
      </c>
      <c r="O161">
        <v>3.1</v>
      </c>
      <c r="P161" t="s">
        <v>3275</v>
      </c>
    </row>
    <row r="162" spans="1:16" x14ac:dyDescent="0.25">
      <c r="A162" t="s">
        <v>1894</v>
      </c>
      <c r="B162" s="1">
        <v>45701.28402777778</v>
      </c>
      <c r="C162" t="s">
        <v>3274</v>
      </c>
      <c r="D162" t="s">
        <v>990</v>
      </c>
      <c r="E162" t="s">
        <v>511</v>
      </c>
      <c r="F162" t="s">
        <v>1396</v>
      </c>
      <c r="G162" t="s">
        <v>1074</v>
      </c>
      <c r="H162" t="str" cm="1">
        <f t="array" ref="H162">IF(AND(G162="",
      C162="Receipt"),
      _xlfn.XLOOKUP(1,
      (purchase_order_lines_coldchain!A162:A1160 = F162) *
      (purchase_order_lines_coldchain!G162:G1160 = E162) *
      (purchase_order_lines_coldchain!D162:D1160 = D162),
      purchase_order_lines_coldchain!B$2:B$1000,
      _xlfn.XLOOKUP(F162,purchase_order_lines_coldchain!A$2:A1160,
      purchase_order_lines_coldchain!B$2:B1160)),
      "")</f>
        <v/>
      </c>
      <c r="I162" t="str">
        <f t="shared" si="2"/>
        <v>PO000090</v>
      </c>
      <c r="J162" t="s">
        <v>1895</v>
      </c>
      <c r="K162" s="11">
        <v>198</v>
      </c>
      <c r="L162" s="11">
        <v>198</v>
      </c>
      <c r="M162" s="14">
        <v>12.22</v>
      </c>
      <c r="N162" s="14">
        <v>2419.56</v>
      </c>
      <c r="O162">
        <v>-0.7</v>
      </c>
      <c r="P162" t="s">
        <v>3275</v>
      </c>
    </row>
    <row r="163" spans="1:16" x14ac:dyDescent="0.25">
      <c r="A163" t="s">
        <v>1896</v>
      </c>
      <c r="B163" s="1">
        <v>45702.15902777778</v>
      </c>
      <c r="C163" t="s">
        <v>3274</v>
      </c>
      <c r="D163" t="s">
        <v>990</v>
      </c>
      <c r="E163" t="s">
        <v>768</v>
      </c>
      <c r="F163" t="s">
        <v>1397</v>
      </c>
      <c r="G163" t="s">
        <v>1074</v>
      </c>
      <c r="H163" t="str" cm="1">
        <f t="array" ref="H163">IF(AND(G163="",
      C163="Receipt"),
      _xlfn.XLOOKUP(1,
      (purchase_order_lines_coldchain!A163:A1161 = F163) *
      (purchase_order_lines_coldchain!G163:G1161 = E163) *
      (purchase_order_lines_coldchain!D163:D1161 = D163),
      purchase_order_lines_coldchain!B$2:B$1000,
      _xlfn.XLOOKUP(F163,purchase_order_lines_coldchain!A$2:A1161,
      purchase_order_lines_coldchain!B$2:B1161)),
      "")</f>
        <v/>
      </c>
      <c r="I163" t="str">
        <f t="shared" si="2"/>
        <v>PO000090</v>
      </c>
      <c r="J163" t="s">
        <v>1897</v>
      </c>
      <c r="K163" s="11">
        <v>38</v>
      </c>
      <c r="L163" s="11">
        <v>38</v>
      </c>
      <c r="M163" s="14">
        <v>10.44</v>
      </c>
      <c r="N163" s="14">
        <v>396.72</v>
      </c>
      <c r="O163">
        <v>6.2</v>
      </c>
      <c r="P163" t="s">
        <v>3275</v>
      </c>
    </row>
    <row r="164" spans="1:16" x14ac:dyDescent="0.25">
      <c r="A164" t="s">
        <v>1898</v>
      </c>
      <c r="B164" s="1">
        <v>45685.164583333331</v>
      </c>
      <c r="C164" t="s">
        <v>3274</v>
      </c>
      <c r="D164" t="s">
        <v>964</v>
      </c>
      <c r="E164" t="s">
        <v>564</v>
      </c>
      <c r="F164" t="s">
        <v>1316</v>
      </c>
      <c r="G164" t="s">
        <v>1046</v>
      </c>
      <c r="H164" t="str" cm="1">
        <f t="array" ref="H164">IF(AND(G164="",
      C164="Receipt"),
      _xlfn.XLOOKUP(1,
      (purchase_order_lines_coldchain!A164:A1162 = F164) *
      (purchase_order_lines_coldchain!G164:G1162 = E164) *
      (purchase_order_lines_coldchain!D164:D1162 = D164),
      purchase_order_lines_coldchain!B$2:B$1000,
      _xlfn.XLOOKUP(F164,purchase_order_lines_coldchain!A$2:A1162,
      purchase_order_lines_coldchain!B$2:B1162)),
      "")</f>
        <v/>
      </c>
      <c r="I164" t="str">
        <f t="shared" si="2"/>
        <v>PO000062</v>
      </c>
      <c r="J164" t="s">
        <v>1899</v>
      </c>
      <c r="K164" s="11">
        <v>61</v>
      </c>
      <c r="L164" s="11">
        <v>61</v>
      </c>
      <c r="M164" s="14">
        <v>12.2</v>
      </c>
      <c r="N164" s="14">
        <v>744.2</v>
      </c>
      <c r="O164">
        <v>7.7</v>
      </c>
      <c r="P164" t="s">
        <v>3275</v>
      </c>
    </row>
    <row r="165" spans="1:16" x14ac:dyDescent="0.25">
      <c r="A165" t="s">
        <v>1900</v>
      </c>
      <c r="B165" s="1">
        <v>45710.427083333336</v>
      </c>
      <c r="C165" t="s">
        <v>3274</v>
      </c>
      <c r="D165" t="s">
        <v>990</v>
      </c>
      <c r="E165" t="s">
        <v>858</v>
      </c>
      <c r="F165" t="s">
        <v>1506</v>
      </c>
      <c r="G165" t="s">
        <v>1114</v>
      </c>
      <c r="H165" t="str" cm="1">
        <f t="array" ref="H165">IF(AND(G165="",
      C165="Receipt"),
      _xlfn.XLOOKUP(1,
      (purchase_order_lines_coldchain!A165:A1163 = F165) *
      (purchase_order_lines_coldchain!G165:G1163 = E165) *
      (purchase_order_lines_coldchain!D165:D1163 = D165),
      purchase_order_lines_coldchain!B$2:B$1000,
      _xlfn.XLOOKUP(F165,purchase_order_lines_coldchain!A$2:A1163,
      purchase_order_lines_coldchain!B$2:B1163)),
      "")</f>
        <v/>
      </c>
      <c r="I165" t="str">
        <f t="shared" si="2"/>
        <v>PO000130</v>
      </c>
      <c r="J165" t="s">
        <v>1901</v>
      </c>
      <c r="K165" s="11">
        <v>176</v>
      </c>
      <c r="L165" s="11">
        <v>176</v>
      </c>
      <c r="M165" s="14">
        <v>5.57</v>
      </c>
      <c r="N165" s="14">
        <v>980.32</v>
      </c>
      <c r="O165">
        <v>-0.3</v>
      </c>
      <c r="P165" t="s">
        <v>3275</v>
      </c>
    </row>
    <row r="166" spans="1:16" x14ac:dyDescent="0.25">
      <c r="A166" t="s">
        <v>1902</v>
      </c>
      <c r="B166" s="1">
        <v>45722.54583333333</v>
      </c>
      <c r="C166" t="s">
        <v>3274</v>
      </c>
      <c r="D166" t="s">
        <v>996</v>
      </c>
      <c r="E166" t="s">
        <v>858</v>
      </c>
      <c r="F166" t="s">
        <v>1442</v>
      </c>
      <c r="G166" t="s">
        <v>1091</v>
      </c>
      <c r="H166" t="str" cm="1">
        <f t="array" ref="H166">IF(AND(G166="",
      C166="Receipt"),
      _xlfn.XLOOKUP(1,
      (purchase_order_lines_coldchain!A166:A1164 = F166) *
      (purchase_order_lines_coldchain!G166:G1164 = E166) *
      (purchase_order_lines_coldchain!D166:D1164 = D166),
      purchase_order_lines_coldchain!B$2:B$1000,
      _xlfn.XLOOKUP(F166,purchase_order_lines_coldchain!A$2:A1164,
      purchase_order_lines_coldchain!B$2:B1164)),
      "")</f>
        <v/>
      </c>
      <c r="I166" t="str">
        <f t="shared" si="2"/>
        <v>PO000107</v>
      </c>
      <c r="J166" t="s">
        <v>1903</v>
      </c>
      <c r="K166" s="11">
        <v>185</v>
      </c>
      <c r="L166" s="11">
        <v>185</v>
      </c>
      <c r="M166" s="14">
        <v>6.16</v>
      </c>
      <c r="N166" s="14">
        <v>1139.5999999999999</v>
      </c>
      <c r="O166">
        <v>1</v>
      </c>
      <c r="P166" t="s">
        <v>3275</v>
      </c>
    </row>
    <row r="167" spans="1:16" x14ac:dyDescent="0.25">
      <c r="A167" t="s">
        <v>1904</v>
      </c>
      <c r="B167" s="1">
        <v>45723.097222222219</v>
      </c>
      <c r="C167" t="s">
        <v>3274</v>
      </c>
      <c r="D167" t="s">
        <v>999</v>
      </c>
      <c r="E167" t="s">
        <v>452</v>
      </c>
      <c r="F167" t="s">
        <v>1229</v>
      </c>
      <c r="G167" t="s">
        <v>1016</v>
      </c>
      <c r="H167" t="str" cm="1">
        <f t="array" ref="H167">IF(AND(G167="",
      C167="Receipt"),
      _xlfn.XLOOKUP(1,
      (purchase_order_lines_coldchain!A167:A1165 = F167) *
      (purchase_order_lines_coldchain!G167:G1165 = E167) *
      (purchase_order_lines_coldchain!D167:D1165 = D167),
      purchase_order_lines_coldchain!B$2:B$1000,
      _xlfn.XLOOKUP(F167,purchase_order_lines_coldchain!A$2:A1165,
      purchase_order_lines_coldchain!B$2:B1165)),
      "")</f>
        <v/>
      </c>
      <c r="I167" t="str">
        <f t="shared" si="2"/>
        <v>PO000032</v>
      </c>
      <c r="J167" t="s">
        <v>1905</v>
      </c>
      <c r="K167" s="11">
        <v>23</v>
      </c>
      <c r="L167" s="11">
        <v>23</v>
      </c>
      <c r="M167" s="14">
        <v>11.52</v>
      </c>
      <c r="N167" s="14">
        <v>264.95999999999998</v>
      </c>
      <c r="O167">
        <v>2.1</v>
      </c>
      <c r="P167" t="s">
        <v>3275</v>
      </c>
    </row>
    <row r="168" spans="1:16" x14ac:dyDescent="0.25">
      <c r="A168" t="s">
        <v>1906</v>
      </c>
      <c r="B168" s="1">
        <v>45724.48333333333</v>
      </c>
      <c r="C168" t="s">
        <v>3274</v>
      </c>
      <c r="D168" t="s">
        <v>980</v>
      </c>
      <c r="E168" t="s">
        <v>900</v>
      </c>
      <c r="F168" t="s">
        <v>1226</v>
      </c>
      <c r="G168" t="s">
        <v>1678</v>
      </c>
      <c r="H168" t="str" cm="1">
        <f t="array" ref="H168">IF(AND(G168="",
      C168="Receipt"),
      _xlfn.XLOOKUP(1,
      (purchase_order_lines_coldchain!A168:A1166 = F168) *
      (purchase_order_lines_coldchain!G168:G1166 = E168) *
      (purchase_order_lines_coldchain!D168:D1166 = D168),
      purchase_order_lines_coldchain!B$2:B$1000,
      _xlfn.XLOOKUP(F168,purchase_order_lines_coldchain!A$2:A1166,
      purchase_order_lines_coldchain!B$2:B1166)),
      "")</f>
        <v>PO000031</v>
      </c>
      <c r="I168" t="str">
        <f t="shared" si="2"/>
        <v>PO000031</v>
      </c>
      <c r="J168" t="s">
        <v>1907</v>
      </c>
      <c r="K168" s="11">
        <v>86</v>
      </c>
      <c r="L168" s="11">
        <v>86</v>
      </c>
      <c r="M168" s="14">
        <v>15.17</v>
      </c>
      <c r="N168" s="14">
        <v>1304.6199999999999</v>
      </c>
      <c r="O168">
        <v>1.1000000000000001</v>
      </c>
      <c r="P168" t="s">
        <v>3275</v>
      </c>
    </row>
    <row r="169" spans="1:16" x14ac:dyDescent="0.25">
      <c r="A169" t="s">
        <v>1908</v>
      </c>
      <c r="B169" s="1">
        <v>45700.629861111112</v>
      </c>
      <c r="C169" t="s">
        <v>3274</v>
      </c>
      <c r="D169" t="s">
        <v>987</v>
      </c>
      <c r="E169" t="s">
        <v>557</v>
      </c>
      <c r="F169" t="s">
        <v>1486</v>
      </c>
      <c r="G169" t="s">
        <v>1107</v>
      </c>
      <c r="H169" t="str" cm="1">
        <f t="array" ref="H169">IF(AND(G169="",
      C169="Receipt"),
      _xlfn.XLOOKUP(1,
      (purchase_order_lines_coldchain!A169:A1167 = F169) *
      (purchase_order_lines_coldchain!G169:G1167 = E169) *
      (purchase_order_lines_coldchain!D169:D1167 = D169),
      purchase_order_lines_coldchain!B$2:B$1000,
      _xlfn.XLOOKUP(F169,purchase_order_lines_coldchain!A$2:A1167,
      purchase_order_lines_coldchain!B$2:B1167)),
      "")</f>
        <v/>
      </c>
      <c r="I169" t="str">
        <f t="shared" si="2"/>
        <v>PO000123</v>
      </c>
      <c r="J169" t="s">
        <v>1909</v>
      </c>
      <c r="K169" s="11">
        <v>119</v>
      </c>
      <c r="L169" s="11">
        <v>119</v>
      </c>
      <c r="M169" s="14">
        <v>1.65</v>
      </c>
      <c r="N169" s="14">
        <v>196.35</v>
      </c>
      <c r="O169">
        <v>2.2000000000000002</v>
      </c>
      <c r="P169" t="s">
        <v>3275</v>
      </c>
    </row>
    <row r="170" spans="1:16" x14ac:dyDescent="0.25">
      <c r="A170" t="s">
        <v>1910</v>
      </c>
      <c r="B170" s="1">
        <v>45679.79583333333</v>
      </c>
      <c r="C170" t="s">
        <v>3274</v>
      </c>
      <c r="D170" t="s">
        <v>980</v>
      </c>
      <c r="E170" t="s">
        <v>876</v>
      </c>
      <c r="F170" t="s">
        <v>1317</v>
      </c>
      <c r="G170" t="s">
        <v>1047</v>
      </c>
      <c r="H170" t="str" cm="1">
        <f t="array" ref="H170">IF(AND(G170="",
      C170="Receipt"),
      _xlfn.XLOOKUP(1,
      (purchase_order_lines_coldchain!A170:A1168 = F170) *
      (purchase_order_lines_coldchain!G170:G1168 = E170) *
      (purchase_order_lines_coldchain!D170:D1168 = D170),
      purchase_order_lines_coldchain!B$2:B$1000,
      _xlfn.XLOOKUP(F170,purchase_order_lines_coldchain!A$2:A1168,
      purchase_order_lines_coldchain!B$2:B1168)),
      "")</f>
        <v/>
      </c>
      <c r="I170" t="str">
        <f t="shared" si="2"/>
        <v>PO000063</v>
      </c>
      <c r="J170" t="s">
        <v>1911</v>
      </c>
      <c r="K170" s="11">
        <v>31</v>
      </c>
      <c r="L170" s="11">
        <v>31</v>
      </c>
      <c r="M170" s="14">
        <v>6.08</v>
      </c>
      <c r="N170" s="14">
        <v>188.48</v>
      </c>
      <c r="O170">
        <v>3.4</v>
      </c>
      <c r="P170" t="s">
        <v>3275</v>
      </c>
    </row>
    <row r="171" spans="1:16" x14ac:dyDescent="0.25">
      <c r="A171" t="s">
        <v>1912</v>
      </c>
      <c r="B171" s="1">
        <v>45731.642361111109</v>
      </c>
      <c r="C171" t="s">
        <v>3274</v>
      </c>
      <c r="D171" t="s">
        <v>999</v>
      </c>
      <c r="E171" t="s">
        <v>401</v>
      </c>
      <c r="F171" t="s">
        <v>1216</v>
      </c>
      <c r="G171" t="s">
        <v>1011</v>
      </c>
      <c r="H171" t="str" cm="1">
        <f t="array" ref="H171">IF(AND(G171="",
      C171="Receipt"),
      _xlfn.XLOOKUP(1,
      (purchase_order_lines_coldchain!A171:A1169 = F171) *
      (purchase_order_lines_coldchain!G171:G1169 = E171) *
      (purchase_order_lines_coldchain!D171:D1169 = D171),
      purchase_order_lines_coldchain!B$2:B$1000,
      _xlfn.XLOOKUP(F171,purchase_order_lines_coldchain!A$2:A1169,
      purchase_order_lines_coldchain!B$2:B1169)),
      "")</f>
        <v/>
      </c>
      <c r="I171" t="str">
        <f t="shared" si="2"/>
        <v>PO000027</v>
      </c>
      <c r="J171" t="s">
        <v>1913</v>
      </c>
      <c r="K171" s="11">
        <v>161</v>
      </c>
      <c r="L171" s="11">
        <v>161</v>
      </c>
      <c r="M171" s="14">
        <v>5.92</v>
      </c>
      <c r="N171" s="14">
        <v>953.12</v>
      </c>
      <c r="O171">
        <v>5.8</v>
      </c>
      <c r="P171" t="s">
        <v>3275</v>
      </c>
    </row>
    <row r="172" spans="1:16" x14ac:dyDescent="0.25">
      <c r="A172" t="s">
        <v>1914</v>
      </c>
      <c r="B172" s="1">
        <v>45703.129861111112</v>
      </c>
      <c r="C172" t="s">
        <v>3274</v>
      </c>
      <c r="D172" t="s">
        <v>996</v>
      </c>
      <c r="E172" t="s">
        <v>554</v>
      </c>
      <c r="F172" t="s">
        <v>1252</v>
      </c>
      <c r="G172" t="s">
        <v>1024</v>
      </c>
      <c r="H172" t="str" cm="1">
        <f t="array" ref="H172">IF(AND(G172="",
      C172="Receipt"),
      _xlfn.XLOOKUP(1,
      (purchase_order_lines_coldchain!A172:A1170 = F172) *
      (purchase_order_lines_coldchain!G172:G1170 = E172) *
      (purchase_order_lines_coldchain!D172:D1170 = D172),
      purchase_order_lines_coldchain!B$2:B$1000,
      _xlfn.XLOOKUP(F172,purchase_order_lines_coldchain!A$2:A1170,
      purchase_order_lines_coldchain!B$2:B1170)),
      "")</f>
        <v/>
      </c>
      <c r="I172" t="str">
        <f t="shared" si="2"/>
        <v>PO000040</v>
      </c>
      <c r="J172" t="s">
        <v>1915</v>
      </c>
      <c r="K172" s="11">
        <v>9</v>
      </c>
      <c r="L172" s="11">
        <v>9</v>
      </c>
      <c r="M172" s="14">
        <v>17.399999999999999</v>
      </c>
      <c r="N172" s="14">
        <v>156.6</v>
      </c>
      <c r="O172">
        <v>1.4</v>
      </c>
      <c r="P172" t="s">
        <v>3275</v>
      </c>
    </row>
    <row r="173" spans="1:16" x14ac:dyDescent="0.25">
      <c r="A173" t="s">
        <v>1916</v>
      </c>
      <c r="B173" s="1">
        <v>45719.754166666666</v>
      </c>
      <c r="C173" t="s">
        <v>3274</v>
      </c>
      <c r="D173" t="s">
        <v>996</v>
      </c>
      <c r="E173" t="s">
        <v>819</v>
      </c>
      <c r="F173" t="s">
        <v>1444</v>
      </c>
      <c r="G173" t="s">
        <v>1091</v>
      </c>
      <c r="H173" t="str" cm="1">
        <f t="array" ref="H173">IF(AND(G173="",
      C173="Receipt"),
      _xlfn.XLOOKUP(1,
      (purchase_order_lines_coldchain!A173:A1171 = F173) *
      (purchase_order_lines_coldchain!G173:G1171 = E173) *
      (purchase_order_lines_coldchain!D173:D1171 = D173),
      purchase_order_lines_coldchain!B$2:B$1000,
      _xlfn.XLOOKUP(F173,purchase_order_lines_coldchain!A$2:A1171,
      purchase_order_lines_coldchain!B$2:B1171)),
      "")</f>
        <v/>
      </c>
      <c r="I173" t="str">
        <f t="shared" si="2"/>
        <v>PO000107</v>
      </c>
      <c r="J173" t="s">
        <v>1917</v>
      </c>
      <c r="K173" s="11">
        <v>71</v>
      </c>
      <c r="L173" s="11">
        <v>71</v>
      </c>
      <c r="M173" s="14">
        <v>9.82</v>
      </c>
      <c r="N173" s="14">
        <v>697.22</v>
      </c>
      <c r="O173">
        <v>2.9</v>
      </c>
      <c r="P173" t="s">
        <v>3275</v>
      </c>
    </row>
    <row r="174" spans="1:16" x14ac:dyDescent="0.25">
      <c r="A174" t="s">
        <v>1918</v>
      </c>
      <c r="B174" s="1">
        <v>45746.863194444442</v>
      </c>
      <c r="C174" t="s">
        <v>3274</v>
      </c>
      <c r="D174" t="s">
        <v>996</v>
      </c>
      <c r="E174" t="s">
        <v>449</v>
      </c>
      <c r="F174" t="s">
        <v>1349</v>
      </c>
      <c r="G174" t="s">
        <v>1058</v>
      </c>
      <c r="H174" t="str" cm="1">
        <f t="array" ref="H174">IF(AND(G174="",
      C174="Receipt"),
      _xlfn.XLOOKUP(1,
      (purchase_order_lines_coldchain!A174:A1172 = F174) *
      (purchase_order_lines_coldchain!G174:G1172 = E174) *
      (purchase_order_lines_coldchain!D174:D1172 = D174),
      purchase_order_lines_coldchain!B$2:B$1000,
      _xlfn.XLOOKUP(F174,purchase_order_lines_coldchain!A$2:A1172,
      purchase_order_lines_coldchain!B$2:B1172)),
      "")</f>
        <v/>
      </c>
      <c r="I174" t="str">
        <f t="shared" si="2"/>
        <v>PO000074</v>
      </c>
      <c r="J174" t="s">
        <v>1919</v>
      </c>
      <c r="K174" s="11">
        <v>111</v>
      </c>
      <c r="L174" s="11">
        <v>111</v>
      </c>
      <c r="M174" s="14">
        <v>15.82</v>
      </c>
      <c r="N174" s="14">
        <v>1756.02</v>
      </c>
      <c r="O174">
        <v>6.2</v>
      </c>
      <c r="P174" t="s">
        <v>3275</v>
      </c>
    </row>
    <row r="175" spans="1:16" x14ac:dyDescent="0.25">
      <c r="A175" t="s">
        <v>1920</v>
      </c>
      <c r="B175" s="1">
        <v>45707.186805555553</v>
      </c>
      <c r="C175" t="s">
        <v>3274</v>
      </c>
      <c r="D175" t="s">
        <v>959</v>
      </c>
      <c r="E175" t="s">
        <v>499</v>
      </c>
      <c r="F175" t="s">
        <v>1448</v>
      </c>
      <c r="G175" t="s">
        <v>1093</v>
      </c>
      <c r="H175" t="str" cm="1">
        <f t="array" ref="H175">IF(AND(G175="",
      C175="Receipt"),
      _xlfn.XLOOKUP(1,
      (purchase_order_lines_coldchain!A175:A1173 = F175) *
      (purchase_order_lines_coldchain!G175:G1173 = E175) *
      (purchase_order_lines_coldchain!D175:D1173 = D175),
      purchase_order_lines_coldchain!B$2:B$1000,
      _xlfn.XLOOKUP(F175,purchase_order_lines_coldchain!A$2:A1173,
      purchase_order_lines_coldchain!B$2:B1173)),
      "")</f>
        <v/>
      </c>
      <c r="I175" t="str">
        <f t="shared" si="2"/>
        <v>PO000109</v>
      </c>
      <c r="J175" t="s">
        <v>1921</v>
      </c>
      <c r="K175" s="11">
        <v>100</v>
      </c>
      <c r="L175" s="11">
        <v>100</v>
      </c>
      <c r="M175" s="14">
        <v>2.38</v>
      </c>
      <c r="N175" s="14">
        <v>238</v>
      </c>
      <c r="O175">
        <v>4.7</v>
      </c>
      <c r="P175" t="s">
        <v>3275</v>
      </c>
    </row>
    <row r="176" spans="1:16" x14ac:dyDescent="0.25">
      <c r="A176" t="s">
        <v>1922</v>
      </c>
      <c r="B176" s="1">
        <v>45708.484722222223</v>
      </c>
      <c r="C176" t="s">
        <v>3274</v>
      </c>
      <c r="D176" t="s">
        <v>999</v>
      </c>
      <c r="E176" t="s">
        <v>624</v>
      </c>
      <c r="F176" t="s">
        <v>1552</v>
      </c>
      <c r="G176" t="s">
        <v>1131</v>
      </c>
      <c r="H176" t="str" cm="1">
        <f t="array" ref="H176">IF(AND(G176="",
      C176="Receipt"),
      _xlfn.XLOOKUP(1,
      (purchase_order_lines_coldchain!A176:A1174 = F176) *
      (purchase_order_lines_coldchain!G176:G1174 = E176) *
      (purchase_order_lines_coldchain!D176:D1174 = D176),
      purchase_order_lines_coldchain!B$2:B$1000,
      _xlfn.XLOOKUP(F176,purchase_order_lines_coldchain!A$2:A1174,
      purchase_order_lines_coldchain!B$2:B1174)),
      "")</f>
        <v/>
      </c>
      <c r="I176" t="str">
        <f t="shared" si="2"/>
        <v>PO000147</v>
      </c>
      <c r="J176" t="s">
        <v>1923</v>
      </c>
      <c r="K176" s="11">
        <v>161</v>
      </c>
      <c r="L176" s="11">
        <v>161</v>
      </c>
      <c r="M176" s="14">
        <v>3.56</v>
      </c>
      <c r="N176" s="14">
        <v>573.16</v>
      </c>
      <c r="O176">
        <v>7.7</v>
      </c>
      <c r="P176" t="s">
        <v>3275</v>
      </c>
    </row>
    <row r="177" spans="1:16" x14ac:dyDescent="0.25">
      <c r="A177" t="s">
        <v>1924</v>
      </c>
      <c r="B177" s="1">
        <v>45733.694444444445</v>
      </c>
      <c r="C177" t="s">
        <v>3274</v>
      </c>
      <c r="D177" t="s">
        <v>976</v>
      </c>
      <c r="E177" t="s">
        <v>630</v>
      </c>
      <c r="F177" t="s">
        <v>1255</v>
      </c>
      <c r="G177" t="s">
        <v>1025</v>
      </c>
      <c r="H177" t="str" cm="1">
        <f t="array" ref="H177">IF(AND(G177="",
      C177="Receipt"),
      _xlfn.XLOOKUP(1,
      (purchase_order_lines_coldchain!A177:A1175 = F177) *
      (purchase_order_lines_coldchain!G177:G1175 = E177) *
      (purchase_order_lines_coldchain!D177:D1175 = D177),
      purchase_order_lines_coldchain!B$2:B$1000,
      _xlfn.XLOOKUP(F177,purchase_order_lines_coldchain!A$2:A1175,
      purchase_order_lines_coldchain!B$2:B1175)),
      "")</f>
        <v/>
      </c>
      <c r="I177" t="str">
        <f t="shared" si="2"/>
        <v>PO000041</v>
      </c>
      <c r="J177" t="s">
        <v>1925</v>
      </c>
      <c r="K177" s="11">
        <v>136</v>
      </c>
      <c r="L177" s="11">
        <v>136</v>
      </c>
      <c r="M177" s="14">
        <v>11.84</v>
      </c>
      <c r="N177" s="14">
        <v>1610.24</v>
      </c>
      <c r="O177">
        <v>6.8</v>
      </c>
      <c r="P177" t="s">
        <v>3275</v>
      </c>
    </row>
    <row r="178" spans="1:16" x14ac:dyDescent="0.25">
      <c r="A178" t="s">
        <v>1926</v>
      </c>
      <c r="B178" s="1">
        <v>45677.09097222222</v>
      </c>
      <c r="C178" t="s">
        <v>3274</v>
      </c>
      <c r="D178" t="s">
        <v>990</v>
      </c>
      <c r="E178" t="s">
        <v>705</v>
      </c>
      <c r="F178" t="s">
        <v>1262</v>
      </c>
      <c r="G178" t="s">
        <v>1028</v>
      </c>
      <c r="H178" t="str" cm="1">
        <f t="array" ref="H178">IF(AND(G178="",
      C178="Receipt"),
      _xlfn.XLOOKUP(1,
      (purchase_order_lines_coldchain!A178:A1176 = F178) *
      (purchase_order_lines_coldchain!G178:G1176 = E178) *
      (purchase_order_lines_coldchain!D178:D1176 = D178),
      purchase_order_lines_coldchain!B$2:B$1000,
      _xlfn.XLOOKUP(F178,purchase_order_lines_coldchain!A$2:A1176,
      purchase_order_lines_coldchain!B$2:B1176)),
      "")</f>
        <v/>
      </c>
      <c r="I178" t="str">
        <f t="shared" si="2"/>
        <v>PO000044</v>
      </c>
      <c r="J178" t="s">
        <v>1927</v>
      </c>
      <c r="K178" s="11">
        <v>92</v>
      </c>
      <c r="L178" s="11">
        <v>92</v>
      </c>
      <c r="M178" s="14">
        <v>12.33</v>
      </c>
      <c r="N178" s="14">
        <v>1134.3599999999999</v>
      </c>
      <c r="O178">
        <v>3.1</v>
      </c>
      <c r="P178" t="s">
        <v>3275</v>
      </c>
    </row>
    <row r="179" spans="1:16" x14ac:dyDescent="0.25">
      <c r="A179" t="s">
        <v>1928</v>
      </c>
      <c r="B179" s="1">
        <v>45682.297222222223</v>
      </c>
      <c r="C179" t="s">
        <v>3274</v>
      </c>
      <c r="D179" t="s">
        <v>964</v>
      </c>
      <c r="E179" t="s">
        <v>681</v>
      </c>
      <c r="F179" t="s">
        <v>1164</v>
      </c>
      <c r="G179" t="s">
        <v>985</v>
      </c>
      <c r="H179" t="str" cm="1">
        <f t="array" ref="H179">IF(AND(G179="",
      C179="Receipt"),
      _xlfn.XLOOKUP(1,
      (purchase_order_lines_coldchain!A179:A1177 = F179) *
      (purchase_order_lines_coldchain!G179:G1177 = E179) *
      (purchase_order_lines_coldchain!D179:D1177 = D179),
      purchase_order_lines_coldchain!B$2:B$1000,
      _xlfn.XLOOKUP(F179,purchase_order_lines_coldchain!A$2:A1177,
      purchase_order_lines_coldchain!B$2:B1177)),
      "")</f>
        <v/>
      </c>
      <c r="I179" t="str">
        <f t="shared" si="2"/>
        <v>PO000009</v>
      </c>
      <c r="J179" t="s">
        <v>1929</v>
      </c>
      <c r="K179" s="11">
        <v>155</v>
      </c>
      <c r="L179" s="11">
        <v>155</v>
      </c>
      <c r="M179" s="14">
        <v>4.3600000000000003</v>
      </c>
      <c r="N179" s="14">
        <v>675.8</v>
      </c>
      <c r="O179">
        <v>5.8</v>
      </c>
      <c r="P179" t="s">
        <v>3275</v>
      </c>
    </row>
    <row r="180" spans="1:16" x14ac:dyDescent="0.25">
      <c r="A180" t="s">
        <v>1930</v>
      </c>
      <c r="B180" s="1">
        <v>45739.765972222223</v>
      </c>
      <c r="C180" t="s">
        <v>3274</v>
      </c>
      <c r="D180" t="s">
        <v>980</v>
      </c>
      <c r="E180" t="s">
        <v>699</v>
      </c>
      <c r="F180" t="s">
        <v>1190</v>
      </c>
      <c r="G180" t="s">
        <v>1002</v>
      </c>
      <c r="H180" t="str" cm="1">
        <f t="array" ref="H180">IF(AND(G180="",
      C180="Receipt"),
      _xlfn.XLOOKUP(1,
      (purchase_order_lines_coldchain!A180:A1178 = F180) *
      (purchase_order_lines_coldchain!G180:G1178 = E180) *
      (purchase_order_lines_coldchain!D180:D1178 = D180),
      purchase_order_lines_coldchain!B$2:B$1000,
      _xlfn.XLOOKUP(F180,purchase_order_lines_coldchain!A$2:A1178,
      purchase_order_lines_coldchain!B$2:B1178)),
      "")</f>
        <v/>
      </c>
      <c r="I180" t="str">
        <f t="shared" si="2"/>
        <v>PO000018</v>
      </c>
      <c r="J180" t="s">
        <v>1931</v>
      </c>
      <c r="K180" s="11">
        <v>124</v>
      </c>
      <c r="L180" s="11">
        <v>124</v>
      </c>
      <c r="M180" s="14">
        <v>1.76</v>
      </c>
      <c r="N180" s="14">
        <v>218.24</v>
      </c>
      <c r="O180">
        <v>5.8</v>
      </c>
      <c r="P180" t="s">
        <v>3275</v>
      </c>
    </row>
    <row r="181" spans="1:16" x14ac:dyDescent="0.25">
      <c r="A181" t="s">
        <v>1932</v>
      </c>
      <c r="B181" s="1">
        <v>45728.298611111109</v>
      </c>
      <c r="C181" t="s">
        <v>3274</v>
      </c>
      <c r="D181" t="s">
        <v>964</v>
      </c>
      <c r="E181" t="s">
        <v>888</v>
      </c>
      <c r="F181" t="s">
        <v>1538</v>
      </c>
      <c r="G181" t="s">
        <v>1678</v>
      </c>
      <c r="H181" t="str" cm="1">
        <f t="array" ref="H181">IF(AND(G181="",
      C181="Receipt"),
      _xlfn.XLOOKUP(1,
      (purchase_order_lines_coldchain!A181:A1179 = F181) *
      (purchase_order_lines_coldchain!G181:G1179 = E181) *
      (purchase_order_lines_coldchain!D181:D1179 = D181),
      purchase_order_lines_coldchain!B$2:B$1000,
      _xlfn.XLOOKUP(F181,purchase_order_lines_coldchain!A$2:A1179,
      purchase_order_lines_coldchain!B$2:B1179)),
      "")</f>
        <v>PO000077</v>
      </c>
      <c r="I181" t="str">
        <f t="shared" si="2"/>
        <v>PO000077</v>
      </c>
      <c r="J181" t="s">
        <v>1933</v>
      </c>
      <c r="K181" s="11">
        <v>175</v>
      </c>
      <c r="L181" s="11">
        <v>175</v>
      </c>
      <c r="M181" s="14">
        <v>3.81</v>
      </c>
      <c r="N181" s="14">
        <v>666.75</v>
      </c>
      <c r="O181">
        <v>1.6</v>
      </c>
      <c r="P181" t="s">
        <v>3275</v>
      </c>
    </row>
    <row r="182" spans="1:16" x14ac:dyDescent="0.25">
      <c r="A182" t="s">
        <v>1934</v>
      </c>
      <c r="B182" s="1">
        <v>45715.382638888892</v>
      </c>
      <c r="C182" t="s">
        <v>3274</v>
      </c>
      <c r="D182" t="s">
        <v>976</v>
      </c>
      <c r="E182" t="s">
        <v>588</v>
      </c>
      <c r="F182" t="s">
        <v>1201</v>
      </c>
      <c r="G182" t="s">
        <v>1006</v>
      </c>
      <c r="H182" t="str" cm="1">
        <f t="array" ref="H182">IF(AND(G182="",
      C182="Receipt"),
      _xlfn.XLOOKUP(1,
      (purchase_order_lines_coldchain!A182:A1180 = F182) *
      (purchase_order_lines_coldchain!G182:G1180 = E182) *
      (purchase_order_lines_coldchain!D182:D1180 = D182),
      purchase_order_lines_coldchain!B$2:B$1000,
      _xlfn.XLOOKUP(F182,purchase_order_lines_coldchain!A$2:A1180,
      purchase_order_lines_coldchain!B$2:B1180)),
      "")</f>
        <v/>
      </c>
      <c r="I182" t="str">
        <f t="shared" si="2"/>
        <v>PO000022</v>
      </c>
      <c r="J182" t="s">
        <v>1935</v>
      </c>
      <c r="K182" s="11">
        <v>192</v>
      </c>
      <c r="L182" s="11">
        <v>192</v>
      </c>
      <c r="M182" s="14">
        <v>2.58</v>
      </c>
      <c r="N182" s="14">
        <v>495.36</v>
      </c>
      <c r="O182">
        <v>2.6</v>
      </c>
      <c r="P182" t="s">
        <v>3275</v>
      </c>
    </row>
    <row r="183" spans="1:16" x14ac:dyDescent="0.25">
      <c r="A183" t="s">
        <v>1936</v>
      </c>
      <c r="B183" s="1">
        <v>45720.509027777778</v>
      </c>
      <c r="C183" t="s">
        <v>3274</v>
      </c>
      <c r="D183" t="s">
        <v>990</v>
      </c>
      <c r="E183" t="s">
        <v>888</v>
      </c>
      <c r="F183" t="s">
        <v>1271</v>
      </c>
      <c r="G183" t="s">
        <v>1031</v>
      </c>
      <c r="H183" t="str" cm="1">
        <f t="array" ref="H183">IF(AND(G183="",
      C183="Receipt"),
      _xlfn.XLOOKUP(1,
      (purchase_order_lines_coldchain!A183:A1181 = F183) *
      (purchase_order_lines_coldchain!G183:G1181 = E183) *
      (purchase_order_lines_coldchain!D183:D1181 = D183),
      purchase_order_lines_coldchain!B$2:B$1000,
      _xlfn.XLOOKUP(F183,purchase_order_lines_coldchain!A$2:A1181,
      purchase_order_lines_coldchain!B$2:B1181)),
      "")</f>
        <v/>
      </c>
      <c r="I183" t="str">
        <f t="shared" si="2"/>
        <v>PO000047</v>
      </c>
      <c r="J183" t="s">
        <v>1937</v>
      </c>
      <c r="K183" s="11">
        <v>66</v>
      </c>
      <c r="L183" s="11">
        <v>66</v>
      </c>
      <c r="M183" s="14">
        <v>3.51</v>
      </c>
      <c r="N183" s="14">
        <v>231.66</v>
      </c>
      <c r="O183">
        <v>4.3</v>
      </c>
      <c r="P183" t="s">
        <v>3275</v>
      </c>
    </row>
    <row r="184" spans="1:16" x14ac:dyDescent="0.25">
      <c r="A184" t="s">
        <v>1938</v>
      </c>
      <c r="B184" s="1">
        <v>45734.526388888888</v>
      </c>
      <c r="C184" t="s">
        <v>3274</v>
      </c>
      <c r="D184" t="s">
        <v>990</v>
      </c>
      <c r="E184" t="s">
        <v>846</v>
      </c>
      <c r="F184" t="s">
        <v>1287</v>
      </c>
      <c r="G184" t="s">
        <v>1036</v>
      </c>
      <c r="H184" t="str" cm="1">
        <f t="array" ref="H184">IF(AND(G184="",
      C184="Receipt"),
      _xlfn.XLOOKUP(1,
      (purchase_order_lines_coldchain!A184:A1182 = F184) *
      (purchase_order_lines_coldchain!G184:G1182 = E184) *
      (purchase_order_lines_coldchain!D184:D1182 = D184),
      purchase_order_lines_coldchain!B$2:B$1000,
      _xlfn.XLOOKUP(F184,purchase_order_lines_coldchain!A$2:A1182,
      purchase_order_lines_coldchain!B$2:B1182)),
      "")</f>
        <v/>
      </c>
      <c r="I184" t="str">
        <f t="shared" si="2"/>
        <v>PO000052</v>
      </c>
      <c r="J184" t="s">
        <v>1939</v>
      </c>
      <c r="K184" s="11">
        <v>195</v>
      </c>
      <c r="L184" s="11">
        <v>195</v>
      </c>
      <c r="M184" s="14">
        <v>16.170000000000002</v>
      </c>
      <c r="N184" s="14">
        <v>3153.15</v>
      </c>
      <c r="O184">
        <v>7.3</v>
      </c>
      <c r="P184" t="s">
        <v>3275</v>
      </c>
    </row>
    <row r="185" spans="1:16" x14ac:dyDescent="0.25">
      <c r="A185" t="s">
        <v>1940</v>
      </c>
      <c r="B185" s="1">
        <v>45686.121527777781</v>
      </c>
      <c r="C185" t="s">
        <v>3274</v>
      </c>
      <c r="D185" t="s">
        <v>996</v>
      </c>
      <c r="E185" t="s">
        <v>762</v>
      </c>
      <c r="F185" t="s">
        <v>1435</v>
      </c>
      <c r="G185" t="s">
        <v>1088</v>
      </c>
      <c r="H185" t="str" cm="1">
        <f t="array" ref="H185">IF(AND(G185="",
      C185="Receipt"),
      _xlfn.XLOOKUP(1,
      (purchase_order_lines_coldchain!A185:A1183 = F185) *
      (purchase_order_lines_coldchain!G185:G1183 = E185) *
      (purchase_order_lines_coldchain!D185:D1183 = D185),
      purchase_order_lines_coldchain!B$2:B$1000,
      _xlfn.XLOOKUP(F185,purchase_order_lines_coldchain!A$2:A1183,
      purchase_order_lines_coldchain!B$2:B1183)),
      "")</f>
        <v/>
      </c>
      <c r="I185" t="str">
        <f t="shared" si="2"/>
        <v>PO000104</v>
      </c>
      <c r="J185" t="s">
        <v>1941</v>
      </c>
      <c r="K185" s="11">
        <v>23</v>
      </c>
      <c r="L185" s="11">
        <v>23</v>
      </c>
      <c r="M185" s="14">
        <v>8.4700000000000006</v>
      </c>
      <c r="N185" s="14">
        <v>194.81</v>
      </c>
      <c r="O185">
        <v>5.8</v>
      </c>
      <c r="P185" t="s">
        <v>3275</v>
      </c>
    </row>
    <row r="186" spans="1:16" x14ac:dyDescent="0.25">
      <c r="A186" t="s">
        <v>1942</v>
      </c>
      <c r="B186" s="1">
        <v>45692.26666666667</v>
      </c>
      <c r="C186" t="s">
        <v>3274</v>
      </c>
      <c r="D186" t="s">
        <v>964</v>
      </c>
      <c r="E186" t="s">
        <v>771</v>
      </c>
      <c r="F186" t="s">
        <v>1412</v>
      </c>
      <c r="G186" t="s">
        <v>1080</v>
      </c>
      <c r="H186" t="str" cm="1">
        <f t="array" ref="H186">IF(AND(G186="",
      C186="Receipt"),
      _xlfn.XLOOKUP(1,
      (purchase_order_lines_coldchain!A186:A1184 = F186) *
      (purchase_order_lines_coldchain!G186:G1184 = E186) *
      (purchase_order_lines_coldchain!D186:D1184 = D186),
      purchase_order_lines_coldchain!B$2:B$1000,
      _xlfn.XLOOKUP(F186,purchase_order_lines_coldchain!A$2:A1184,
      purchase_order_lines_coldchain!B$2:B1184)),
      "")</f>
        <v/>
      </c>
      <c r="I186" t="str">
        <f t="shared" si="2"/>
        <v>PO000096</v>
      </c>
      <c r="J186" t="s">
        <v>1943</v>
      </c>
      <c r="K186" s="11">
        <v>93</v>
      </c>
      <c r="L186" s="11">
        <v>93</v>
      </c>
      <c r="M186" s="14">
        <v>4.03</v>
      </c>
      <c r="N186" s="14">
        <v>374.79</v>
      </c>
      <c r="O186">
        <v>3.8</v>
      </c>
      <c r="P186" t="s">
        <v>3275</v>
      </c>
    </row>
    <row r="187" spans="1:16" x14ac:dyDescent="0.25">
      <c r="A187" t="s">
        <v>1944</v>
      </c>
      <c r="B187" s="1">
        <v>45706.155555555553</v>
      </c>
      <c r="C187" t="s">
        <v>3274</v>
      </c>
      <c r="D187" t="s">
        <v>976</v>
      </c>
      <c r="E187" t="s">
        <v>813</v>
      </c>
      <c r="F187" t="s">
        <v>1267</v>
      </c>
      <c r="G187" t="s">
        <v>1029</v>
      </c>
      <c r="H187" t="str" cm="1">
        <f t="array" ref="H187">IF(AND(G187="",
      C187="Receipt"),
      _xlfn.XLOOKUP(1,
      (purchase_order_lines_coldchain!A187:A1185 = F187) *
      (purchase_order_lines_coldchain!G187:G1185 = E187) *
      (purchase_order_lines_coldchain!D187:D1185 = D187),
      purchase_order_lines_coldchain!B$2:B$1000,
      _xlfn.XLOOKUP(F187,purchase_order_lines_coldchain!A$2:A1185,
      purchase_order_lines_coldchain!B$2:B1185)),
      "")</f>
        <v/>
      </c>
      <c r="I187" t="str">
        <f t="shared" si="2"/>
        <v>PO000045</v>
      </c>
      <c r="J187" t="s">
        <v>1945</v>
      </c>
      <c r="K187" s="11">
        <v>58</v>
      </c>
      <c r="L187" s="11">
        <v>58</v>
      </c>
      <c r="M187" s="14">
        <v>5.91</v>
      </c>
      <c r="N187" s="14">
        <v>342.78</v>
      </c>
      <c r="O187">
        <v>1.1000000000000001</v>
      </c>
      <c r="P187" t="s">
        <v>3275</v>
      </c>
    </row>
    <row r="188" spans="1:16" x14ac:dyDescent="0.25">
      <c r="A188" t="s">
        <v>1946</v>
      </c>
      <c r="B188" s="1">
        <v>45732.632638888892</v>
      </c>
      <c r="C188" t="s">
        <v>3274</v>
      </c>
      <c r="D188" t="s">
        <v>959</v>
      </c>
      <c r="E188" t="s">
        <v>912</v>
      </c>
      <c r="F188" t="s">
        <v>1159</v>
      </c>
      <c r="G188" t="s">
        <v>983</v>
      </c>
      <c r="H188" t="str" cm="1">
        <f t="array" ref="H188">IF(AND(G188="",
      C188="Receipt"),
      _xlfn.XLOOKUP(1,
      (purchase_order_lines_coldchain!A188:A1186 = F188) *
      (purchase_order_lines_coldchain!G188:G1186 = E188) *
      (purchase_order_lines_coldchain!D188:D1186 = D188),
      purchase_order_lines_coldchain!B$2:B$1000,
      _xlfn.XLOOKUP(F188,purchase_order_lines_coldchain!A$2:A1186,
      purchase_order_lines_coldchain!B$2:B1186)),
      "")</f>
        <v/>
      </c>
      <c r="I188" t="str">
        <f t="shared" si="2"/>
        <v>PO000007</v>
      </c>
      <c r="J188" t="s">
        <v>1947</v>
      </c>
      <c r="K188" s="11">
        <v>54</v>
      </c>
      <c r="L188" s="11">
        <v>54</v>
      </c>
      <c r="M188" s="14">
        <v>12.1</v>
      </c>
      <c r="N188" s="14">
        <v>653.4</v>
      </c>
      <c r="O188">
        <v>3.7</v>
      </c>
      <c r="P188" t="s">
        <v>3275</v>
      </c>
    </row>
    <row r="189" spans="1:16" x14ac:dyDescent="0.25">
      <c r="A189" t="s">
        <v>1948</v>
      </c>
      <c r="B189" s="1">
        <v>45733.924305555556</v>
      </c>
      <c r="C189" t="s">
        <v>3274</v>
      </c>
      <c r="D189" t="s">
        <v>959</v>
      </c>
      <c r="E189" t="s">
        <v>564</v>
      </c>
      <c r="F189" t="s">
        <v>1157</v>
      </c>
      <c r="G189" t="s">
        <v>983</v>
      </c>
      <c r="H189" t="str" cm="1">
        <f t="array" ref="H189">IF(AND(G189="",
      C189="Receipt"),
      _xlfn.XLOOKUP(1,
      (purchase_order_lines_coldchain!A189:A1187 = F189) *
      (purchase_order_lines_coldchain!G189:G1187 = E189) *
      (purchase_order_lines_coldchain!D189:D1187 = D189),
      purchase_order_lines_coldchain!B$2:B$1000,
      _xlfn.XLOOKUP(F189,purchase_order_lines_coldchain!A$2:A1187,
      purchase_order_lines_coldchain!B$2:B1187)),
      "")</f>
        <v/>
      </c>
      <c r="I189" t="str">
        <f t="shared" si="2"/>
        <v>PO000007</v>
      </c>
      <c r="J189" t="s">
        <v>1949</v>
      </c>
      <c r="K189" s="11">
        <v>194</v>
      </c>
      <c r="L189" s="11">
        <v>194</v>
      </c>
      <c r="M189" s="14">
        <v>12.86</v>
      </c>
      <c r="N189" s="14">
        <v>2494.84</v>
      </c>
      <c r="O189">
        <v>6.1</v>
      </c>
      <c r="P189" t="s">
        <v>3275</v>
      </c>
    </row>
    <row r="190" spans="1:16" x14ac:dyDescent="0.25">
      <c r="A190" t="s">
        <v>1950</v>
      </c>
      <c r="B190" s="1">
        <v>45669.59097222222</v>
      </c>
      <c r="C190" t="s">
        <v>3274</v>
      </c>
      <c r="D190" t="s">
        <v>990</v>
      </c>
      <c r="E190" t="s">
        <v>597</v>
      </c>
      <c r="F190" t="s">
        <v>1478</v>
      </c>
      <c r="G190" t="s">
        <v>1103</v>
      </c>
      <c r="H190" t="str" cm="1">
        <f t="array" ref="H190">IF(AND(G190="",
      C190="Receipt"),
      _xlfn.XLOOKUP(1,
      (purchase_order_lines_coldchain!A190:A1188 = F190) *
      (purchase_order_lines_coldchain!G190:G1188 = E190) *
      (purchase_order_lines_coldchain!D190:D1188 = D190),
      purchase_order_lines_coldchain!B$2:B$1000,
      _xlfn.XLOOKUP(F190,purchase_order_lines_coldchain!A$2:A1188,
      purchase_order_lines_coldchain!B$2:B1188)),
      "")</f>
        <v/>
      </c>
      <c r="I190" t="str">
        <f t="shared" si="2"/>
        <v>PO000119</v>
      </c>
      <c r="J190" t="s">
        <v>1951</v>
      </c>
      <c r="K190" s="11">
        <v>119</v>
      </c>
      <c r="L190" s="11">
        <v>119</v>
      </c>
      <c r="M190" s="14">
        <v>2.84</v>
      </c>
      <c r="N190" s="14">
        <v>337.96</v>
      </c>
      <c r="O190">
        <v>3.6</v>
      </c>
      <c r="P190" t="s">
        <v>3275</v>
      </c>
    </row>
    <row r="191" spans="1:16" x14ac:dyDescent="0.25">
      <c r="A191" t="s">
        <v>1952</v>
      </c>
      <c r="B191" s="1">
        <v>45732.39166666667</v>
      </c>
      <c r="C191" t="s">
        <v>3274</v>
      </c>
      <c r="D191" t="s">
        <v>996</v>
      </c>
      <c r="E191" t="s">
        <v>603</v>
      </c>
      <c r="F191" t="s">
        <v>1279</v>
      </c>
      <c r="G191" t="s">
        <v>1034</v>
      </c>
      <c r="H191" t="str" cm="1">
        <f t="array" ref="H191">IF(AND(G191="",
      C191="Receipt"),
      _xlfn.XLOOKUP(1,
      (purchase_order_lines_coldchain!A191:A1189 = F191) *
      (purchase_order_lines_coldchain!G191:G1189 = E191) *
      (purchase_order_lines_coldchain!D191:D1189 = D191),
      purchase_order_lines_coldchain!B$2:B$1000,
      _xlfn.XLOOKUP(F191,purchase_order_lines_coldchain!A$2:A1189,
      purchase_order_lines_coldchain!B$2:B1189)),
      "")</f>
        <v/>
      </c>
      <c r="I191" t="str">
        <f t="shared" si="2"/>
        <v>PO000050</v>
      </c>
      <c r="J191" t="s">
        <v>1953</v>
      </c>
      <c r="K191" s="11">
        <v>46</v>
      </c>
      <c r="L191" s="11">
        <v>46</v>
      </c>
      <c r="M191" s="14">
        <v>4.6900000000000004</v>
      </c>
      <c r="N191" s="14">
        <v>215.74</v>
      </c>
      <c r="O191">
        <v>7.5</v>
      </c>
      <c r="P191" t="s">
        <v>3275</v>
      </c>
    </row>
    <row r="192" spans="1:16" x14ac:dyDescent="0.25">
      <c r="A192" t="s">
        <v>1954</v>
      </c>
      <c r="B192" s="1">
        <v>45668.090277777781</v>
      </c>
      <c r="C192" t="s">
        <v>3274</v>
      </c>
      <c r="D192" t="s">
        <v>968</v>
      </c>
      <c r="E192" t="s">
        <v>603</v>
      </c>
      <c r="F192" t="s">
        <v>1535</v>
      </c>
      <c r="G192" t="s">
        <v>1125</v>
      </c>
      <c r="H192" t="str" cm="1">
        <f t="array" ref="H192">IF(AND(G192="",
      C192="Receipt"),
      _xlfn.XLOOKUP(1,
      (purchase_order_lines_coldchain!A192:A1190 = F192) *
      (purchase_order_lines_coldchain!G192:G1190 = E192) *
      (purchase_order_lines_coldchain!D192:D1190 = D192),
      purchase_order_lines_coldchain!B$2:B$1000,
      _xlfn.XLOOKUP(F192,purchase_order_lines_coldchain!A$2:A1190,
      purchase_order_lines_coldchain!B$2:B1190)),
      "")</f>
        <v/>
      </c>
      <c r="I192" t="str">
        <f t="shared" si="2"/>
        <v>PO000141</v>
      </c>
      <c r="J192" t="s">
        <v>1955</v>
      </c>
      <c r="K192" s="11">
        <v>120</v>
      </c>
      <c r="L192" s="11">
        <v>120</v>
      </c>
      <c r="M192" s="14">
        <v>4.5999999999999996</v>
      </c>
      <c r="N192" s="14">
        <v>552</v>
      </c>
      <c r="O192">
        <v>6.4</v>
      </c>
      <c r="P192" t="s">
        <v>3275</v>
      </c>
    </row>
    <row r="193" spans="1:16" x14ac:dyDescent="0.25">
      <c r="A193" t="s">
        <v>1956</v>
      </c>
      <c r="B193" s="1">
        <v>45691.005555555559</v>
      </c>
      <c r="C193" t="s">
        <v>3274</v>
      </c>
      <c r="D193" t="s">
        <v>980</v>
      </c>
      <c r="E193" t="s">
        <v>597</v>
      </c>
      <c r="F193" t="s">
        <v>1561</v>
      </c>
      <c r="G193" t="s">
        <v>1134</v>
      </c>
      <c r="H193" t="str" cm="1">
        <f t="array" ref="H193">IF(AND(G193="",
      C193="Receipt"),
      _xlfn.XLOOKUP(1,
      (purchase_order_lines_coldchain!A193:A1191 = F193) *
      (purchase_order_lines_coldchain!G193:G1191 = E193) *
      (purchase_order_lines_coldchain!D193:D1191 = D193),
      purchase_order_lines_coldchain!B$2:B$1000,
      _xlfn.XLOOKUP(F193,purchase_order_lines_coldchain!A$2:A1191,
      purchase_order_lines_coldchain!B$2:B1191)),
      "")</f>
        <v/>
      </c>
      <c r="I193" t="str">
        <f t="shared" si="2"/>
        <v>PO000150</v>
      </c>
      <c r="J193" t="s">
        <v>1957</v>
      </c>
      <c r="K193" s="11">
        <v>184</v>
      </c>
      <c r="L193" s="11">
        <v>184</v>
      </c>
      <c r="M193" s="14">
        <v>2.9</v>
      </c>
      <c r="N193" s="14">
        <v>533.6</v>
      </c>
      <c r="O193">
        <v>3.8</v>
      </c>
      <c r="P193" t="s">
        <v>3275</v>
      </c>
    </row>
    <row r="194" spans="1:16" x14ac:dyDescent="0.25">
      <c r="A194" t="s">
        <v>1958</v>
      </c>
      <c r="B194" s="1">
        <v>45716.611111111109</v>
      </c>
      <c r="C194" t="s">
        <v>3274</v>
      </c>
      <c r="D194" t="s">
        <v>972</v>
      </c>
      <c r="E194" t="s">
        <v>612</v>
      </c>
      <c r="F194" t="s">
        <v>1393</v>
      </c>
      <c r="G194" t="s">
        <v>1073</v>
      </c>
      <c r="H194" t="str" cm="1">
        <f t="array" ref="H194">IF(AND(G194="",
      C194="Receipt"),
      _xlfn.XLOOKUP(1,
      (purchase_order_lines_coldchain!A194:A1192 = F194) *
      (purchase_order_lines_coldchain!G194:G1192 = E194) *
      (purchase_order_lines_coldchain!D194:D1192 = D194),
      purchase_order_lines_coldchain!B$2:B$1000,
      _xlfn.XLOOKUP(F194,purchase_order_lines_coldchain!A$2:A1192,
      purchase_order_lines_coldchain!B$2:B1192)),
      "")</f>
        <v/>
      </c>
      <c r="I194" t="str">
        <f t="shared" ref="I194:I257" si="3">G194 &amp; H194</f>
        <v>PO000089</v>
      </c>
      <c r="J194" t="s">
        <v>1959</v>
      </c>
      <c r="K194" s="11">
        <v>160</v>
      </c>
      <c r="L194" s="11">
        <v>160</v>
      </c>
      <c r="M194" s="14">
        <v>11.2</v>
      </c>
      <c r="N194" s="14">
        <v>1792</v>
      </c>
      <c r="O194">
        <v>-1.1000000000000001</v>
      </c>
      <c r="P194" t="s">
        <v>3275</v>
      </c>
    </row>
    <row r="195" spans="1:16" x14ac:dyDescent="0.25">
      <c r="A195" t="s">
        <v>1960</v>
      </c>
      <c r="B195" s="1">
        <v>45703.379861111112</v>
      </c>
      <c r="C195" t="s">
        <v>3274</v>
      </c>
      <c r="D195" t="s">
        <v>996</v>
      </c>
      <c r="E195" t="s">
        <v>440</v>
      </c>
      <c r="F195" t="s">
        <v>1250</v>
      </c>
      <c r="G195" t="s">
        <v>1024</v>
      </c>
      <c r="H195" t="str" cm="1">
        <f t="array" ref="H195">IF(AND(G195="",
      C195="Receipt"),
      _xlfn.XLOOKUP(1,
      (purchase_order_lines_coldchain!A195:A1193 = F195) *
      (purchase_order_lines_coldchain!G195:G1193 = E195) *
      (purchase_order_lines_coldchain!D195:D1193 = D195),
      purchase_order_lines_coldchain!B$2:B$1000,
      _xlfn.XLOOKUP(F195,purchase_order_lines_coldchain!A$2:A1193,
      purchase_order_lines_coldchain!B$2:B1193)),
      "")</f>
        <v/>
      </c>
      <c r="I195" t="str">
        <f t="shared" si="3"/>
        <v>PO000040</v>
      </c>
      <c r="J195" t="s">
        <v>1961</v>
      </c>
      <c r="K195" s="11">
        <v>187</v>
      </c>
      <c r="L195" s="11">
        <v>187</v>
      </c>
      <c r="M195" s="14">
        <v>6</v>
      </c>
      <c r="N195" s="14">
        <v>1122</v>
      </c>
      <c r="O195">
        <v>3.1</v>
      </c>
      <c r="P195" t="s">
        <v>3275</v>
      </c>
    </row>
    <row r="196" spans="1:16" x14ac:dyDescent="0.25">
      <c r="A196" t="s">
        <v>1962</v>
      </c>
      <c r="B196" s="1">
        <v>45677.59097222222</v>
      </c>
      <c r="C196" t="s">
        <v>3274</v>
      </c>
      <c r="D196" t="s">
        <v>990</v>
      </c>
      <c r="E196" t="s">
        <v>717</v>
      </c>
      <c r="F196" t="s">
        <v>1264</v>
      </c>
      <c r="G196" t="s">
        <v>1028</v>
      </c>
      <c r="H196" t="str" cm="1">
        <f t="array" ref="H196">IF(AND(G196="",
      C196="Receipt"),
      _xlfn.XLOOKUP(1,
      (purchase_order_lines_coldchain!A196:A1194 = F196) *
      (purchase_order_lines_coldchain!G196:G1194 = E196) *
      (purchase_order_lines_coldchain!D196:D1194 = D196),
      purchase_order_lines_coldchain!B$2:B$1000,
      _xlfn.XLOOKUP(F196,purchase_order_lines_coldchain!A$2:A1194,
      purchase_order_lines_coldchain!B$2:B1194)),
      "")</f>
        <v/>
      </c>
      <c r="I196" t="str">
        <f t="shared" si="3"/>
        <v>PO000044</v>
      </c>
      <c r="J196" t="s">
        <v>1963</v>
      </c>
      <c r="K196" s="11">
        <v>44</v>
      </c>
      <c r="L196" s="11">
        <v>44</v>
      </c>
      <c r="M196" s="14">
        <v>13.15</v>
      </c>
      <c r="N196" s="14">
        <v>578.6</v>
      </c>
      <c r="O196">
        <v>5.6</v>
      </c>
      <c r="P196" t="s">
        <v>3275</v>
      </c>
    </row>
    <row r="197" spans="1:16" x14ac:dyDescent="0.25">
      <c r="A197" t="s">
        <v>1964</v>
      </c>
      <c r="B197" s="1">
        <v>45682.672222222223</v>
      </c>
      <c r="C197" t="s">
        <v>3274</v>
      </c>
      <c r="D197" t="s">
        <v>959</v>
      </c>
      <c r="E197" t="s">
        <v>624</v>
      </c>
      <c r="F197" t="s">
        <v>1188</v>
      </c>
      <c r="G197" t="s">
        <v>1001</v>
      </c>
      <c r="H197" t="str" cm="1">
        <f t="array" ref="H197">IF(AND(G197="",
      C197="Receipt"),
      _xlfn.XLOOKUP(1,
      (purchase_order_lines_coldchain!A197:A1195 = F197) *
      (purchase_order_lines_coldchain!G197:G1195 = E197) *
      (purchase_order_lines_coldchain!D197:D1195 = D197),
      purchase_order_lines_coldchain!B$2:B$1000,
      _xlfn.XLOOKUP(F197,purchase_order_lines_coldchain!A$2:A1195,
      purchase_order_lines_coldchain!B$2:B1195)),
      "")</f>
        <v/>
      </c>
      <c r="I197" t="str">
        <f t="shared" si="3"/>
        <v>PO000017</v>
      </c>
      <c r="J197" t="s">
        <v>1965</v>
      </c>
      <c r="K197" s="11">
        <v>137</v>
      </c>
      <c r="L197" s="11">
        <v>137</v>
      </c>
      <c r="M197" s="14">
        <v>3.9</v>
      </c>
      <c r="N197" s="14">
        <v>534.29999999999995</v>
      </c>
      <c r="O197">
        <v>7.2</v>
      </c>
      <c r="P197" t="s">
        <v>3275</v>
      </c>
    </row>
    <row r="198" spans="1:16" x14ac:dyDescent="0.25">
      <c r="A198" t="s">
        <v>1966</v>
      </c>
      <c r="B198" s="1">
        <v>45688.892361111109</v>
      </c>
      <c r="C198" t="s">
        <v>3274</v>
      </c>
      <c r="D198" t="s">
        <v>980</v>
      </c>
      <c r="E198" t="s">
        <v>440</v>
      </c>
      <c r="F198" t="s">
        <v>1525</v>
      </c>
      <c r="G198" t="s">
        <v>1121</v>
      </c>
      <c r="H198" t="str" cm="1">
        <f t="array" ref="H198">IF(AND(G198="",
      C198="Receipt"),
      _xlfn.XLOOKUP(1,
      (purchase_order_lines_coldchain!A198:A1196 = F198) *
      (purchase_order_lines_coldchain!G198:G1196 = E198) *
      (purchase_order_lines_coldchain!D198:D1196 = D198),
      purchase_order_lines_coldchain!B$2:B$1000,
      _xlfn.XLOOKUP(F198,purchase_order_lines_coldchain!A$2:A1196,
      purchase_order_lines_coldchain!B$2:B1196)),
      "")</f>
        <v/>
      </c>
      <c r="I198" t="str">
        <f t="shared" si="3"/>
        <v>PO000137</v>
      </c>
      <c r="J198" t="s">
        <v>1967</v>
      </c>
      <c r="K198" s="11">
        <v>168</v>
      </c>
      <c r="L198" s="11">
        <v>168</v>
      </c>
      <c r="M198" s="14">
        <v>6.45</v>
      </c>
      <c r="N198" s="14">
        <v>1083.5999999999999</v>
      </c>
      <c r="O198">
        <v>5.8</v>
      </c>
      <c r="P198" t="s">
        <v>3275</v>
      </c>
    </row>
    <row r="199" spans="1:16" x14ac:dyDescent="0.25">
      <c r="A199" t="s">
        <v>1968</v>
      </c>
      <c r="B199" s="1">
        <v>45696.383333333331</v>
      </c>
      <c r="C199" t="s">
        <v>3274</v>
      </c>
      <c r="D199" t="s">
        <v>968</v>
      </c>
      <c r="E199" t="s">
        <v>502</v>
      </c>
      <c r="F199" t="s">
        <v>1430</v>
      </c>
      <c r="G199" t="s">
        <v>1086</v>
      </c>
      <c r="H199" t="str" cm="1">
        <f t="array" ref="H199">IF(AND(G199="",
      C199="Receipt"),
      _xlfn.XLOOKUP(1,
      (purchase_order_lines_coldchain!A199:A1197 = F199) *
      (purchase_order_lines_coldchain!G199:G1197 = E199) *
      (purchase_order_lines_coldchain!D199:D1197 = D199),
      purchase_order_lines_coldchain!B$2:B$1000,
      _xlfn.XLOOKUP(F199,purchase_order_lines_coldchain!A$2:A1197,
      purchase_order_lines_coldchain!B$2:B1197)),
      "")</f>
        <v/>
      </c>
      <c r="I199" t="str">
        <f t="shared" si="3"/>
        <v>PO000102</v>
      </c>
      <c r="J199" t="s">
        <v>1969</v>
      </c>
      <c r="K199" s="11">
        <v>136</v>
      </c>
      <c r="L199" s="11">
        <v>136</v>
      </c>
      <c r="M199" s="14">
        <v>13.42</v>
      </c>
      <c r="N199" s="14">
        <v>1825.12</v>
      </c>
      <c r="O199">
        <v>2.2000000000000002</v>
      </c>
      <c r="P199" t="s">
        <v>3275</v>
      </c>
    </row>
    <row r="200" spans="1:16" x14ac:dyDescent="0.25">
      <c r="A200" t="s">
        <v>1970</v>
      </c>
      <c r="B200" s="1">
        <v>45680.213888888888</v>
      </c>
      <c r="C200" t="s">
        <v>3274</v>
      </c>
      <c r="D200" t="s">
        <v>964</v>
      </c>
      <c r="E200" t="s">
        <v>681</v>
      </c>
      <c r="F200" t="s">
        <v>1162</v>
      </c>
      <c r="G200" t="s">
        <v>985</v>
      </c>
      <c r="H200" t="str" cm="1">
        <f t="array" ref="H200">IF(AND(G200="",
      C200="Receipt"),
      _xlfn.XLOOKUP(1,
      (purchase_order_lines_coldchain!A200:A1198 = F200) *
      (purchase_order_lines_coldchain!G200:G1198 = E200) *
      (purchase_order_lines_coldchain!D200:D1198 = D200),
      purchase_order_lines_coldchain!B$2:B$1000,
      _xlfn.XLOOKUP(F200,purchase_order_lines_coldchain!A$2:A1198,
      purchase_order_lines_coldchain!B$2:B1198)),
      "")</f>
        <v/>
      </c>
      <c r="I200" t="str">
        <f t="shared" si="3"/>
        <v>PO000009</v>
      </c>
      <c r="J200" t="s">
        <v>1971</v>
      </c>
      <c r="K200" s="11">
        <v>184</v>
      </c>
      <c r="L200" s="11">
        <v>184</v>
      </c>
      <c r="M200" s="14">
        <v>4.1399999999999997</v>
      </c>
      <c r="N200" s="14">
        <v>761.76</v>
      </c>
      <c r="O200">
        <v>1.4</v>
      </c>
      <c r="P200" t="s">
        <v>3275</v>
      </c>
    </row>
    <row r="201" spans="1:16" x14ac:dyDescent="0.25">
      <c r="A201" t="s">
        <v>1972</v>
      </c>
      <c r="B201" s="1">
        <v>45723.9</v>
      </c>
      <c r="C201" t="s">
        <v>3274</v>
      </c>
      <c r="D201" t="s">
        <v>987</v>
      </c>
      <c r="E201" t="s">
        <v>915</v>
      </c>
      <c r="F201" t="s">
        <v>1214</v>
      </c>
      <c r="G201" t="s">
        <v>1010</v>
      </c>
      <c r="H201" t="str" cm="1">
        <f t="array" ref="H201">IF(AND(G201="",
      C201="Receipt"),
      _xlfn.XLOOKUP(1,
      (purchase_order_lines_coldchain!A201:A1199 = F201) *
      (purchase_order_lines_coldchain!G201:G1199 = E201) *
      (purchase_order_lines_coldchain!D201:D1199 = D201),
      purchase_order_lines_coldchain!B$2:B$1000,
      _xlfn.XLOOKUP(F201,purchase_order_lines_coldchain!A$2:A1199,
      purchase_order_lines_coldchain!B$2:B1199)),
      "")</f>
        <v/>
      </c>
      <c r="I201" t="str">
        <f t="shared" si="3"/>
        <v>PO000026</v>
      </c>
      <c r="J201" t="s">
        <v>1973</v>
      </c>
      <c r="K201" s="11">
        <v>99</v>
      </c>
      <c r="L201" s="11">
        <v>99</v>
      </c>
      <c r="M201" s="14">
        <v>9.48</v>
      </c>
      <c r="N201" s="14">
        <v>938.52</v>
      </c>
      <c r="O201">
        <v>4.4000000000000004</v>
      </c>
      <c r="P201" t="s">
        <v>3275</v>
      </c>
    </row>
    <row r="202" spans="1:16" x14ac:dyDescent="0.25">
      <c r="A202" t="s">
        <v>1974</v>
      </c>
      <c r="B202" s="1">
        <v>45737.140277777777</v>
      </c>
      <c r="C202" t="s">
        <v>3274</v>
      </c>
      <c r="D202" t="s">
        <v>964</v>
      </c>
      <c r="E202" t="s">
        <v>517</v>
      </c>
      <c r="F202" t="s">
        <v>1409</v>
      </c>
      <c r="G202" t="s">
        <v>1079</v>
      </c>
      <c r="H202" t="str" cm="1">
        <f t="array" ref="H202">IF(AND(G202="",
      C202="Receipt"),
      _xlfn.XLOOKUP(1,
      (purchase_order_lines_coldchain!A202:A1200 = F202) *
      (purchase_order_lines_coldchain!G202:G1200 = E202) *
      (purchase_order_lines_coldchain!D202:D1200 = D202),
      purchase_order_lines_coldchain!B$2:B$1000,
      _xlfn.XLOOKUP(F202,purchase_order_lines_coldchain!A$2:A1200,
      purchase_order_lines_coldchain!B$2:B1200)),
      "")</f>
        <v/>
      </c>
      <c r="I202" t="str">
        <f t="shared" si="3"/>
        <v>PO000095</v>
      </c>
      <c r="J202" t="s">
        <v>1975</v>
      </c>
      <c r="K202" s="11">
        <v>47</v>
      </c>
      <c r="L202" s="11">
        <v>47</v>
      </c>
      <c r="M202" s="14">
        <v>8.86</v>
      </c>
      <c r="N202" s="14">
        <v>416.42</v>
      </c>
      <c r="O202">
        <v>7.7</v>
      </c>
      <c r="P202" t="s">
        <v>3275</v>
      </c>
    </row>
    <row r="203" spans="1:16" x14ac:dyDescent="0.25">
      <c r="A203" t="s">
        <v>1976</v>
      </c>
      <c r="B203" s="1">
        <v>45708.685416666667</v>
      </c>
      <c r="C203" t="s">
        <v>3274</v>
      </c>
      <c r="D203" t="s">
        <v>996</v>
      </c>
      <c r="E203" t="s">
        <v>882</v>
      </c>
      <c r="F203" t="s">
        <v>1432</v>
      </c>
      <c r="G203" t="s">
        <v>1087</v>
      </c>
      <c r="H203" t="str" cm="1">
        <f t="array" ref="H203">IF(AND(G203="",
      C203="Receipt"),
      _xlfn.XLOOKUP(1,
      (purchase_order_lines_coldchain!A203:A1201 = F203) *
      (purchase_order_lines_coldchain!G203:G1201 = E203) *
      (purchase_order_lines_coldchain!D203:D1201 = D203),
      purchase_order_lines_coldchain!B$2:B$1000,
      _xlfn.XLOOKUP(F203,purchase_order_lines_coldchain!A$2:A1201,
      purchase_order_lines_coldchain!B$2:B1201)),
      "")</f>
        <v/>
      </c>
      <c r="I203" t="str">
        <f t="shared" si="3"/>
        <v>PO000103</v>
      </c>
      <c r="J203" t="s">
        <v>1977</v>
      </c>
      <c r="K203" s="11">
        <v>179</v>
      </c>
      <c r="L203" s="11">
        <v>179</v>
      </c>
      <c r="M203" s="14">
        <v>3.44</v>
      </c>
      <c r="N203" s="14">
        <v>615.76</v>
      </c>
      <c r="O203">
        <v>2.4</v>
      </c>
      <c r="P203" t="s">
        <v>3275</v>
      </c>
    </row>
    <row r="204" spans="1:16" x14ac:dyDescent="0.25">
      <c r="A204" t="s">
        <v>1978</v>
      </c>
      <c r="B204" s="1">
        <v>45675.339583333334</v>
      </c>
      <c r="C204" t="s">
        <v>3274</v>
      </c>
      <c r="D204" t="s">
        <v>987</v>
      </c>
      <c r="E204" t="s">
        <v>514</v>
      </c>
      <c r="F204" t="s">
        <v>1217</v>
      </c>
      <c r="G204" t="s">
        <v>1012</v>
      </c>
      <c r="H204" t="str" cm="1">
        <f t="array" ref="H204">IF(AND(G204="",
      C204="Receipt"),
      _xlfn.XLOOKUP(1,
      (purchase_order_lines_coldchain!A204:A1202 = F204) *
      (purchase_order_lines_coldchain!G204:G1202 = E204) *
      (purchase_order_lines_coldchain!D204:D1202 = D204),
      purchase_order_lines_coldchain!B$2:B$1000,
      _xlfn.XLOOKUP(F204,purchase_order_lines_coldchain!A$2:A1202,
      purchase_order_lines_coldchain!B$2:B1202)),
      "")</f>
        <v/>
      </c>
      <c r="I204" t="str">
        <f t="shared" si="3"/>
        <v>PO000028</v>
      </c>
      <c r="J204" t="s">
        <v>1979</v>
      </c>
      <c r="K204" s="11">
        <v>94</v>
      </c>
      <c r="L204" s="11">
        <v>94</v>
      </c>
      <c r="M204" s="14">
        <v>12.63</v>
      </c>
      <c r="N204" s="14">
        <v>1187.22</v>
      </c>
      <c r="O204">
        <v>3.7</v>
      </c>
      <c r="P204" t="s">
        <v>3275</v>
      </c>
    </row>
    <row r="205" spans="1:16" x14ac:dyDescent="0.25">
      <c r="A205" t="s">
        <v>1980</v>
      </c>
      <c r="B205" s="1">
        <v>45710.611111111109</v>
      </c>
      <c r="C205" t="s">
        <v>3274</v>
      </c>
      <c r="D205" t="s">
        <v>999</v>
      </c>
      <c r="E205" t="s">
        <v>888</v>
      </c>
      <c r="F205" t="s">
        <v>1440</v>
      </c>
      <c r="G205" t="s">
        <v>1090</v>
      </c>
      <c r="H205" t="str" cm="1">
        <f t="array" ref="H205">IF(AND(G205="",
      C205="Receipt"),
      _xlfn.XLOOKUP(1,
      (purchase_order_lines_coldchain!A205:A1203 = F205) *
      (purchase_order_lines_coldchain!G205:G1203 = E205) *
      (purchase_order_lines_coldchain!D205:D1203 = D205),
      purchase_order_lines_coldchain!B$2:B$1000,
      _xlfn.XLOOKUP(F205,purchase_order_lines_coldchain!A$2:A1203,
      purchase_order_lines_coldchain!B$2:B1203)),
      "")</f>
        <v/>
      </c>
      <c r="I205" t="str">
        <f t="shared" si="3"/>
        <v>PO000106</v>
      </c>
      <c r="J205" t="s">
        <v>1981</v>
      </c>
      <c r="K205" s="11">
        <v>70</v>
      </c>
      <c r="L205" s="11">
        <v>70</v>
      </c>
      <c r="M205" s="14">
        <v>3.74</v>
      </c>
      <c r="N205" s="14">
        <v>261.8</v>
      </c>
      <c r="O205">
        <v>2.8</v>
      </c>
      <c r="P205" t="s">
        <v>3275</v>
      </c>
    </row>
    <row r="206" spans="1:16" x14ac:dyDescent="0.25">
      <c r="A206" t="s">
        <v>1982</v>
      </c>
      <c r="B206" s="1">
        <v>45717.667361111111</v>
      </c>
      <c r="C206" t="s">
        <v>3274</v>
      </c>
      <c r="D206" t="s">
        <v>980</v>
      </c>
      <c r="E206" t="s">
        <v>876</v>
      </c>
      <c r="F206" t="s">
        <v>1179</v>
      </c>
      <c r="G206" t="s">
        <v>994</v>
      </c>
      <c r="H206" t="str" cm="1">
        <f t="array" ref="H206">IF(AND(G206="",
      C206="Receipt"),
      _xlfn.XLOOKUP(1,
      (purchase_order_lines_coldchain!A206:A1204 = F206) *
      (purchase_order_lines_coldchain!G206:G1204 = E206) *
      (purchase_order_lines_coldchain!D206:D1204 = D206),
      purchase_order_lines_coldchain!B$2:B$1000,
      _xlfn.XLOOKUP(F206,purchase_order_lines_coldchain!A$2:A1204,
      purchase_order_lines_coldchain!B$2:B1204)),
      "")</f>
        <v/>
      </c>
      <c r="I206" t="str">
        <f t="shared" si="3"/>
        <v>PO000014</v>
      </c>
      <c r="J206" t="s">
        <v>1983</v>
      </c>
      <c r="K206" s="11">
        <v>32</v>
      </c>
      <c r="L206" s="11">
        <v>32</v>
      </c>
      <c r="M206" s="14">
        <v>5.78</v>
      </c>
      <c r="N206" s="14">
        <v>184.96</v>
      </c>
      <c r="O206">
        <v>0.5</v>
      </c>
      <c r="P206" t="s">
        <v>3275</v>
      </c>
    </row>
    <row r="207" spans="1:16" x14ac:dyDescent="0.25">
      <c r="A207" t="s">
        <v>1984</v>
      </c>
      <c r="B207" s="1">
        <v>45702.872916666667</v>
      </c>
      <c r="C207" t="s">
        <v>3274</v>
      </c>
      <c r="D207" t="s">
        <v>964</v>
      </c>
      <c r="E207" t="s">
        <v>567</v>
      </c>
      <c r="F207" t="s">
        <v>1224</v>
      </c>
      <c r="G207" t="s">
        <v>1014</v>
      </c>
      <c r="H207" t="str" cm="1">
        <f t="array" ref="H207">IF(AND(G207="",
      C207="Receipt"),
      _xlfn.XLOOKUP(1,
      (purchase_order_lines_coldchain!A207:A1205 = F207) *
      (purchase_order_lines_coldchain!G207:G1205 = E207) *
      (purchase_order_lines_coldchain!D207:D1205 = D207),
      purchase_order_lines_coldchain!B$2:B$1000,
      _xlfn.XLOOKUP(F207,purchase_order_lines_coldchain!A$2:A1205,
      purchase_order_lines_coldchain!B$2:B1205)),
      "")</f>
        <v/>
      </c>
      <c r="I207" t="str">
        <f t="shared" si="3"/>
        <v>PO000030</v>
      </c>
      <c r="J207" t="s">
        <v>1985</v>
      </c>
      <c r="K207" s="11">
        <v>194</v>
      </c>
      <c r="L207" s="11">
        <v>194</v>
      </c>
      <c r="M207" s="14">
        <v>1.71</v>
      </c>
      <c r="N207" s="14">
        <v>331.74</v>
      </c>
      <c r="O207">
        <v>5.9</v>
      </c>
      <c r="P207" t="s">
        <v>3275</v>
      </c>
    </row>
    <row r="208" spans="1:16" x14ac:dyDescent="0.25">
      <c r="A208" t="s">
        <v>1986</v>
      </c>
      <c r="B208" s="1">
        <v>45715.293749999997</v>
      </c>
      <c r="C208" t="s">
        <v>3274</v>
      </c>
      <c r="D208" t="s">
        <v>968</v>
      </c>
      <c r="E208" t="s">
        <v>660</v>
      </c>
      <c r="F208" t="s">
        <v>1301</v>
      </c>
      <c r="G208" t="s">
        <v>1041</v>
      </c>
      <c r="H208" t="str" cm="1">
        <f t="array" ref="H208">IF(AND(G208="",
      C208="Receipt"),
      _xlfn.XLOOKUP(1,
      (purchase_order_lines_coldchain!A208:A1206 = F208) *
      (purchase_order_lines_coldchain!G208:G1206 = E208) *
      (purchase_order_lines_coldchain!D208:D1206 = D208),
      purchase_order_lines_coldchain!B$2:B$1000,
      _xlfn.XLOOKUP(F208,purchase_order_lines_coldchain!A$2:A1206,
      purchase_order_lines_coldchain!B$2:B1206)),
      "")</f>
        <v/>
      </c>
      <c r="I208" t="str">
        <f t="shared" si="3"/>
        <v>PO000057</v>
      </c>
      <c r="J208" t="s">
        <v>1987</v>
      </c>
      <c r="K208" s="11">
        <v>142</v>
      </c>
      <c r="L208" s="11">
        <v>142</v>
      </c>
      <c r="M208" s="14">
        <v>13.95</v>
      </c>
      <c r="N208" s="14">
        <v>1980.9</v>
      </c>
      <c r="O208">
        <v>6.8</v>
      </c>
      <c r="P208" t="s">
        <v>3275</v>
      </c>
    </row>
    <row r="209" spans="1:16" x14ac:dyDescent="0.25">
      <c r="A209" t="s">
        <v>1988</v>
      </c>
      <c r="B209" s="1">
        <v>45711.397916666669</v>
      </c>
      <c r="C209" t="s">
        <v>3274</v>
      </c>
      <c r="D209" t="s">
        <v>987</v>
      </c>
      <c r="E209" t="s">
        <v>409</v>
      </c>
      <c r="F209" t="s">
        <v>1479</v>
      </c>
      <c r="G209" t="s">
        <v>1104</v>
      </c>
      <c r="H209" t="str" cm="1">
        <f t="array" ref="H209">IF(AND(G209="",
      C209="Receipt"),
      _xlfn.XLOOKUP(1,
      (purchase_order_lines_coldchain!A209:A1207 = F209) *
      (purchase_order_lines_coldchain!G209:G1207 = E209) *
      (purchase_order_lines_coldchain!D209:D1207 = D209),
      purchase_order_lines_coldchain!B$2:B$1000,
      _xlfn.XLOOKUP(F209,purchase_order_lines_coldchain!A$2:A1207,
      purchase_order_lines_coldchain!B$2:B1207)),
      "")</f>
        <v/>
      </c>
      <c r="I209" t="str">
        <f t="shared" si="3"/>
        <v>PO000120</v>
      </c>
      <c r="J209" t="s">
        <v>1989</v>
      </c>
      <c r="K209" s="11">
        <v>57</v>
      </c>
      <c r="L209" s="11">
        <v>57</v>
      </c>
      <c r="M209" s="14">
        <v>5.3</v>
      </c>
      <c r="N209" s="14">
        <v>302.10000000000002</v>
      </c>
      <c r="O209">
        <v>4.8</v>
      </c>
      <c r="P209" t="s">
        <v>3275</v>
      </c>
    </row>
    <row r="210" spans="1:16" x14ac:dyDescent="0.25">
      <c r="A210" t="s">
        <v>1990</v>
      </c>
      <c r="B210" s="1">
        <v>45705.822222222225</v>
      </c>
      <c r="C210" t="s">
        <v>3274</v>
      </c>
      <c r="D210" t="s">
        <v>976</v>
      </c>
      <c r="E210" t="s">
        <v>813</v>
      </c>
      <c r="F210" t="s">
        <v>1266</v>
      </c>
      <c r="G210" t="s">
        <v>1029</v>
      </c>
      <c r="H210" t="str" cm="1">
        <f t="array" ref="H210">IF(AND(G210="",
      C210="Receipt"),
      _xlfn.XLOOKUP(1,
      (purchase_order_lines_coldchain!A210:A1208 = F210) *
      (purchase_order_lines_coldchain!G210:G1208 = E210) *
      (purchase_order_lines_coldchain!D210:D1208 = D210),
      purchase_order_lines_coldchain!B$2:B$1000,
      _xlfn.XLOOKUP(F210,purchase_order_lines_coldchain!A$2:A1208,
      purchase_order_lines_coldchain!B$2:B1208)),
      "")</f>
        <v/>
      </c>
      <c r="I210" t="str">
        <f t="shared" si="3"/>
        <v>PO000045</v>
      </c>
      <c r="J210" t="s">
        <v>1991</v>
      </c>
      <c r="K210" s="11">
        <v>58</v>
      </c>
      <c r="L210" s="11">
        <v>58</v>
      </c>
      <c r="M210" s="14">
        <v>6.19</v>
      </c>
      <c r="N210" s="14">
        <v>359.02</v>
      </c>
      <c r="O210">
        <v>5.4</v>
      </c>
      <c r="P210" t="s">
        <v>3275</v>
      </c>
    </row>
    <row r="211" spans="1:16" x14ac:dyDescent="0.25">
      <c r="A211" t="s">
        <v>1992</v>
      </c>
      <c r="B211" s="1">
        <v>45679.324999999997</v>
      </c>
      <c r="C211" t="s">
        <v>3274</v>
      </c>
      <c r="D211" t="s">
        <v>959</v>
      </c>
      <c r="E211" t="s">
        <v>699</v>
      </c>
      <c r="F211" t="s">
        <v>1284</v>
      </c>
      <c r="G211" t="s">
        <v>1035</v>
      </c>
      <c r="H211" t="str" cm="1">
        <f t="array" ref="H211">IF(AND(G211="",
      C211="Receipt"),
      _xlfn.XLOOKUP(1,
      (purchase_order_lines_coldchain!A211:A1209 = F211) *
      (purchase_order_lines_coldchain!G211:G1209 = E211) *
      (purchase_order_lines_coldchain!D211:D1209 = D211),
      purchase_order_lines_coldchain!B$2:B$1000,
      _xlfn.XLOOKUP(F211,purchase_order_lines_coldchain!A$2:A1209,
      purchase_order_lines_coldchain!B$2:B1209)),
      "")</f>
        <v/>
      </c>
      <c r="I211" t="str">
        <f t="shared" si="3"/>
        <v>PO000051</v>
      </c>
      <c r="J211" t="s">
        <v>1993</v>
      </c>
      <c r="K211" s="11">
        <v>129</v>
      </c>
      <c r="L211" s="11">
        <v>129</v>
      </c>
      <c r="M211" s="14">
        <v>1.81</v>
      </c>
      <c r="N211" s="14">
        <v>233.49</v>
      </c>
      <c r="O211">
        <v>6.8</v>
      </c>
      <c r="P211" t="s">
        <v>3275</v>
      </c>
    </row>
    <row r="212" spans="1:16" x14ac:dyDescent="0.25">
      <c r="A212" t="s">
        <v>1994</v>
      </c>
      <c r="B212" s="1">
        <v>45673.881249999999</v>
      </c>
      <c r="C212" t="s">
        <v>3274</v>
      </c>
      <c r="D212" t="s">
        <v>987</v>
      </c>
      <c r="E212" t="s">
        <v>514</v>
      </c>
      <c r="F212" t="s">
        <v>1219</v>
      </c>
      <c r="G212" t="s">
        <v>1012</v>
      </c>
      <c r="H212" t="str" cm="1">
        <f t="array" ref="H212">IF(AND(G212="",
      C212="Receipt"),
      _xlfn.XLOOKUP(1,
      (purchase_order_lines_coldchain!A212:A1210 = F212) *
      (purchase_order_lines_coldchain!G212:G1210 = E212) *
      (purchase_order_lines_coldchain!D212:D1210 = D212),
      purchase_order_lines_coldchain!B$2:B$1000,
      _xlfn.XLOOKUP(F212,purchase_order_lines_coldchain!A$2:A1210,
      purchase_order_lines_coldchain!B$2:B1210)),
      "")</f>
        <v/>
      </c>
      <c r="I212" t="str">
        <f t="shared" si="3"/>
        <v>PO000028</v>
      </c>
      <c r="J212" t="s">
        <v>1995</v>
      </c>
      <c r="K212" s="11">
        <v>97</v>
      </c>
      <c r="L212" s="11">
        <v>97</v>
      </c>
      <c r="M212" s="14">
        <v>12.93</v>
      </c>
      <c r="N212" s="14">
        <v>1254.21</v>
      </c>
      <c r="O212">
        <v>5.0999999999999996</v>
      </c>
      <c r="P212" t="s">
        <v>3275</v>
      </c>
    </row>
    <row r="213" spans="1:16" x14ac:dyDescent="0.25">
      <c r="A213" t="s">
        <v>1996</v>
      </c>
      <c r="B213" s="1">
        <v>45702.084027777775</v>
      </c>
      <c r="C213" t="s">
        <v>3274</v>
      </c>
      <c r="D213" t="s">
        <v>980</v>
      </c>
      <c r="E213" t="s">
        <v>915</v>
      </c>
      <c r="F213" t="s">
        <v>1380</v>
      </c>
      <c r="G213" t="s">
        <v>1068</v>
      </c>
      <c r="H213" t="str" cm="1">
        <f t="array" ref="H213">IF(AND(G213="",
      C213="Receipt"),
      _xlfn.XLOOKUP(1,
      (purchase_order_lines_coldchain!A213:A1211 = F213) *
      (purchase_order_lines_coldchain!G213:G1211 = E213) *
      (purchase_order_lines_coldchain!D213:D1211 = D213),
      purchase_order_lines_coldchain!B$2:B$1000,
      _xlfn.XLOOKUP(F213,purchase_order_lines_coldchain!A$2:A1211,
      purchase_order_lines_coldchain!B$2:B1211)),
      "")</f>
        <v/>
      </c>
      <c r="I213" t="str">
        <f t="shared" si="3"/>
        <v>PO000084</v>
      </c>
      <c r="J213" t="s">
        <v>1997</v>
      </c>
      <c r="K213" s="11">
        <v>184</v>
      </c>
      <c r="L213" s="11">
        <v>184</v>
      </c>
      <c r="M213" s="14">
        <v>10.11</v>
      </c>
      <c r="N213" s="14">
        <v>1860.24</v>
      </c>
      <c r="O213">
        <v>5.6</v>
      </c>
      <c r="P213" t="s">
        <v>3275</v>
      </c>
    </row>
    <row r="214" spans="1:16" x14ac:dyDescent="0.25">
      <c r="A214" t="s">
        <v>1998</v>
      </c>
      <c r="B214" s="1">
        <v>45689.21875</v>
      </c>
      <c r="C214" t="s">
        <v>3274</v>
      </c>
      <c r="D214" t="s">
        <v>999</v>
      </c>
      <c r="E214" t="s">
        <v>678</v>
      </c>
      <c r="F214" t="s">
        <v>1368</v>
      </c>
      <c r="G214" t="s">
        <v>1064</v>
      </c>
      <c r="H214" t="str" cm="1">
        <f t="array" ref="H214">IF(AND(G214="",
      C214="Receipt"),
      _xlfn.XLOOKUP(1,
      (purchase_order_lines_coldchain!A214:A1212 = F214) *
      (purchase_order_lines_coldchain!G214:G1212 = E214) *
      (purchase_order_lines_coldchain!D214:D1212 = D214),
      purchase_order_lines_coldchain!B$2:B$1000,
      _xlfn.XLOOKUP(F214,purchase_order_lines_coldchain!A$2:A1212,
      purchase_order_lines_coldchain!B$2:B1212)),
      "")</f>
        <v/>
      </c>
      <c r="I214" t="str">
        <f t="shared" si="3"/>
        <v>PO000080</v>
      </c>
      <c r="J214" t="s">
        <v>1999</v>
      </c>
      <c r="K214" s="11">
        <v>214</v>
      </c>
      <c r="L214" s="11">
        <v>214</v>
      </c>
      <c r="M214" s="14">
        <v>12.51</v>
      </c>
      <c r="N214" s="14">
        <v>2677.14</v>
      </c>
      <c r="O214">
        <v>-14.8</v>
      </c>
      <c r="P214" t="s">
        <v>3275</v>
      </c>
    </row>
    <row r="215" spans="1:16" x14ac:dyDescent="0.25">
      <c r="A215" t="s">
        <v>2000</v>
      </c>
      <c r="B215" s="1">
        <v>45692.798611111109</v>
      </c>
      <c r="C215" t="s">
        <v>3274</v>
      </c>
      <c r="D215" t="s">
        <v>990</v>
      </c>
      <c r="E215" t="s">
        <v>466</v>
      </c>
      <c r="F215" t="s">
        <v>1378</v>
      </c>
      <c r="G215" t="s">
        <v>1067</v>
      </c>
      <c r="H215" t="str" cm="1">
        <f t="array" ref="H215">IF(AND(G215="",
      C215="Receipt"),
      _xlfn.XLOOKUP(1,
      (purchase_order_lines_coldchain!A215:A1213 = F215) *
      (purchase_order_lines_coldchain!G215:G1213 = E215) *
      (purchase_order_lines_coldchain!D215:D1213 = D215),
      purchase_order_lines_coldchain!B$2:B$1000,
      _xlfn.XLOOKUP(F215,purchase_order_lines_coldchain!A$2:A1213,
      purchase_order_lines_coldchain!B$2:B1213)),
      "")</f>
        <v/>
      </c>
      <c r="I215" t="str">
        <f t="shared" si="3"/>
        <v>PO000083</v>
      </c>
      <c r="J215" t="s">
        <v>2001</v>
      </c>
      <c r="K215" s="11">
        <v>78</v>
      </c>
      <c r="L215" s="11">
        <v>78</v>
      </c>
      <c r="M215" s="14">
        <v>7.48</v>
      </c>
      <c r="N215" s="14">
        <v>583.44000000000005</v>
      </c>
      <c r="O215">
        <v>4.7</v>
      </c>
      <c r="P215" t="s">
        <v>3275</v>
      </c>
    </row>
    <row r="216" spans="1:16" x14ac:dyDescent="0.25">
      <c r="A216" t="s">
        <v>2002</v>
      </c>
      <c r="B216" s="1">
        <v>45706.486111111109</v>
      </c>
      <c r="C216" t="s">
        <v>3274</v>
      </c>
      <c r="D216" t="s">
        <v>968</v>
      </c>
      <c r="E216" t="s">
        <v>413</v>
      </c>
      <c r="F216" t="s">
        <v>1269</v>
      </c>
      <c r="G216" t="s">
        <v>1030</v>
      </c>
      <c r="H216" t="str" cm="1">
        <f t="array" ref="H216">IF(AND(G216="",
      C216="Receipt"),
      _xlfn.XLOOKUP(1,
      (purchase_order_lines_coldchain!A216:A1214 = F216) *
      (purchase_order_lines_coldchain!G216:G1214 = E216) *
      (purchase_order_lines_coldchain!D216:D1214 = D216),
      purchase_order_lines_coldchain!B$2:B$1000,
      _xlfn.XLOOKUP(F216,purchase_order_lines_coldchain!A$2:A1214,
      purchase_order_lines_coldchain!B$2:B1214)),
      "")</f>
        <v/>
      </c>
      <c r="I216" t="str">
        <f t="shared" si="3"/>
        <v>PO000046</v>
      </c>
      <c r="J216" t="s">
        <v>2003</v>
      </c>
      <c r="K216" s="11">
        <v>154</v>
      </c>
      <c r="L216" s="11">
        <v>154</v>
      </c>
      <c r="M216" s="14">
        <v>1.9</v>
      </c>
      <c r="N216" s="14">
        <v>292.60000000000002</v>
      </c>
      <c r="O216">
        <v>3.7</v>
      </c>
      <c r="P216" t="s">
        <v>3275</v>
      </c>
    </row>
    <row r="217" spans="1:16" x14ac:dyDescent="0.25">
      <c r="A217" t="s">
        <v>2004</v>
      </c>
      <c r="B217" s="1">
        <v>45664.486111111109</v>
      </c>
      <c r="C217" t="s">
        <v>3274</v>
      </c>
      <c r="D217" t="s">
        <v>959</v>
      </c>
      <c r="E217" t="s">
        <v>798</v>
      </c>
      <c r="F217" t="s">
        <v>1305</v>
      </c>
      <c r="G217" t="s">
        <v>1043</v>
      </c>
      <c r="H217" t="str" cm="1">
        <f t="array" ref="H217">IF(AND(G217="",
      C217="Receipt"),
      _xlfn.XLOOKUP(1,
      (purchase_order_lines_coldchain!A217:A1215 = F217) *
      (purchase_order_lines_coldchain!G217:G1215 = E217) *
      (purchase_order_lines_coldchain!D217:D1215 = D217),
      purchase_order_lines_coldchain!B$2:B$1000,
      _xlfn.XLOOKUP(F217,purchase_order_lines_coldchain!A$2:A1215,
      purchase_order_lines_coldchain!B$2:B1215)),
      "")</f>
        <v/>
      </c>
      <c r="I217" t="str">
        <f t="shared" si="3"/>
        <v>PO000059</v>
      </c>
      <c r="J217" t="s">
        <v>2005</v>
      </c>
      <c r="K217" s="11">
        <v>66</v>
      </c>
      <c r="L217" s="11">
        <v>66</v>
      </c>
      <c r="M217" s="14">
        <v>16.670000000000002</v>
      </c>
      <c r="N217" s="14">
        <v>1100.22</v>
      </c>
      <c r="O217">
        <v>3.9</v>
      </c>
      <c r="P217" t="s">
        <v>3275</v>
      </c>
    </row>
    <row r="218" spans="1:16" x14ac:dyDescent="0.25">
      <c r="A218" t="s">
        <v>2006</v>
      </c>
      <c r="B218" s="1">
        <v>45691.588888888888</v>
      </c>
      <c r="C218" t="s">
        <v>3274</v>
      </c>
      <c r="D218" t="s">
        <v>980</v>
      </c>
      <c r="E218" t="s">
        <v>597</v>
      </c>
      <c r="F218" t="s">
        <v>1562</v>
      </c>
      <c r="G218" t="s">
        <v>1134</v>
      </c>
      <c r="H218" t="str" cm="1">
        <f t="array" ref="H218">IF(AND(G218="",
      C218="Receipt"),
      _xlfn.XLOOKUP(1,
      (purchase_order_lines_coldchain!A218:A1216 = F218) *
      (purchase_order_lines_coldchain!G218:G1216 = E218) *
      (purchase_order_lines_coldchain!D218:D1216 = D218),
      purchase_order_lines_coldchain!B$2:B$1000,
      _xlfn.XLOOKUP(F218,purchase_order_lines_coldchain!A$2:A1216,
      purchase_order_lines_coldchain!B$2:B1216)),
      "")</f>
        <v/>
      </c>
      <c r="I218" t="str">
        <f t="shared" si="3"/>
        <v>PO000150</v>
      </c>
      <c r="J218" t="s">
        <v>2007</v>
      </c>
      <c r="K218" s="11">
        <v>114</v>
      </c>
      <c r="L218" s="11">
        <v>114</v>
      </c>
      <c r="M218" s="14">
        <v>2.8</v>
      </c>
      <c r="N218" s="14">
        <v>319.2</v>
      </c>
      <c r="O218">
        <v>2.5</v>
      </c>
      <c r="P218" t="s">
        <v>3275</v>
      </c>
    </row>
    <row r="219" spans="1:16" x14ac:dyDescent="0.25">
      <c r="A219" t="s">
        <v>2008</v>
      </c>
      <c r="B219" s="1">
        <v>45714.256249999999</v>
      </c>
      <c r="C219" t="s">
        <v>3274</v>
      </c>
      <c r="D219" t="s">
        <v>999</v>
      </c>
      <c r="E219" t="s">
        <v>882</v>
      </c>
      <c r="F219" t="s">
        <v>1183</v>
      </c>
      <c r="G219" t="s">
        <v>998</v>
      </c>
      <c r="H219" t="str" cm="1">
        <f t="array" ref="H219">IF(AND(G219="",
      C219="Receipt"),
      _xlfn.XLOOKUP(1,
      (purchase_order_lines_coldchain!A219:A1217 = F219) *
      (purchase_order_lines_coldchain!G219:G1217 = E219) *
      (purchase_order_lines_coldchain!D219:D1217 = D219),
      purchase_order_lines_coldchain!B$2:B$1000,
      _xlfn.XLOOKUP(F219,purchase_order_lines_coldchain!A$2:A1217,
      purchase_order_lines_coldchain!B$2:B1217)),
      "")</f>
        <v/>
      </c>
      <c r="I219" t="str">
        <f t="shared" si="3"/>
        <v>PO000016</v>
      </c>
      <c r="J219" t="s">
        <v>2009</v>
      </c>
      <c r="K219" s="11">
        <v>176</v>
      </c>
      <c r="L219" s="11">
        <v>176</v>
      </c>
      <c r="M219" s="14">
        <v>3.53</v>
      </c>
      <c r="N219" s="14">
        <v>621.28</v>
      </c>
      <c r="O219">
        <v>5.3</v>
      </c>
      <c r="P219" t="s">
        <v>3275</v>
      </c>
    </row>
    <row r="220" spans="1:16" x14ac:dyDescent="0.25">
      <c r="A220" t="s">
        <v>2010</v>
      </c>
      <c r="B220" s="1">
        <v>45684.982638888891</v>
      </c>
      <c r="C220" t="s">
        <v>3274</v>
      </c>
      <c r="D220" t="s">
        <v>959</v>
      </c>
      <c r="E220" t="s">
        <v>570</v>
      </c>
      <c r="F220" t="s">
        <v>1363</v>
      </c>
      <c r="G220" t="s">
        <v>1062</v>
      </c>
      <c r="H220" t="str" cm="1">
        <f t="array" ref="H220">IF(AND(G220="",
      C220="Receipt"),
      _xlfn.XLOOKUP(1,
      (purchase_order_lines_coldchain!A220:A1218 = F220) *
      (purchase_order_lines_coldchain!G220:G1218 = E220) *
      (purchase_order_lines_coldchain!D220:D1218 = D220),
      purchase_order_lines_coldchain!B$2:B$1000,
      _xlfn.XLOOKUP(F220,purchase_order_lines_coldchain!A$2:A1218,
      purchase_order_lines_coldchain!B$2:B1218)),
      "")</f>
        <v/>
      </c>
      <c r="I220" t="str">
        <f t="shared" si="3"/>
        <v>PO000078</v>
      </c>
      <c r="J220" t="s">
        <v>2011</v>
      </c>
      <c r="K220" s="11">
        <v>116</v>
      </c>
      <c r="L220" s="11">
        <v>116</v>
      </c>
      <c r="M220" s="14">
        <v>11.34</v>
      </c>
      <c r="N220" s="14">
        <v>1315.44</v>
      </c>
      <c r="O220">
        <v>-17</v>
      </c>
      <c r="P220" t="s">
        <v>3275</v>
      </c>
    </row>
    <row r="221" spans="1:16" x14ac:dyDescent="0.25">
      <c r="A221" t="s">
        <v>2012</v>
      </c>
      <c r="B221" s="1">
        <v>45718.98541666667</v>
      </c>
      <c r="C221" t="s">
        <v>3274</v>
      </c>
      <c r="D221" t="s">
        <v>996</v>
      </c>
      <c r="E221" t="s">
        <v>579</v>
      </c>
      <c r="F221" t="s">
        <v>1529</v>
      </c>
      <c r="G221" t="s">
        <v>1123</v>
      </c>
      <c r="H221" t="str" cm="1">
        <f t="array" ref="H221">IF(AND(G221="",
      C221="Receipt"),
      _xlfn.XLOOKUP(1,
      (purchase_order_lines_coldchain!A221:A1219 = F221) *
      (purchase_order_lines_coldchain!G221:G1219 = E221) *
      (purchase_order_lines_coldchain!D221:D1219 = D221),
      purchase_order_lines_coldchain!B$2:B$1000,
      _xlfn.XLOOKUP(F221,purchase_order_lines_coldchain!A$2:A1219,
      purchase_order_lines_coldchain!B$2:B1219)),
      "")</f>
        <v/>
      </c>
      <c r="I221" t="str">
        <f t="shared" si="3"/>
        <v>PO000139</v>
      </c>
      <c r="J221" t="s">
        <v>2013</v>
      </c>
      <c r="K221" s="11">
        <v>27</v>
      </c>
      <c r="L221" s="11">
        <v>27</v>
      </c>
      <c r="M221" s="14">
        <v>6.42</v>
      </c>
      <c r="N221" s="14">
        <v>173.34</v>
      </c>
      <c r="O221">
        <v>4.7</v>
      </c>
      <c r="P221" t="s">
        <v>3275</v>
      </c>
    </row>
    <row r="222" spans="1:16" x14ac:dyDescent="0.25">
      <c r="A222" t="s">
        <v>2014</v>
      </c>
      <c r="B222" s="1">
        <v>45680.148611111108</v>
      </c>
      <c r="C222" t="s">
        <v>3274</v>
      </c>
      <c r="D222" t="s">
        <v>999</v>
      </c>
      <c r="E222" t="s">
        <v>446</v>
      </c>
      <c r="F222" t="s">
        <v>1303</v>
      </c>
      <c r="G222" t="s">
        <v>1042</v>
      </c>
      <c r="H222" t="str" cm="1">
        <f t="array" ref="H222">IF(AND(G222="",
      C222="Receipt"),
      _xlfn.XLOOKUP(1,
      (purchase_order_lines_coldchain!A222:A1220 = F222) *
      (purchase_order_lines_coldchain!G222:G1220 = E222) *
      (purchase_order_lines_coldchain!D222:D1220 = D222),
      purchase_order_lines_coldchain!B$2:B$1000,
      _xlfn.XLOOKUP(F222,purchase_order_lines_coldchain!A$2:A1220,
      purchase_order_lines_coldchain!B$2:B1220)),
      "")</f>
        <v/>
      </c>
      <c r="I222" t="str">
        <f t="shared" si="3"/>
        <v>PO000058</v>
      </c>
      <c r="J222" t="s">
        <v>2015</v>
      </c>
      <c r="K222" s="11">
        <v>92</v>
      </c>
      <c r="L222" s="11">
        <v>92</v>
      </c>
      <c r="M222" s="14">
        <v>4.42</v>
      </c>
      <c r="N222" s="14">
        <v>406.64</v>
      </c>
      <c r="O222">
        <v>3.4</v>
      </c>
      <c r="P222" t="s">
        <v>3275</v>
      </c>
    </row>
    <row r="223" spans="1:16" x14ac:dyDescent="0.25">
      <c r="A223" t="s">
        <v>2016</v>
      </c>
      <c r="B223" s="1">
        <v>45680.962500000001</v>
      </c>
      <c r="C223" t="s">
        <v>3274</v>
      </c>
      <c r="D223" t="s">
        <v>980</v>
      </c>
      <c r="E223" t="s">
        <v>648</v>
      </c>
      <c r="F223" t="s">
        <v>1319</v>
      </c>
      <c r="G223" t="s">
        <v>1047</v>
      </c>
      <c r="H223" t="str" cm="1">
        <f t="array" ref="H223">IF(AND(G223="",
      C223="Receipt"),
      _xlfn.XLOOKUP(1,
      (purchase_order_lines_coldchain!A223:A1221 = F223) *
      (purchase_order_lines_coldchain!G223:G1221 = E223) *
      (purchase_order_lines_coldchain!D223:D1221 = D223),
      purchase_order_lines_coldchain!B$2:B$1000,
      _xlfn.XLOOKUP(F223,purchase_order_lines_coldchain!A$2:A1221,
      purchase_order_lines_coldchain!B$2:B1221)),
      "")</f>
        <v/>
      </c>
      <c r="I223" t="str">
        <f t="shared" si="3"/>
        <v>PO000063</v>
      </c>
      <c r="J223" t="s">
        <v>2017</v>
      </c>
      <c r="K223" s="11">
        <v>35</v>
      </c>
      <c r="L223" s="11">
        <v>35</v>
      </c>
      <c r="M223" s="14">
        <v>8.9700000000000006</v>
      </c>
      <c r="N223" s="14">
        <v>313.95</v>
      </c>
      <c r="O223">
        <v>0.7</v>
      </c>
      <c r="P223" t="s">
        <v>3275</v>
      </c>
    </row>
    <row r="224" spans="1:16" x14ac:dyDescent="0.25">
      <c r="A224" t="s">
        <v>2018</v>
      </c>
      <c r="B224" s="1">
        <v>45704.374305555553</v>
      </c>
      <c r="C224" t="s">
        <v>3274</v>
      </c>
      <c r="D224" t="s">
        <v>972</v>
      </c>
      <c r="E224" t="s">
        <v>463</v>
      </c>
      <c r="F224" t="s">
        <v>1457</v>
      </c>
      <c r="G224" t="s">
        <v>1096</v>
      </c>
      <c r="H224" t="str" cm="1">
        <f t="array" ref="H224">IF(AND(G224="",
      C224="Receipt"),
      _xlfn.XLOOKUP(1,
      (purchase_order_lines_coldchain!A224:A1222 = F224) *
      (purchase_order_lines_coldchain!G224:G1222 = E224) *
      (purchase_order_lines_coldchain!D224:D1222 = D224),
      purchase_order_lines_coldchain!B$2:B$1000,
      _xlfn.XLOOKUP(F224,purchase_order_lines_coldchain!A$2:A1222,
      purchase_order_lines_coldchain!B$2:B1222)),
      "")</f>
        <v/>
      </c>
      <c r="I224" t="str">
        <f t="shared" si="3"/>
        <v>PO000112</v>
      </c>
      <c r="J224" t="s">
        <v>2019</v>
      </c>
      <c r="K224" s="11">
        <v>70</v>
      </c>
      <c r="L224" s="11">
        <v>70</v>
      </c>
      <c r="M224" s="14">
        <v>8.19</v>
      </c>
      <c r="N224" s="14">
        <v>573.29999999999995</v>
      </c>
      <c r="O224">
        <v>1.1000000000000001</v>
      </c>
      <c r="P224" t="s">
        <v>3275</v>
      </c>
    </row>
    <row r="225" spans="1:16" x14ac:dyDescent="0.25">
      <c r="A225" t="s">
        <v>2020</v>
      </c>
      <c r="B225" s="1">
        <v>45681.462500000001</v>
      </c>
      <c r="C225" t="s">
        <v>3274</v>
      </c>
      <c r="D225" t="s">
        <v>964</v>
      </c>
      <c r="E225" t="s">
        <v>502</v>
      </c>
      <c r="F225" t="s">
        <v>1358</v>
      </c>
      <c r="G225" t="s">
        <v>1061</v>
      </c>
      <c r="H225" t="str" cm="1">
        <f t="array" ref="H225">IF(AND(G225="",
      C225="Receipt"),
      _xlfn.XLOOKUP(1,
      (purchase_order_lines_coldchain!A225:A1223 = F225) *
      (purchase_order_lines_coldchain!G225:G1223 = E225) *
      (purchase_order_lines_coldchain!D225:D1223 = D225),
      purchase_order_lines_coldchain!B$2:B$1000,
      _xlfn.XLOOKUP(F225,purchase_order_lines_coldchain!A$2:A1223,
      purchase_order_lines_coldchain!B$2:B1223)),
      "")</f>
        <v/>
      </c>
      <c r="I225" t="str">
        <f t="shared" si="3"/>
        <v>PO000077</v>
      </c>
      <c r="J225" t="s">
        <v>2021</v>
      </c>
      <c r="K225" s="11">
        <v>45</v>
      </c>
      <c r="L225" s="11">
        <v>45</v>
      </c>
      <c r="M225" s="14">
        <v>12.2</v>
      </c>
      <c r="N225" s="14">
        <v>549</v>
      </c>
      <c r="O225">
        <v>3.5</v>
      </c>
      <c r="P225" t="s">
        <v>3275</v>
      </c>
    </row>
    <row r="226" spans="1:16" x14ac:dyDescent="0.25">
      <c r="A226" t="s">
        <v>2022</v>
      </c>
      <c r="B226" s="1">
        <v>45666.335416666669</v>
      </c>
      <c r="C226" t="s">
        <v>3274</v>
      </c>
      <c r="D226" t="s">
        <v>999</v>
      </c>
      <c r="E226" t="s">
        <v>505</v>
      </c>
      <c r="F226" t="s">
        <v>1295</v>
      </c>
      <c r="G226" t="s">
        <v>1039</v>
      </c>
      <c r="H226" t="str" cm="1">
        <f t="array" ref="H226">IF(AND(G226="",
      C226="Receipt"),
      _xlfn.XLOOKUP(1,
      (purchase_order_lines_coldchain!A226:A1224 = F226) *
      (purchase_order_lines_coldchain!G226:G1224 = E226) *
      (purchase_order_lines_coldchain!D226:D1224 = D226),
      purchase_order_lines_coldchain!B$2:B$1000,
      _xlfn.XLOOKUP(F226,purchase_order_lines_coldchain!A$2:A1224,
      purchase_order_lines_coldchain!B$2:B1224)),
      "")</f>
        <v/>
      </c>
      <c r="I226" t="str">
        <f t="shared" si="3"/>
        <v>PO000055</v>
      </c>
      <c r="J226" t="s">
        <v>2023</v>
      </c>
      <c r="K226" s="11">
        <v>139</v>
      </c>
      <c r="L226" s="11">
        <v>139</v>
      </c>
      <c r="M226" s="14">
        <v>6.74</v>
      </c>
      <c r="N226" s="14">
        <v>936.86</v>
      </c>
      <c r="O226">
        <v>3.4</v>
      </c>
      <c r="P226" t="s">
        <v>3275</v>
      </c>
    </row>
    <row r="227" spans="1:16" x14ac:dyDescent="0.25">
      <c r="A227" t="s">
        <v>2024</v>
      </c>
      <c r="B227" s="1">
        <v>45715.745138888888</v>
      </c>
      <c r="C227" t="s">
        <v>3274</v>
      </c>
      <c r="D227" t="s">
        <v>999</v>
      </c>
      <c r="E227" t="s">
        <v>813</v>
      </c>
      <c r="F227" t="s">
        <v>1555</v>
      </c>
      <c r="G227" t="s">
        <v>1132</v>
      </c>
      <c r="H227" t="str" cm="1">
        <f t="array" ref="H227">IF(AND(G227="",
      C227="Receipt"),
      _xlfn.XLOOKUP(1,
      (purchase_order_lines_coldchain!A227:A1225 = F227) *
      (purchase_order_lines_coldchain!G227:G1225 = E227) *
      (purchase_order_lines_coldchain!D227:D1225 = D227),
      purchase_order_lines_coldchain!B$2:B$1000,
      _xlfn.XLOOKUP(F227,purchase_order_lines_coldchain!A$2:A1225,
      purchase_order_lines_coldchain!B$2:B1225)),
      "")</f>
        <v/>
      </c>
      <c r="I227" t="str">
        <f t="shared" si="3"/>
        <v>PO000148</v>
      </c>
      <c r="J227" t="s">
        <v>2025</v>
      </c>
      <c r="K227" s="11">
        <v>67</v>
      </c>
      <c r="L227" s="11">
        <v>67</v>
      </c>
      <c r="M227" s="14">
        <v>5.72</v>
      </c>
      <c r="N227" s="14">
        <v>383.24</v>
      </c>
      <c r="O227">
        <v>3.1</v>
      </c>
      <c r="P227" t="s">
        <v>3275</v>
      </c>
    </row>
    <row r="228" spans="1:16" x14ac:dyDescent="0.25">
      <c r="A228" t="s">
        <v>2026</v>
      </c>
      <c r="B228" s="1">
        <v>45697.750694444447</v>
      </c>
      <c r="C228" t="s">
        <v>3274</v>
      </c>
      <c r="D228" t="s">
        <v>964</v>
      </c>
      <c r="E228" t="s">
        <v>639</v>
      </c>
      <c r="F228" t="s">
        <v>1194</v>
      </c>
      <c r="G228" t="s">
        <v>1003</v>
      </c>
      <c r="H228" t="str" cm="1">
        <f t="array" ref="H228">IF(AND(G228="",
      C228="Receipt"),
      _xlfn.XLOOKUP(1,
      (purchase_order_lines_coldchain!A228:A1226 = F228) *
      (purchase_order_lines_coldchain!G228:G1226 = E228) *
      (purchase_order_lines_coldchain!D228:D1226 = D228),
      purchase_order_lines_coldchain!B$2:B$1000,
      _xlfn.XLOOKUP(F228,purchase_order_lines_coldchain!A$2:A1226,
      purchase_order_lines_coldchain!B$2:B1226)),
      "")</f>
        <v/>
      </c>
      <c r="I228" t="str">
        <f t="shared" si="3"/>
        <v>PO000019</v>
      </c>
      <c r="J228" t="s">
        <v>2027</v>
      </c>
      <c r="K228" s="11">
        <v>32</v>
      </c>
      <c r="L228" s="11">
        <v>32</v>
      </c>
      <c r="M228" s="14">
        <v>14.59</v>
      </c>
      <c r="N228" s="14">
        <v>466.88</v>
      </c>
      <c r="O228">
        <v>3.4</v>
      </c>
      <c r="P228" t="s">
        <v>3275</v>
      </c>
    </row>
    <row r="229" spans="1:16" x14ac:dyDescent="0.25">
      <c r="A229" t="s">
        <v>2028</v>
      </c>
      <c r="B229" s="1">
        <v>45726.470833333333</v>
      </c>
      <c r="C229" t="s">
        <v>3274</v>
      </c>
      <c r="D229" t="s">
        <v>964</v>
      </c>
      <c r="E229" t="s">
        <v>822</v>
      </c>
      <c r="F229" t="s">
        <v>1235</v>
      </c>
      <c r="G229" t="s">
        <v>1018</v>
      </c>
      <c r="H229" t="str" cm="1">
        <f t="array" ref="H229">IF(AND(G229="",
      C229="Receipt"),
      _xlfn.XLOOKUP(1,
      (purchase_order_lines_coldchain!A229:A1227 = F229) *
      (purchase_order_lines_coldchain!G229:G1227 = E229) *
      (purchase_order_lines_coldchain!D229:D1227 = D229),
      purchase_order_lines_coldchain!B$2:B$1000,
      _xlfn.XLOOKUP(F229,purchase_order_lines_coldchain!A$2:A1227,
      purchase_order_lines_coldchain!B$2:B1227)),
      "")</f>
        <v/>
      </c>
      <c r="I229" t="str">
        <f t="shared" si="3"/>
        <v>PO000034</v>
      </c>
      <c r="J229" t="s">
        <v>2029</v>
      </c>
      <c r="K229" s="11">
        <v>152</v>
      </c>
      <c r="L229" s="11">
        <v>152</v>
      </c>
      <c r="M229" s="14">
        <v>9.0399999999999991</v>
      </c>
      <c r="N229" s="14">
        <v>1374.08</v>
      </c>
      <c r="O229">
        <v>2.2000000000000002</v>
      </c>
      <c r="P229" t="s">
        <v>3275</v>
      </c>
    </row>
    <row r="230" spans="1:16" x14ac:dyDescent="0.25">
      <c r="A230" t="s">
        <v>2030</v>
      </c>
      <c r="B230" s="1">
        <v>45730.665972222225</v>
      </c>
      <c r="C230" t="s">
        <v>3274</v>
      </c>
      <c r="D230" t="s">
        <v>996</v>
      </c>
      <c r="E230" t="s">
        <v>539</v>
      </c>
      <c r="F230" t="s">
        <v>1548</v>
      </c>
      <c r="G230" t="s">
        <v>1129</v>
      </c>
      <c r="H230" t="str" cm="1">
        <f t="array" ref="H230">IF(AND(G230="",
      C230="Receipt"),
      _xlfn.XLOOKUP(1,
      (purchase_order_lines_coldchain!A230:A1228 = F230) *
      (purchase_order_lines_coldchain!G230:G1228 = E230) *
      (purchase_order_lines_coldchain!D230:D1228 = D230),
      purchase_order_lines_coldchain!B$2:B$1000,
      _xlfn.XLOOKUP(F230,purchase_order_lines_coldchain!A$2:A1228,
      purchase_order_lines_coldchain!B$2:B1228)),
      "")</f>
        <v/>
      </c>
      <c r="I230" t="str">
        <f t="shared" si="3"/>
        <v>PO000145</v>
      </c>
      <c r="J230" t="s">
        <v>2031</v>
      </c>
      <c r="K230" s="11">
        <v>154</v>
      </c>
      <c r="L230" s="11">
        <v>154</v>
      </c>
      <c r="M230" s="14">
        <v>6.68</v>
      </c>
      <c r="N230" s="14">
        <v>1028.72</v>
      </c>
      <c r="O230">
        <v>4.5</v>
      </c>
      <c r="P230" t="s">
        <v>3275</v>
      </c>
    </row>
    <row r="231" spans="1:16" x14ac:dyDescent="0.25">
      <c r="A231" t="s">
        <v>2032</v>
      </c>
      <c r="B231" s="1">
        <v>45736.824305555558</v>
      </c>
      <c r="C231" t="s">
        <v>3274</v>
      </c>
      <c r="D231" t="s">
        <v>964</v>
      </c>
      <c r="E231" t="s">
        <v>681</v>
      </c>
      <c r="F231" t="s">
        <v>1551</v>
      </c>
      <c r="G231" t="s">
        <v>1130</v>
      </c>
      <c r="H231" t="str" cm="1">
        <f t="array" ref="H231">IF(AND(G231="",
      C231="Receipt"),
      _xlfn.XLOOKUP(1,
      (purchase_order_lines_coldchain!A231:A1229 = F231) *
      (purchase_order_lines_coldchain!G231:G1229 = E231) *
      (purchase_order_lines_coldchain!D231:D1229 = D231),
      purchase_order_lines_coldchain!B$2:B$1000,
      _xlfn.XLOOKUP(F231,purchase_order_lines_coldchain!A$2:A1229,
      purchase_order_lines_coldchain!B$2:B1229)),
      "")</f>
        <v/>
      </c>
      <c r="I231" t="str">
        <f t="shared" si="3"/>
        <v>PO000146</v>
      </c>
      <c r="J231" t="s">
        <v>2033</v>
      </c>
      <c r="K231" s="11">
        <v>133</v>
      </c>
      <c r="L231" s="11">
        <v>133</v>
      </c>
      <c r="M231" s="14">
        <v>4.46</v>
      </c>
      <c r="N231" s="14">
        <v>593.17999999999995</v>
      </c>
      <c r="O231">
        <v>3.4</v>
      </c>
      <c r="P231" t="s">
        <v>3275</v>
      </c>
    </row>
    <row r="232" spans="1:16" x14ac:dyDescent="0.25">
      <c r="A232" t="s">
        <v>2034</v>
      </c>
      <c r="B232" s="1">
        <v>45686.945138888892</v>
      </c>
      <c r="C232" t="s">
        <v>3274</v>
      </c>
      <c r="D232" t="s">
        <v>968</v>
      </c>
      <c r="E232" t="s">
        <v>460</v>
      </c>
      <c r="F232" t="s">
        <v>1407</v>
      </c>
      <c r="G232" t="s">
        <v>1078</v>
      </c>
      <c r="H232" t="str" cm="1">
        <f t="array" ref="H232">IF(AND(G232="",
      C232="Receipt"),
      _xlfn.XLOOKUP(1,
      (purchase_order_lines_coldchain!A232:A1230 = F232) *
      (purchase_order_lines_coldchain!G232:G1230 = E232) *
      (purchase_order_lines_coldchain!D232:D1230 = D232),
      purchase_order_lines_coldchain!B$2:B$1000,
      _xlfn.XLOOKUP(F232,purchase_order_lines_coldchain!A$2:A1230,
      purchase_order_lines_coldchain!B$2:B1230)),
      "")</f>
        <v/>
      </c>
      <c r="I232" t="str">
        <f t="shared" si="3"/>
        <v>PO000094</v>
      </c>
      <c r="J232" t="s">
        <v>2035</v>
      </c>
      <c r="K232" s="11">
        <v>51</v>
      </c>
      <c r="L232" s="11">
        <v>51</v>
      </c>
      <c r="M232" s="14">
        <v>9.42</v>
      </c>
      <c r="N232" s="14">
        <v>480.42</v>
      </c>
      <c r="O232">
        <v>4.4000000000000004</v>
      </c>
      <c r="P232" t="s">
        <v>3275</v>
      </c>
    </row>
    <row r="233" spans="1:16" x14ac:dyDescent="0.25">
      <c r="A233" t="s">
        <v>2036</v>
      </c>
      <c r="B233" s="1">
        <v>45673.693055555559</v>
      </c>
      <c r="C233" t="s">
        <v>3274</v>
      </c>
      <c r="D233" t="s">
        <v>980</v>
      </c>
      <c r="E233" t="s">
        <v>933</v>
      </c>
      <c r="F233" t="s">
        <v>1419</v>
      </c>
      <c r="G233" t="s">
        <v>1082</v>
      </c>
      <c r="H233" t="str" cm="1">
        <f t="array" ref="H233">IF(AND(G233="",
      C233="Receipt"),
      _xlfn.XLOOKUP(1,
      (purchase_order_lines_coldchain!A233:A1231 = F233) *
      (purchase_order_lines_coldchain!G233:G1231 = E233) *
      (purchase_order_lines_coldchain!D233:D1231 = D233),
      purchase_order_lines_coldchain!B$2:B$1000,
      _xlfn.XLOOKUP(F233,purchase_order_lines_coldchain!A$2:A1231,
      purchase_order_lines_coldchain!B$2:B1231)),
      "")</f>
        <v/>
      </c>
      <c r="I233" t="str">
        <f t="shared" si="3"/>
        <v>PO000098</v>
      </c>
      <c r="J233" t="s">
        <v>2037</v>
      </c>
      <c r="K233" s="11">
        <v>57</v>
      </c>
      <c r="L233" s="11">
        <v>57</v>
      </c>
      <c r="M233" s="14">
        <v>4.6100000000000003</v>
      </c>
      <c r="N233" s="14">
        <v>262.77</v>
      </c>
      <c r="O233">
        <v>-0.1</v>
      </c>
      <c r="P233" t="s">
        <v>3275</v>
      </c>
    </row>
    <row r="234" spans="1:16" x14ac:dyDescent="0.25">
      <c r="A234" t="s">
        <v>2038</v>
      </c>
      <c r="B234" s="1">
        <v>45706.95208333333</v>
      </c>
      <c r="C234" t="s">
        <v>3274</v>
      </c>
      <c r="D234" t="s">
        <v>999</v>
      </c>
      <c r="E234" t="s">
        <v>539</v>
      </c>
      <c r="F234" t="s">
        <v>1495</v>
      </c>
      <c r="G234" t="s">
        <v>1110</v>
      </c>
      <c r="H234" t="str" cm="1">
        <f t="array" ref="H234">IF(AND(G234="",
      C234="Receipt"),
      _xlfn.XLOOKUP(1,
      (purchase_order_lines_coldchain!A234:A1232 = F234) *
      (purchase_order_lines_coldchain!G234:G1232 = E234) *
      (purchase_order_lines_coldchain!D234:D1232 = D234),
      purchase_order_lines_coldchain!B$2:B$1000,
      _xlfn.XLOOKUP(F234,purchase_order_lines_coldchain!A$2:A1232,
      purchase_order_lines_coldchain!B$2:B1232)),
      "")</f>
        <v/>
      </c>
      <c r="I234" t="str">
        <f t="shared" si="3"/>
        <v>PO000126</v>
      </c>
      <c r="J234" t="s">
        <v>2039</v>
      </c>
      <c r="K234" s="11">
        <v>57</v>
      </c>
      <c r="L234" s="11">
        <v>57</v>
      </c>
      <c r="M234" s="14">
        <v>7.12</v>
      </c>
      <c r="N234" s="14">
        <v>405.84</v>
      </c>
      <c r="O234">
        <v>7.9</v>
      </c>
      <c r="P234" t="s">
        <v>3275</v>
      </c>
    </row>
    <row r="235" spans="1:16" x14ac:dyDescent="0.25">
      <c r="A235" t="s">
        <v>2040</v>
      </c>
      <c r="B235" s="1">
        <v>45733.904861111114</v>
      </c>
      <c r="C235" t="s">
        <v>3274</v>
      </c>
      <c r="D235" t="s">
        <v>959</v>
      </c>
      <c r="E235" t="s">
        <v>496</v>
      </c>
      <c r="F235" t="s">
        <v>1312</v>
      </c>
      <c r="G235" t="s">
        <v>1045</v>
      </c>
      <c r="H235" t="str" cm="1">
        <f t="array" ref="H235">IF(AND(G235="",
      C235="Receipt"),
      _xlfn.XLOOKUP(1,
      (purchase_order_lines_coldchain!A235:A1233 = F235) *
      (purchase_order_lines_coldchain!G235:G1233 = E235) *
      (purchase_order_lines_coldchain!D235:D1233 = D235),
      purchase_order_lines_coldchain!B$2:B$1000,
      _xlfn.XLOOKUP(F235,purchase_order_lines_coldchain!A$2:A1233,
      purchase_order_lines_coldchain!B$2:B1233)),
      "")</f>
        <v/>
      </c>
      <c r="I235" t="str">
        <f t="shared" si="3"/>
        <v>PO000061</v>
      </c>
      <c r="J235" t="s">
        <v>2041</v>
      </c>
      <c r="K235" s="11">
        <v>222</v>
      </c>
      <c r="L235" s="11">
        <v>222</v>
      </c>
      <c r="M235" s="14">
        <v>7.5</v>
      </c>
      <c r="N235" s="14">
        <v>1665</v>
      </c>
      <c r="O235">
        <v>2.8</v>
      </c>
      <c r="P235" t="s">
        <v>3275</v>
      </c>
    </row>
    <row r="236" spans="1:16" x14ac:dyDescent="0.25">
      <c r="A236" t="s">
        <v>2042</v>
      </c>
      <c r="B236" s="1">
        <v>45740.817361111112</v>
      </c>
      <c r="C236" t="s">
        <v>3274</v>
      </c>
      <c r="D236" t="s">
        <v>996</v>
      </c>
      <c r="E236" t="s">
        <v>777</v>
      </c>
      <c r="F236" t="s">
        <v>1343</v>
      </c>
      <c r="G236" t="s">
        <v>1055</v>
      </c>
      <c r="H236" t="str" cm="1">
        <f t="array" ref="H236">IF(AND(G236="",
      C236="Receipt"),
      _xlfn.XLOOKUP(1,
      (purchase_order_lines_coldchain!A236:A1234 = F236) *
      (purchase_order_lines_coldchain!G236:G1234 = E236) *
      (purchase_order_lines_coldchain!D236:D1234 = D236),
      purchase_order_lines_coldchain!B$2:B$1000,
      _xlfn.XLOOKUP(F236,purchase_order_lines_coldchain!A$2:A1234,
      purchase_order_lines_coldchain!B$2:B1234)),
      "")</f>
        <v/>
      </c>
      <c r="I236" t="str">
        <f t="shared" si="3"/>
        <v>PO000071</v>
      </c>
      <c r="J236" t="s">
        <v>2043</v>
      </c>
      <c r="K236" s="11">
        <v>98</v>
      </c>
      <c r="L236" s="11">
        <v>98</v>
      </c>
      <c r="M236" s="14">
        <v>14.52</v>
      </c>
      <c r="N236" s="14">
        <v>1422.96</v>
      </c>
      <c r="O236">
        <v>2.2000000000000002</v>
      </c>
      <c r="P236" t="s">
        <v>3275</v>
      </c>
    </row>
    <row r="237" spans="1:16" x14ac:dyDescent="0.25">
      <c r="A237" t="s">
        <v>2044</v>
      </c>
      <c r="B237" s="1">
        <v>45680.725694444445</v>
      </c>
      <c r="C237" t="s">
        <v>3274</v>
      </c>
      <c r="D237" t="s">
        <v>996</v>
      </c>
      <c r="E237" t="s">
        <v>813</v>
      </c>
      <c r="F237" t="s">
        <v>1504</v>
      </c>
      <c r="G237" t="s">
        <v>1113</v>
      </c>
      <c r="H237" t="str" cm="1">
        <f t="array" ref="H237">IF(AND(G237="",
      C237="Receipt"),
      _xlfn.XLOOKUP(1,
      (purchase_order_lines_coldchain!A237:A1235 = F237) *
      (purchase_order_lines_coldchain!G237:G1235 = E237) *
      (purchase_order_lines_coldchain!D237:D1235 = D237),
      purchase_order_lines_coldchain!B$2:B$1000,
      _xlfn.XLOOKUP(F237,purchase_order_lines_coldchain!A$2:A1235,
      purchase_order_lines_coldchain!B$2:B1235)),
      "")</f>
        <v/>
      </c>
      <c r="I237" t="str">
        <f t="shared" si="3"/>
        <v>PO000129</v>
      </c>
      <c r="J237" t="s">
        <v>2045</v>
      </c>
      <c r="K237" s="11">
        <v>153</v>
      </c>
      <c r="L237" s="11">
        <v>153</v>
      </c>
      <c r="M237" s="14">
        <v>6.21</v>
      </c>
      <c r="N237" s="14">
        <v>950.13</v>
      </c>
      <c r="O237">
        <v>4.7</v>
      </c>
      <c r="P237" t="s">
        <v>3275</v>
      </c>
    </row>
    <row r="238" spans="1:16" x14ac:dyDescent="0.25">
      <c r="A238" t="s">
        <v>2046</v>
      </c>
      <c r="B238" s="1">
        <v>45688.482638888891</v>
      </c>
      <c r="C238" t="s">
        <v>3274</v>
      </c>
      <c r="D238" t="s">
        <v>972</v>
      </c>
      <c r="E238" t="s">
        <v>579</v>
      </c>
      <c r="F238" t="s">
        <v>1149</v>
      </c>
      <c r="G238" t="s">
        <v>971</v>
      </c>
      <c r="H238" t="str" cm="1">
        <f t="array" ref="H238">IF(AND(G238="",
      C238="Receipt"),
      _xlfn.XLOOKUP(1,
      (purchase_order_lines_coldchain!A238:A1236 = F238) *
      (purchase_order_lines_coldchain!G238:G1236 = E238) *
      (purchase_order_lines_coldchain!D238:D1236 = D238),
      purchase_order_lines_coldchain!B$2:B$1000,
      _xlfn.XLOOKUP(F238,purchase_order_lines_coldchain!A$2:A1236,
      purchase_order_lines_coldchain!B$2:B1236)),
      "")</f>
        <v/>
      </c>
      <c r="I238" t="str">
        <f t="shared" si="3"/>
        <v>PO000004</v>
      </c>
      <c r="J238" t="s">
        <v>2047</v>
      </c>
      <c r="K238" s="11">
        <v>85</v>
      </c>
      <c r="L238" s="11">
        <v>85</v>
      </c>
      <c r="M238" s="14">
        <v>6.88</v>
      </c>
      <c r="N238" s="14">
        <v>584.79999999999995</v>
      </c>
      <c r="O238">
        <v>4.7</v>
      </c>
      <c r="P238" t="s">
        <v>3275</v>
      </c>
    </row>
    <row r="239" spans="1:16" x14ac:dyDescent="0.25">
      <c r="A239" t="s">
        <v>2048</v>
      </c>
      <c r="B239" s="1">
        <v>45726.46597222222</v>
      </c>
      <c r="C239" t="s">
        <v>3274</v>
      </c>
      <c r="D239" t="s">
        <v>990</v>
      </c>
      <c r="E239" t="s">
        <v>430</v>
      </c>
      <c r="F239" t="s">
        <v>1237</v>
      </c>
      <c r="G239" t="s">
        <v>1019</v>
      </c>
      <c r="H239" t="str" cm="1">
        <f t="array" ref="H239">IF(AND(G239="",
      C239="Receipt"),
      _xlfn.XLOOKUP(1,
      (purchase_order_lines_coldchain!A239:A1237 = F239) *
      (purchase_order_lines_coldchain!G239:G1237 = E239) *
      (purchase_order_lines_coldchain!D239:D1237 = D239),
      purchase_order_lines_coldchain!B$2:B$1000,
      _xlfn.XLOOKUP(F239,purchase_order_lines_coldchain!A$2:A1237,
      purchase_order_lines_coldchain!B$2:B1237)),
      "")</f>
        <v/>
      </c>
      <c r="I239" t="str">
        <f t="shared" si="3"/>
        <v>PO000035</v>
      </c>
      <c r="J239" t="s">
        <v>2049</v>
      </c>
      <c r="K239" s="11">
        <v>50</v>
      </c>
      <c r="L239" s="11">
        <v>50</v>
      </c>
      <c r="M239" s="14">
        <v>4.88</v>
      </c>
      <c r="N239" s="14">
        <v>244</v>
      </c>
      <c r="O239">
        <v>3.2</v>
      </c>
      <c r="P239" t="s">
        <v>3275</v>
      </c>
    </row>
    <row r="240" spans="1:16" x14ac:dyDescent="0.25">
      <c r="A240" t="s">
        <v>2050</v>
      </c>
      <c r="B240" s="1">
        <v>45671.02847222222</v>
      </c>
      <c r="C240" t="s">
        <v>3274</v>
      </c>
      <c r="D240" t="s">
        <v>968</v>
      </c>
      <c r="E240" t="s">
        <v>433</v>
      </c>
      <c r="F240" t="s">
        <v>1147</v>
      </c>
      <c r="G240" t="s">
        <v>967</v>
      </c>
      <c r="H240" t="str" cm="1">
        <f t="array" ref="H240">IF(AND(G240="",
      C240="Receipt"),
      _xlfn.XLOOKUP(1,
      (purchase_order_lines_coldchain!A240:A1238 = F240) *
      (purchase_order_lines_coldchain!G240:G1238 = E240) *
      (purchase_order_lines_coldchain!D240:D1238 = D240),
      purchase_order_lines_coldchain!B$2:B$1000,
      _xlfn.XLOOKUP(F240,purchase_order_lines_coldchain!A$2:A1238,
      purchase_order_lines_coldchain!B$2:B1238)),
      "")</f>
        <v/>
      </c>
      <c r="I240" t="str">
        <f t="shared" si="3"/>
        <v>PO000003</v>
      </c>
      <c r="J240" t="s">
        <v>2051</v>
      </c>
      <c r="K240" s="11">
        <v>121</v>
      </c>
      <c r="L240" s="11">
        <v>121</v>
      </c>
      <c r="M240" s="14">
        <v>4.1500000000000004</v>
      </c>
      <c r="N240" s="14">
        <v>502.15</v>
      </c>
      <c r="O240">
        <v>7.1</v>
      </c>
      <c r="P240" t="s">
        <v>3275</v>
      </c>
    </row>
    <row r="241" spans="1:16" x14ac:dyDescent="0.25">
      <c r="A241" t="s">
        <v>2052</v>
      </c>
      <c r="B241" s="1">
        <v>45739.473611111112</v>
      </c>
      <c r="C241" t="s">
        <v>3274</v>
      </c>
      <c r="D241" t="s">
        <v>959</v>
      </c>
      <c r="E241" t="s">
        <v>606</v>
      </c>
      <c r="F241" t="s">
        <v>1325</v>
      </c>
      <c r="G241" t="s">
        <v>1049</v>
      </c>
      <c r="H241" t="str" cm="1">
        <f t="array" ref="H241">IF(AND(G241="",
      C241="Receipt"),
      _xlfn.XLOOKUP(1,
      (purchase_order_lines_coldchain!A241:A1239 = F241) *
      (purchase_order_lines_coldchain!G241:G1239 = E241) *
      (purchase_order_lines_coldchain!D241:D1239 = D241),
      purchase_order_lines_coldchain!B$2:B$1000,
      _xlfn.XLOOKUP(F241,purchase_order_lines_coldchain!A$2:A1239,
      purchase_order_lines_coldchain!B$2:B1239)),
      "")</f>
        <v/>
      </c>
      <c r="I241" t="str">
        <f t="shared" si="3"/>
        <v>PO000065</v>
      </c>
      <c r="J241" t="s">
        <v>2053</v>
      </c>
      <c r="K241" s="11">
        <v>121</v>
      </c>
      <c r="L241" s="11">
        <v>121</v>
      </c>
      <c r="M241" s="14">
        <v>2.38</v>
      </c>
      <c r="N241" s="14">
        <v>287.98</v>
      </c>
      <c r="O241">
        <v>7.9</v>
      </c>
      <c r="P241" t="s">
        <v>3275</v>
      </c>
    </row>
    <row r="242" spans="1:16" x14ac:dyDescent="0.25">
      <c r="A242" t="s">
        <v>2054</v>
      </c>
      <c r="B242" s="1">
        <v>45708.978472222225</v>
      </c>
      <c r="C242" t="s">
        <v>3274</v>
      </c>
      <c r="D242" t="s">
        <v>959</v>
      </c>
      <c r="E242" t="s">
        <v>729</v>
      </c>
      <c r="F242" t="s">
        <v>1449</v>
      </c>
      <c r="G242" t="s">
        <v>1093</v>
      </c>
      <c r="H242" t="str" cm="1">
        <f t="array" ref="H242">IF(AND(G242="",
      C242="Receipt"),
      _xlfn.XLOOKUP(1,
      (purchase_order_lines_coldchain!A242:A1240 = F242) *
      (purchase_order_lines_coldchain!G242:G1240 = E242) *
      (purchase_order_lines_coldchain!D242:D1240 = D242),
      purchase_order_lines_coldchain!B$2:B$1000,
      _xlfn.XLOOKUP(F242,purchase_order_lines_coldchain!A$2:A1240,
      purchase_order_lines_coldchain!B$2:B1240)),
      "")</f>
        <v/>
      </c>
      <c r="I242" t="str">
        <f t="shared" si="3"/>
        <v>PO000109</v>
      </c>
      <c r="J242" t="s">
        <v>2055</v>
      </c>
      <c r="K242" s="11">
        <v>191</v>
      </c>
      <c r="L242" s="11">
        <v>191</v>
      </c>
      <c r="M242" s="14">
        <v>12.76</v>
      </c>
      <c r="N242" s="14">
        <v>2437.16</v>
      </c>
      <c r="O242">
        <v>5.0999999999999996</v>
      </c>
      <c r="P242" t="s">
        <v>3275</v>
      </c>
    </row>
    <row r="243" spans="1:16" x14ac:dyDescent="0.25">
      <c r="A243" t="s">
        <v>2056</v>
      </c>
      <c r="B243" s="1">
        <v>45738.637499999997</v>
      </c>
      <c r="C243" t="s">
        <v>3274</v>
      </c>
      <c r="D243" t="s">
        <v>987</v>
      </c>
      <c r="E243" t="s">
        <v>456</v>
      </c>
      <c r="F243" t="s">
        <v>1474</v>
      </c>
      <c r="G243" t="s">
        <v>1102</v>
      </c>
      <c r="H243" t="str" cm="1">
        <f t="array" ref="H243">IF(AND(G243="",
      C243="Receipt"),
      _xlfn.XLOOKUP(1,
      (purchase_order_lines_coldchain!A243:A1241 = F243) *
      (purchase_order_lines_coldchain!G243:G1241 = E243) *
      (purchase_order_lines_coldchain!D243:D1241 = D243),
      purchase_order_lines_coldchain!B$2:B$1000,
      _xlfn.XLOOKUP(F243,purchase_order_lines_coldchain!A$2:A1241,
      purchase_order_lines_coldchain!B$2:B1241)),
      "")</f>
        <v/>
      </c>
      <c r="I243" t="str">
        <f t="shared" si="3"/>
        <v>PO000118</v>
      </c>
      <c r="J243" t="s">
        <v>2057</v>
      </c>
      <c r="K243" s="11">
        <v>54</v>
      </c>
      <c r="L243" s="11">
        <v>54</v>
      </c>
      <c r="M243" s="14">
        <v>10.91</v>
      </c>
      <c r="N243" s="14">
        <v>589.14</v>
      </c>
      <c r="O243">
        <v>3.7</v>
      </c>
      <c r="P243" t="s">
        <v>3275</v>
      </c>
    </row>
    <row r="244" spans="1:16" x14ac:dyDescent="0.25">
      <c r="A244" t="s">
        <v>2058</v>
      </c>
      <c r="B244" s="1">
        <v>45664.111111111109</v>
      </c>
      <c r="C244" t="s">
        <v>3274</v>
      </c>
      <c r="D244" t="s">
        <v>959</v>
      </c>
      <c r="E244" t="s">
        <v>735</v>
      </c>
      <c r="F244" t="s">
        <v>1306</v>
      </c>
      <c r="G244" t="s">
        <v>1043</v>
      </c>
      <c r="H244" t="str" cm="1">
        <f t="array" ref="H244">IF(AND(G244="",
      C244="Receipt"),
      _xlfn.XLOOKUP(1,
      (purchase_order_lines_coldchain!A244:A1242 = F244) *
      (purchase_order_lines_coldchain!G244:G1242 = E244) *
      (purchase_order_lines_coldchain!D244:D1242 = D244),
      purchase_order_lines_coldchain!B$2:B$1000,
      _xlfn.XLOOKUP(F244,purchase_order_lines_coldchain!A$2:A1242,
      purchase_order_lines_coldchain!B$2:B1242)),
      "")</f>
        <v/>
      </c>
      <c r="I244" t="str">
        <f t="shared" si="3"/>
        <v>PO000059</v>
      </c>
      <c r="J244" t="s">
        <v>2059</v>
      </c>
      <c r="K244" s="11">
        <v>158</v>
      </c>
      <c r="L244" s="11">
        <v>158</v>
      </c>
      <c r="M244" s="14">
        <v>5.83</v>
      </c>
      <c r="N244" s="14">
        <v>921.14</v>
      </c>
      <c r="O244">
        <v>6.3</v>
      </c>
      <c r="P244" t="s">
        <v>3275</v>
      </c>
    </row>
    <row r="245" spans="1:16" x14ac:dyDescent="0.25">
      <c r="A245" t="s">
        <v>2060</v>
      </c>
      <c r="B245" s="1">
        <v>45722.776388888888</v>
      </c>
      <c r="C245" t="s">
        <v>3274</v>
      </c>
      <c r="D245" t="s">
        <v>968</v>
      </c>
      <c r="E245" t="s">
        <v>684</v>
      </c>
      <c r="F245" t="s">
        <v>1417</v>
      </c>
      <c r="G245" t="s">
        <v>1081</v>
      </c>
      <c r="H245" t="str" cm="1">
        <f t="array" ref="H245">IF(AND(G245="",
      C245="Receipt"),
      _xlfn.XLOOKUP(1,
      (purchase_order_lines_coldchain!A245:A1243 = F245) *
      (purchase_order_lines_coldchain!G245:G1243 = E245) *
      (purchase_order_lines_coldchain!D245:D1243 = D245),
      purchase_order_lines_coldchain!B$2:B$1000,
      _xlfn.XLOOKUP(F245,purchase_order_lines_coldchain!A$2:A1243,
      purchase_order_lines_coldchain!B$2:B1243)),
      "")</f>
        <v/>
      </c>
      <c r="I245" t="str">
        <f t="shared" si="3"/>
        <v>PO000097</v>
      </c>
      <c r="J245" t="s">
        <v>2061</v>
      </c>
      <c r="K245" s="11">
        <v>113</v>
      </c>
      <c r="L245" s="11">
        <v>113</v>
      </c>
      <c r="M245" s="14">
        <v>14.13</v>
      </c>
      <c r="N245" s="14">
        <v>1596.69</v>
      </c>
      <c r="O245">
        <v>-1</v>
      </c>
      <c r="P245" t="s">
        <v>3275</v>
      </c>
    </row>
    <row r="246" spans="1:16" x14ac:dyDescent="0.25">
      <c r="A246" t="s">
        <v>2062</v>
      </c>
      <c r="B246" s="1">
        <v>45720.530555555553</v>
      </c>
      <c r="C246" t="s">
        <v>3274</v>
      </c>
      <c r="D246" t="s">
        <v>976</v>
      </c>
      <c r="E246" t="s">
        <v>499</v>
      </c>
      <c r="F246" t="s">
        <v>1498</v>
      </c>
      <c r="G246" t="s">
        <v>1111</v>
      </c>
      <c r="H246" t="str" cm="1">
        <f t="array" ref="H246">IF(AND(G246="",
      C246="Receipt"),
      _xlfn.XLOOKUP(1,
      (purchase_order_lines_coldchain!A246:A1244 = F246) *
      (purchase_order_lines_coldchain!G246:G1244 = E246) *
      (purchase_order_lines_coldchain!D246:D1244 = D246),
      purchase_order_lines_coldchain!B$2:B$1000,
      _xlfn.XLOOKUP(F246,purchase_order_lines_coldchain!A$2:A1244,
      purchase_order_lines_coldchain!B$2:B1244)),
      "")</f>
        <v/>
      </c>
      <c r="I246" t="str">
        <f t="shared" si="3"/>
        <v>PO000127</v>
      </c>
      <c r="J246" t="s">
        <v>2063</v>
      </c>
      <c r="K246" s="11">
        <v>109</v>
      </c>
      <c r="L246" s="11">
        <v>109</v>
      </c>
      <c r="M246" s="14">
        <v>2.31</v>
      </c>
      <c r="N246" s="14">
        <v>251.79</v>
      </c>
      <c r="O246">
        <v>3</v>
      </c>
      <c r="P246" t="s">
        <v>3275</v>
      </c>
    </row>
    <row r="247" spans="1:16" x14ac:dyDescent="0.25">
      <c r="A247" t="s">
        <v>2064</v>
      </c>
      <c r="B247" s="1">
        <v>45720.17083333333</v>
      </c>
      <c r="C247" t="s">
        <v>3274</v>
      </c>
      <c r="D247" t="s">
        <v>996</v>
      </c>
      <c r="E247" t="s">
        <v>777</v>
      </c>
      <c r="F247" t="s">
        <v>1443</v>
      </c>
      <c r="G247" t="s">
        <v>1091</v>
      </c>
      <c r="H247" t="str" cm="1">
        <f t="array" ref="H247">IF(AND(G247="",
      C247="Receipt"),
      _xlfn.XLOOKUP(1,
      (purchase_order_lines_coldchain!A247:A1245 = F247) *
      (purchase_order_lines_coldchain!G247:G1245 = E247) *
      (purchase_order_lines_coldchain!D247:D1245 = D247),
      purchase_order_lines_coldchain!B$2:B$1000,
      _xlfn.XLOOKUP(F247,purchase_order_lines_coldchain!A$2:A1245,
      purchase_order_lines_coldchain!B$2:B1245)),
      "")</f>
        <v/>
      </c>
      <c r="I247" t="str">
        <f t="shared" si="3"/>
        <v>PO000107</v>
      </c>
      <c r="J247" t="s">
        <v>2065</v>
      </c>
      <c r="K247" s="11">
        <v>133</v>
      </c>
      <c r="L247" s="11">
        <v>133</v>
      </c>
      <c r="M247" s="14">
        <v>14.69</v>
      </c>
      <c r="N247" s="14">
        <v>1953.77</v>
      </c>
      <c r="O247">
        <v>4</v>
      </c>
      <c r="P247" t="s">
        <v>3275</v>
      </c>
    </row>
    <row r="248" spans="1:16" x14ac:dyDescent="0.25">
      <c r="A248" t="s">
        <v>2066</v>
      </c>
      <c r="B248" s="1">
        <v>45666.668749999997</v>
      </c>
      <c r="C248" t="s">
        <v>3274</v>
      </c>
      <c r="D248" t="s">
        <v>999</v>
      </c>
      <c r="E248" t="s">
        <v>505</v>
      </c>
      <c r="F248" t="s">
        <v>1294</v>
      </c>
      <c r="G248" t="s">
        <v>1039</v>
      </c>
      <c r="H248" t="str" cm="1">
        <f t="array" ref="H248">IF(AND(G248="",
      C248="Receipt"),
      _xlfn.XLOOKUP(1,
      (purchase_order_lines_coldchain!A248:A1246 = F248) *
      (purchase_order_lines_coldchain!G248:G1246 = E248) *
      (purchase_order_lines_coldchain!D248:D1246 = D248),
      purchase_order_lines_coldchain!B$2:B$1000,
      _xlfn.XLOOKUP(F248,purchase_order_lines_coldchain!A$2:A1246,
      purchase_order_lines_coldchain!B$2:B1246)),
      "")</f>
        <v/>
      </c>
      <c r="I248" t="str">
        <f t="shared" si="3"/>
        <v>PO000055</v>
      </c>
      <c r="J248" t="s">
        <v>2067</v>
      </c>
      <c r="K248" s="11">
        <v>15</v>
      </c>
      <c r="L248" s="11">
        <v>15</v>
      </c>
      <c r="M248" s="14">
        <v>6.87</v>
      </c>
      <c r="N248" s="14">
        <v>103.05</v>
      </c>
      <c r="O248">
        <v>3.2</v>
      </c>
      <c r="P248" t="s">
        <v>3275</v>
      </c>
    </row>
    <row r="249" spans="1:16" x14ac:dyDescent="0.25">
      <c r="A249" t="s">
        <v>2068</v>
      </c>
      <c r="B249" s="1">
        <v>45699.171527777777</v>
      </c>
      <c r="C249" t="s">
        <v>3274</v>
      </c>
      <c r="D249" t="s">
        <v>987</v>
      </c>
      <c r="E249" t="s">
        <v>557</v>
      </c>
      <c r="F249" t="s">
        <v>1487</v>
      </c>
      <c r="G249" t="s">
        <v>1107</v>
      </c>
      <c r="H249" t="str" cm="1">
        <f t="array" ref="H249">IF(AND(G249="",
      C249="Receipt"),
      _xlfn.XLOOKUP(1,
      (purchase_order_lines_coldchain!A249:A1247 = F249) *
      (purchase_order_lines_coldchain!G249:G1247 = E249) *
      (purchase_order_lines_coldchain!D249:D1247 = D249),
      purchase_order_lines_coldchain!B$2:B$1000,
      _xlfn.XLOOKUP(F249,purchase_order_lines_coldchain!A$2:A1247,
      purchase_order_lines_coldchain!B$2:B1247)),
      "")</f>
        <v/>
      </c>
      <c r="I249" t="str">
        <f t="shared" si="3"/>
        <v>PO000123</v>
      </c>
      <c r="J249" t="s">
        <v>2069</v>
      </c>
      <c r="K249" s="11">
        <v>82</v>
      </c>
      <c r="L249" s="11">
        <v>82</v>
      </c>
      <c r="M249" s="14">
        <v>1.9</v>
      </c>
      <c r="N249" s="14">
        <v>155.80000000000001</v>
      </c>
      <c r="O249">
        <v>4.8</v>
      </c>
      <c r="P249" t="s">
        <v>3275</v>
      </c>
    </row>
    <row r="250" spans="1:16" x14ac:dyDescent="0.25">
      <c r="A250" t="s">
        <v>2070</v>
      </c>
      <c r="B250" s="1">
        <v>45704.356249999997</v>
      </c>
      <c r="C250" t="s">
        <v>3274</v>
      </c>
      <c r="D250" t="s">
        <v>990</v>
      </c>
      <c r="E250" t="s">
        <v>430</v>
      </c>
      <c r="F250" t="s">
        <v>1514</v>
      </c>
      <c r="G250" t="s">
        <v>1117</v>
      </c>
      <c r="H250" t="str" cm="1">
        <f t="array" ref="H250">IF(AND(G250="",
      C250="Receipt"),
      _xlfn.XLOOKUP(1,
      (purchase_order_lines_coldchain!A250:A1248 = F250) *
      (purchase_order_lines_coldchain!G250:G1248 = E250) *
      (purchase_order_lines_coldchain!D250:D1248 = D250),
      purchase_order_lines_coldchain!B$2:B$1000,
      _xlfn.XLOOKUP(F250,purchase_order_lines_coldchain!A$2:A1248,
      purchase_order_lines_coldchain!B$2:B1248)),
      "")</f>
        <v/>
      </c>
      <c r="I250" t="str">
        <f t="shared" si="3"/>
        <v>PO000133</v>
      </c>
      <c r="J250" t="s">
        <v>2071</v>
      </c>
      <c r="K250" s="11">
        <v>88</v>
      </c>
      <c r="L250" s="11">
        <v>88</v>
      </c>
      <c r="M250" s="14">
        <v>4.8099999999999996</v>
      </c>
      <c r="N250" s="14">
        <v>423.28</v>
      </c>
      <c r="O250">
        <v>2.6</v>
      </c>
      <c r="P250" t="s">
        <v>3275</v>
      </c>
    </row>
    <row r="251" spans="1:16" x14ac:dyDescent="0.25">
      <c r="A251" t="s">
        <v>2072</v>
      </c>
      <c r="B251" s="1">
        <v>45679.965277777781</v>
      </c>
      <c r="C251" t="s">
        <v>3274</v>
      </c>
      <c r="D251" t="s">
        <v>980</v>
      </c>
      <c r="E251" t="s">
        <v>675</v>
      </c>
      <c r="F251" t="s">
        <v>1532</v>
      </c>
      <c r="G251" t="s">
        <v>1124</v>
      </c>
      <c r="H251" t="str" cm="1">
        <f t="array" ref="H251">IF(AND(G251="",
      C251="Receipt"),
      _xlfn.XLOOKUP(1,
      (purchase_order_lines_coldchain!A251:A1249 = F251) *
      (purchase_order_lines_coldchain!G251:G1249 = E251) *
      (purchase_order_lines_coldchain!D251:D1249 = D251),
      purchase_order_lines_coldchain!B$2:B$1000,
      _xlfn.XLOOKUP(F251,purchase_order_lines_coldchain!A$2:A1249,
      purchase_order_lines_coldchain!B$2:B1249)),
      "")</f>
        <v/>
      </c>
      <c r="I251" t="str">
        <f t="shared" si="3"/>
        <v>PO000140</v>
      </c>
      <c r="J251" t="s">
        <v>2073</v>
      </c>
      <c r="K251" s="11">
        <v>126</v>
      </c>
      <c r="L251" s="11">
        <v>126</v>
      </c>
      <c r="M251" s="14">
        <v>6.46</v>
      </c>
      <c r="N251" s="14">
        <v>813.96</v>
      </c>
      <c r="O251">
        <v>1.6</v>
      </c>
      <c r="P251" t="s">
        <v>3275</v>
      </c>
    </row>
    <row r="252" spans="1:16" x14ac:dyDescent="0.25">
      <c r="A252" t="s">
        <v>2074</v>
      </c>
      <c r="B252" s="1">
        <v>45735.154861111114</v>
      </c>
      <c r="C252" t="s">
        <v>3274</v>
      </c>
      <c r="D252" t="s">
        <v>959</v>
      </c>
      <c r="E252" t="s">
        <v>496</v>
      </c>
      <c r="F252" t="s">
        <v>1311</v>
      </c>
      <c r="G252" t="s">
        <v>1045</v>
      </c>
      <c r="H252" t="str" cm="1">
        <f t="array" ref="H252">IF(AND(G252="",
      C252="Receipt"),
      _xlfn.XLOOKUP(1,
      (purchase_order_lines_coldchain!A252:A1250 = F252) *
      (purchase_order_lines_coldchain!G252:G1250 = E252) *
      (purchase_order_lines_coldchain!D252:D1250 = D252),
      purchase_order_lines_coldchain!B$2:B$1000,
      _xlfn.XLOOKUP(F252,purchase_order_lines_coldchain!A$2:A1250,
      purchase_order_lines_coldchain!B$2:B1250)),
      "")</f>
        <v/>
      </c>
      <c r="I252" t="str">
        <f t="shared" si="3"/>
        <v>PO000061</v>
      </c>
      <c r="J252" t="s">
        <v>2075</v>
      </c>
      <c r="K252" s="11">
        <v>129</v>
      </c>
      <c r="L252" s="11">
        <v>129</v>
      </c>
      <c r="M252" s="14">
        <v>7.93</v>
      </c>
      <c r="N252" s="14">
        <v>1022.97</v>
      </c>
      <c r="O252">
        <v>3.2</v>
      </c>
      <c r="P252" t="s">
        <v>3275</v>
      </c>
    </row>
    <row r="253" spans="1:16" x14ac:dyDescent="0.25">
      <c r="A253" t="s">
        <v>2076</v>
      </c>
      <c r="B253" s="1">
        <v>45703.182638888888</v>
      </c>
      <c r="C253" t="s">
        <v>3274</v>
      </c>
      <c r="D253" t="s">
        <v>987</v>
      </c>
      <c r="E253" t="s">
        <v>618</v>
      </c>
      <c r="F253" t="s">
        <v>1510</v>
      </c>
      <c r="G253" t="s">
        <v>1116</v>
      </c>
      <c r="H253" t="str" cm="1">
        <f t="array" ref="H253">IF(AND(G253="",
      C253="Receipt"),
      _xlfn.XLOOKUP(1,
      (purchase_order_lines_coldchain!A253:A1251 = F253) *
      (purchase_order_lines_coldchain!G253:G1251 = E253) *
      (purchase_order_lines_coldchain!D253:D1251 = D253),
      purchase_order_lines_coldchain!B$2:B$1000,
      _xlfn.XLOOKUP(F253,purchase_order_lines_coldchain!A$2:A1251,
      purchase_order_lines_coldchain!B$2:B1251)),
      "")</f>
        <v/>
      </c>
      <c r="I253" t="str">
        <f t="shared" si="3"/>
        <v>PO000132</v>
      </c>
      <c r="J253" t="s">
        <v>2077</v>
      </c>
      <c r="K253" s="11">
        <v>127</v>
      </c>
      <c r="L253" s="11">
        <v>127</v>
      </c>
      <c r="M253" s="14">
        <v>9.99</v>
      </c>
      <c r="N253" s="14">
        <v>1268.73</v>
      </c>
      <c r="O253">
        <v>0.9</v>
      </c>
      <c r="P253" t="s">
        <v>3275</v>
      </c>
    </row>
    <row r="254" spans="1:16" x14ac:dyDescent="0.25">
      <c r="A254" t="s">
        <v>2078</v>
      </c>
      <c r="B254" s="1">
        <v>45734.026388888888</v>
      </c>
      <c r="C254" t="s">
        <v>3274</v>
      </c>
      <c r="D254" t="s">
        <v>990</v>
      </c>
      <c r="E254" t="s">
        <v>852</v>
      </c>
      <c r="F254" t="s">
        <v>1286</v>
      </c>
      <c r="G254" t="s">
        <v>1036</v>
      </c>
      <c r="H254" t="str" cm="1">
        <f t="array" ref="H254">IF(AND(G254="",
      C254="Receipt"),
      _xlfn.XLOOKUP(1,
      (purchase_order_lines_coldchain!A254:A1252 = F254) *
      (purchase_order_lines_coldchain!G254:G1252 = E254) *
      (purchase_order_lines_coldchain!D254:D1252 = D254),
      purchase_order_lines_coldchain!B$2:B$1000,
      _xlfn.XLOOKUP(F254,purchase_order_lines_coldchain!A$2:A1252,
      purchase_order_lines_coldchain!B$2:B1252)),
      "")</f>
        <v/>
      </c>
      <c r="I254" t="str">
        <f t="shared" si="3"/>
        <v>PO000052</v>
      </c>
      <c r="J254" t="s">
        <v>2079</v>
      </c>
      <c r="K254" s="11">
        <v>154</v>
      </c>
      <c r="L254" s="11">
        <v>154</v>
      </c>
      <c r="M254" s="14">
        <v>1.64</v>
      </c>
      <c r="N254" s="14">
        <v>252.56</v>
      </c>
      <c r="O254">
        <v>-0.4</v>
      </c>
      <c r="P254" t="s">
        <v>3275</v>
      </c>
    </row>
    <row r="255" spans="1:16" x14ac:dyDescent="0.25">
      <c r="A255" t="s">
        <v>2080</v>
      </c>
      <c r="B255" s="1">
        <v>45745.330555555556</v>
      </c>
      <c r="C255" t="s">
        <v>3274</v>
      </c>
      <c r="D255" t="s">
        <v>987</v>
      </c>
      <c r="E255" t="s">
        <v>449</v>
      </c>
      <c r="F255" t="s">
        <v>1383</v>
      </c>
      <c r="G255" t="s">
        <v>1069</v>
      </c>
      <c r="H255" t="str" cm="1">
        <f t="array" ref="H255">IF(AND(G255="",
      C255="Receipt"),
      _xlfn.XLOOKUP(1,
      (purchase_order_lines_coldchain!A255:A1253 = F255) *
      (purchase_order_lines_coldchain!G255:G1253 = E255) *
      (purchase_order_lines_coldchain!D255:D1253 = D255),
      purchase_order_lines_coldchain!B$2:B$1000,
      _xlfn.XLOOKUP(F255,purchase_order_lines_coldchain!A$2:A1253,
      purchase_order_lines_coldchain!B$2:B1253)),
      "")</f>
        <v/>
      </c>
      <c r="I255" t="str">
        <f t="shared" si="3"/>
        <v>PO000085</v>
      </c>
      <c r="J255" t="s">
        <v>2081</v>
      </c>
      <c r="K255" s="11">
        <v>54</v>
      </c>
      <c r="L255" s="11">
        <v>54</v>
      </c>
      <c r="M255" s="14">
        <v>14.63</v>
      </c>
      <c r="N255" s="14">
        <v>790.02</v>
      </c>
      <c r="O255">
        <v>6</v>
      </c>
      <c r="P255" t="s">
        <v>3275</v>
      </c>
    </row>
    <row r="256" spans="1:16" x14ac:dyDescent="0.25">
      <c r="A256" t="s">
        <v>2082</v>
      </c>
      <c r="B256" s="1">
        <v>45705.686111111114</v>
      </c>
      <c r="C256" t="s">
        <v>3274</v>
      </c>
      <c r="D256" t="s">
        <v>990</v>
      </c>
      <c r="E256" t="s">
        <v>591</v>
      </c>
      <c r="F256" t="s">
        <v>1169</v>
      </c>
      <c r="G256" t="s">
        <v>989</v>
      </c>
      <c r="H256" t="str" cm="1">
        <f t="array" ref="H256">IF(AND(G256="",
      C256="Receipt"),
      _xlfn.XLOOKUP(1,
      (purchase_order_lines_coldchain!A256:A1254 = F256) *
      (purchase_order_lines_coldchain!G256:G1254 = E256) *
      (purchase_order_lines_coldchain!D256:D1254 = D256),
      purchase_order_lines_coldchain!B$2:B$1000,
      _xlfn.XLOOKUP(F256,purchase_order_lines_coldchain!A$2:A1254,
      purchase_order_lines_coldchain!B$2:B1254)),
      "")</f>
        <v/>
      </c>
      <c r="I256" t="str">
        <f t="shared" si="3"/>
        <v>PO000011</v>
      </c>
      <c r="J256" t="s">
        <v>2083</v>
      </c>
      <c r="K256" s="11">
        <v>82</v>
      </c>
      <c r="L256" s="11">
        <v>82</v>
      </c>
      <c r="M256" s="14">
        <v>15.7</v>
      </c>
      <c r="N256" s="14">
        <v>1287.4000000000001</v>
      </c>
      <c r="O256">
        <v>3.4</v>
      </c>
      <c r="P256" t="s">
        <v>3275</v>
      </c>
    </row>
    <row r="257" spans="1:16" x14ac:dyDescent="0.25">
      <c r="A257" t="s">
        <v>2084</v>
      </c>
      <c r="B257" s="1">
        <v>45744.65625</v>
      </c>
      <c r="C257" t="s">
        <v>3274</v>
      </c>
      <c r="D257" t="s">
        <v>964</v>
      </c>
      <c r="E257" t="s">
        <v>484</v>
      </c>
      <c r="F257" t="s">
        <v>1404</v>
      </c>
      <c r="G257" t="s">
        <v>1077</v>
      </c>
      <c r="H257" t="str" cm="1">
        <f t="array" ref="H257">IF(AND(G257="",
      C257="Receipt"),
      _xlfn.XLOOKUP(1,
      (purchase_order_lines_coldchain!A257:A1255 = F257) *
      (purchase_order_lines_coldchain!G257:G1255 = E257) *
      (purchase_order_lines_coldchain!D257:D1255 = D257),
      purchase_order_lines_coldchain!B$2:B$1000,
      _xlfn.XLOOKUP(F257,purchase_order_lines_coldchain!A$2:A1255,
      purchase_order_lines_coldchain!B$2:B1255)),
      "")</f>
        <v/>
      </c>
      <c r="I257" t="str">
        <f t="shared" si="3"/>
        <v>PO000093</v>
      </c>
      <c r="J257" t="s">
        <v>2085</v>
      </c>
      <c r="K257" s="11">
        <v>55</v>
      </c>
      <c r="L257" s="11">
        <v>55</v>
      </c>
      <c r="M257" s="14">
        <v>3.99</v>
      </c>
      <c r="N257" s="14">
        <v>219.45</v>
      </c>
      <c r="O257">
        <v>0.8</v>
      </c>
      <c r="P257" t="s">
        <v>3275</v>
      </c>
    </row>
    <row r="258" spans="1:16" x14ac:dyDescent="0.25">
      <c r="A258" t="s">
        <v>2086</v>
      </c>
      <c r="B258" s="1">
        <v>45749.129861111112</v>
      </c>
      <c r="C258" t="s">
        <v>3274</v>
      </c>
      <c r="D258" t="s">
        <v>976</v>
      </c>
      <c r="E258" t="s">
        <v>502</v>
      </c>
      <c r="F258" t="s">
        <v>1398</v>
      </c>
      <c r="G258" t="s">
        <v>1075</v>
      </c>
      <c r="H258" t="str" cm="1">
        <f t="array" ref="H258">IF(AND(G258="",
      C258="Receipt"),
      _xlfn.XLOOKUP(1,
      (purchase_order_lines_coldchain!A258:A1256 = F258) *
      (purchase_order_lines_coldchain!G258:G1256 = E258) *
      (purchase_order_lines_coldchain!D258:D1256 = D258),
      purchase_order_lines_coldchain!B$2:B$1000,
      _xlfn.XLOOKUP(F258,purchase_order_lines_coldchain!A$2:A1256,
      purchase_order_lines_coldchain!B$2:B1256)),
      "")</f>
        <v/>
      </c>
      <c r="I258" t="str">
        <f t="shared" ref="I258:I321" si="4">G258 &amp; H258</f>
        <v>PO000091</v>
      </c>
      <c r="J258" t="s">
        <v>2087</v>
      </c>
      <c r="K258" s="11">
        <v>169</v>
      </c>
      <c r="L258" s="11">
        <v>169</v>
      </c>
      <c r="M258" s="14">
        <v>12.24</v>
      </c>
      <c r="N258" s="14">
        <v>2068.56</v>
      </c>
      <c r="O258">
        <v>5.2</v>
      </c>
      <c r="P258" t="s">
        <v>3275</v>
      </c>
    </row>
    <row r="259" spans="1:16" x14ac:dyDescent="0.25">
      <c r="A259" t="s">
        <v>2088</v>
      </c>
      <c r="B259" s="1">
        <v>45730.684027777781</v>
      </c>
      <c r="C259" t="s">
        <v>3274</v>
      </c>
      <c r="D259" t="s">
        <v>999</v>
      </c>
      <c r="E259" t="s">
        <v>401</v>
      </c>
      <c r="F259" t="s">
        <v>1215</v>
      </c>
      <c r="G259" t="s">
        <v>1011</v>
      </c>
      <c r="H259" t="str" cm="1">
        <f t="array" ref="H259">IF(AND(G259="",
      C259="Receipt"),
      _xlfn.XLOOKUP(1,
      (purchase_order_lines_coldchain!A259:A1257 = F259) *
      (purchase_order_lines_coldchain!G259:G1257 = E259) *
      (purchase_order_lines_coldchain!D259:D1257 = D259),
      purchase_order_lines_coldchain!B$2:B$1000,
      _xlfn.XLOOKUP(F259,purchase_order_lines_coldchain!A$2:A1257,
      purchase_order_lines_coldchain!B$2:B1257)),
      "")</f>
        <v/>
      </c>
      <c r="I259" t="str">
        <f t="shared" si="4"/>
        <v>PO000027</v>
      </c>
      <c r="J259" t="s">
        <v>2089</v>
      </c>
      <c r="K259" s="11">
        <v>181</v>
      </c>
      <c r="L259" s="11">
        <v>181</v>
      </c>
      <c r="M259" s="14">
        <v>5.99</v>
      </c>
      <c r="N259" s="14">
        <v>1084.19</v>
      </c>
      <c r="O259">
        <v>4.2</v>
      </c>
      <c r="P259" t="s">
        <v>3275</v>
      </c>
    </row>
    <row r="260" spans="1:16" x14ac:dyDescent="0.25">
      <c r="A260" t="s">
        <v>2090</v>
      </c>
      <c r="B260" s="1">
        <v>45715.897916666669</v>
      </c>
      <c r="C260" t="s">
        <v>3274</v>
      </c>
      <c r="D260" t="s">
        <v>959</v>
      </c>
      <c r="E260" t="s">
        <v>894</v>
      </c>
      <c r="F260" t="s">
        <v>1460</v>
      </c>
      <c r="G260" t="s">
        <v>1097</v>
      </c>
      <c r="H260" t="str" cm="1">
        <f t="array" ref="H260">IF(AND(G260="",
      C260="Receipt"),
      _xlfn.XLOOKUP(1,
      (purchase_order_lines_coldchain!A260:A1258 = F260) *
      (purchase_order_lines_coldchain!G260:G1258 = E260) *
      (purchase_order_lines_coldchain!D260:D1258 = D260),
      purchase_order_lines_coldchain!B$2:B$1000,
      _xlfn.XLOOKUP(F260,purchase_order_lines_coldchain!A$2:A1258,
      purchase_order_lines_coldchain!B$2:B1258)),
      "")</f>
        <v/>
      </c>
      <c r="I260" t="str">
        <f t="shared" si="4"/>
        <v>PO000113</v>
      </c>
      <c r="J260" t="s">
        <v>2091</v>
      </c>
      <c r="K260" s="11">
        <v>81</v>
      </c>
      <c r="L260" s="11">
        <v>81</v>
      </c>
      <c r="M260" s="14">
        <v>8.42</v>
      </c>
      <c r="N260" s="14">
        <v>682.02</v>
      </c>
      <c r="O260">
        <v>3.6</v>
      </c>
      <c r="P260" t="s">
        <v>3275</v>
      </c>
    </row>
    <row r="261" spans="1:16" x14ac:dyDescent="0.25">
      <c r="A261" t="s">
        <v>2092</v>
      </c>
      <c r="B261" s="1">
        <v>45728.345833333333</v>
      </c>
      <c r="C261" t="s">
        <v>3274</v>
      </c>
      <c r="D261" t="s">
        <v>964</v>
      </c>
      <c r="E261" t="s">
        <v>846</v>
      </c>
      <c r="F261" t="s">
        <v>1233</v>
      </c>
      <c r="G261" t="s">
        <v>1018</v>
      </c>
      <c r="H261" t="str" cm="1">
        <f t="array" ref="H261">IF(AND(G261="",
      C261="Receipt"),
      _xlfn.XLOOKUP(1,
      (purchase_order_lines_coldchain!A261:A1259 = F261) *
      (purchase_order_lines_coldchain!G261:G1259 = E261) *
      (purchase_order_lines_coldchain!D261:D1259 = D261),
      purchase_order_lines_coldchain!B$2:B$1000,
      _xlfn.XLOOKUP(F261,purchase_order_lines_coldchain!A$2:A1259,
      purchase_order_lines_coldchain!B$2:B1259)),
      "")</f>
        <v/>
      </c>
      <c r="I261" t="str">
        <f t="shared" si="4"/>
        <v>PO000034</v>
      </c>
      <c r="J261" t="s">
        <v>2093</v>
      </c>
      <c r="K261" s="11">
        <v>138</v>
      </c>
      <c r="L261" s="11">
        <v>138</v>
      </c>
      <c r="M261" s="14">
        <v>15.68</v>
      </c>
      <c r="N261" s="14">
        <v>2163.84</v>
      </c>
      <c r="O261">
        <v>5.3</v>
      </c>
      <c r="P261" t="s">
        <v>3275</v>
      </c>
    </row>
    <row r="262" spans="1:16" x14ac:dyDescent="0.25">
      <c r="A262" t="s">
        <v>2094</v>
      </c>
      <c r="B262" s="1">
        <v>45730.922222222223</v>
      </c>
      <c r="C262" t="s">
        <v>3274</v>
      </c>
      <c r="D262" t="s">
        <v>968</v>
      </c>
      <c r="E262" t="s">
        <v>427</v>
      </c>
      <c r="F262" t="s">
        <v>1364</v>
      </c>
      <c r="G262" t="s">
        <v>1063</v>
      </c>
      <c r="H262" t="str" cm="1">
        <f t="array" ref="H262">IF(AND(G262="",
      C262="Receipt"),
      _xlfn.XLOOKUP(1,
      (purchase_order_lines_coldchain!A262:A1260 = F262) *
      (purchase_order_lines_coldchain!G262:G1260 = E262) *
      (purchase_order_lines_coldchain!D262:D1260 = D262),
      purchase_order_lines_coldchain!B$2:B$1000,
      _xlfn.XLOOKUP(F262,purchase_order_lines_coldchain!A$2:A1260,
      purchase_order_lines_coldchain!B$2:B1260)),
      "")</f>
        <v/>
      </c>
      <c r="I262" t="str">
        <f t="shared" si="4"/>
        <v>PO000079</v>
      </c>
      <c r="J262" t="s">
        <v>2095</v>
      </c>
      <c r="K262" s="11">
        <v>220</v>
      </c>
      <c r="L262" s="11">
        <v>220</v>
      </c>
      <c r="M262" s="14">
        <v>3.69</v>
      </c>
      <c r="N262" s="14">
        <v>811.8</v>
      </c>
      <c r="O262">
        <v>-0.6</v>
      </c>
      <c r="P262" t="s">
        <v>3275</v>
      </c>
    </row>
    <row r="263" spans="1:16" x14ac:dyDescent="0.25">
      <c r="A263" t="s">
        <v>2096</v>
      </c>
      <c r="B263" s="1">
        <v>45710.239583333336</v>
      </c>
      <c r="C263" t="s">
        <v>3274</v>
      </c>
      <c r="D263" t="s">
        <v>959</v>
      </c>
      <c r="E263" t="s">
        <v>526</v>
      </c>
      <c r="F263" t="s">
        <v>1171</v>
      </c>
      <c r="G263" t="s">
        <v>992</v>
      </c>
      <c r="H263" t="str" cm="1">
        <f t="array" ref="H263">IF(AND(G263="",
      C263="Receipt"),
      _xlfn.XLOOKUP(1,
      (purchase_order_lines_coldchain!A263:A1261 = F263) *
      (purchase_order_lines_coldchain!G263:G1261 = E263) *
      (purchase_order_lines_coldchain!D263:D1261 = D263),
      purchase_order_lines_coldchain!B$2:B$1000,
      _xlfn.XLOOKUP(F263,purchase_order_lines_coldchain!A$2:A1261,
      purchase_order_lines_coldchain!B$2:B1261)),
      "")</f>
        <v/>
      </c>
      <c r="I263" t="str">
        <f t="shared" si="4"/>
        <v>PO000012</v>
      </c>
      <c r="J263" t="s">
        <v>2097</v>
      </c>
      <c r="K263" s="11">
        <v>168</v>
      </c>
      <c r="L263" s="11">
        <v>168</v>
      </c>
      <c r="M263" s="14">
        <v>11.04</v>
      </c>
      <c r="N263" s="14">
        <v>1854.72</v>
      </c>
      <c r="O263">
        <v>3.2</v>
      </c>
      <c r="P263" t="s">
        <v>3275</v>
      </c>
    </row>
    <row r="264" spans="1:16" x14ac:dyDescent="0.25">
      <c r="A264" t="s">
        <v>2098</v>
      </c>
      <c r="B264" s="1">
        <v>45731.582638888889</v>
      </c>
      <c r="C264" t="s">
        <v>3274</v>
      </c>
      <c r="D264" t="s">
        <v>996</v>
      </c>
      <c r="E264" t="s">
        <v>807</v>
      </c>
      <c r="F264" t="s">
        <v>1546</v>
      </c>
      <c r="G264" t="s">
        <v>1129</v>
      </c>
      <c r="H264" t="str" cm="1">
        <f t="array" ref="H264">IF(AND(G264="",
      C264="Receipt"),
      _xlfn.XLOOKUP(1,
      (purchase_order_lines_coldchain!A264:A1262 = F264) *
      (purchase_order_lines_coldchain!G264:G1262 = E264) *
      (purchase_order_lines_coldchain!D264:D1262 = D264),
      purchase_order_lines_coldchain!B$2:B$1000,
      _xlfn.XLOOKUP(F264,purchase_order_lines_coldchain!A$2:A1262,
      purchase_order_lines_coldchain!B$2:B1262)),
      "")</f>
        <v/>
      </c>
      <c r="I264" t="str">
        <f t="shared" si="4"/>
        <v>PO000145</v>
      </c>
      <c r="J264" t="s">
        <v>2099</v>
      </c>
      <c r="K264" s="11">
        <v>15</v>
      </c>
      <c r="L264" s="11">
        <v>15</v>
      </c>
      <c r="M264" s="14">
        <v>14.63</v>
      </c>
      <c r="N264" s="14">
        <v>219.45</v>
      </c>
      <c r="O264">
        <v>2.8</v>
      </c>
      <c r="P264" t="s">
        <v>3275</v>
      </c>
    </row>
    <row r="265" spans="1:16" x14ac:dyDescent="0.25">
      <c r="A265" t="s">
        <v>2100</v>
      </c>
      <c r="B265" s="1">
        <v>45703.397916666669</v>
      </c>
      <c r="C265" t="s">
        <v>3274</v>
      </c>
      <c r="D265" t="s">
        <v>990</v>
      </c>
      <c r="E265" t="s">
        <v>430</v>
      </c>
      <c r="F265" t="s">
        <v>1512</v>
      </c>
      <c r="G265" t="s">
        <v>1117</v>
      </c>
      <c r="H265" t="str" cm="1">
        <f t="array" ref="H265">IF(AND(G265="",
      C265="Receipt"),
      _xlfn.XLOOKUP(1,
      (purchase_order_lines_coldchain!A265:A1263 = F265) *
      (purchase_order_lines_coldchain!G265:G1263 = E265) *
      (purchase_order_lines_coldchain!D265:D1263 = D265),
      purchase_order_lines_coldchain!B$2:B$1000,
      _xlfn.XLOOKUP(F265,purchase_order_lines_coldchain!A$2:A1263,
      purchase_order_lines_coldchain!B$2:B1263)),
      "")</f>
        <v/>
      </c>
      <c r="I265" t="str">
        <f t="shared" si="4"/>
        <v>PO000133</v>
      </c>
      <c r="J265" t="s">
        <v>2101</v>
      </c>
      <c r="K265" s="11">
        <v>129</v>
      </c>
      <c r="L265" s="11">
        <v>129</v>
      </c>
      <c r="M265" s="14">
        <v>5.26</v>
      </c>
      <c r="N265" s="14">
        <v>678.54</v>
      </c>
      <c r="O265">
        <v>2.6</v>
      </c>
      <c r="P265" t="s">
        <v>3275</v>
      </c>
    </row>
    <row r="266" spans="1:16" x14ac:dyDescent="0.25">
      <c r="A266" t="s">
        <v>2102</v>
      </c>
      <c r="B266" s="1">
        <v>45683.287499999999</v>
      </c>
      <c r="C266" t="s">
        <v>3274</v>
      </c>
      <c r="D266" t="s">
        <v>990</v>
      </c>
      <c r="E266" t="s">
        <v>557</v>
      </c>
      <c r="F266" t="s">
        <v>1518</v>
      </c>
      <c r="G266" t="s">
        <v>1119</v>
      </c>
      <c r="H266" t="str" cm="1">
        <f t="array" ref="H266">IF(AND(G266="",
      C266="Receipt"),
      _xlfn.XLOOKUP(1,
      (purchase_order_lines_coldchain!A266:A1264 = F266) *
      (purchase_order_lines_coldchain!G266:G1264 = E266) *
      (purchase_order_lines_coldchain!D266:D1264 = D266),
      purchase_order_lines_coldchain!B$2:B$1000,
      _xlfn.XLOOKUP(F266,purchase_order_lines_coldchain!A$2:A1264,
      purchase_order_lines_coldchain!B$2:B1264)),
      "")</f>
        <v/>
      </c>
      <c r="I266" t="str">
        <f t="shared" si="4"/>
        <v>PO000135</v>
      </c>
      <c r="J266" t="s">
        <v>2103</v>
      </c>
      <c r="K266" s="11">
        <v>26</v>
      </c>
      <c r="L266" s="11">
        <v>26</v>
      </c>
      <c r="M266" s="14">
        <v>1.87</v>
      </c>
      <c r="N266" s="14">
        <v>48.62</v>
      </c>
      <c r="O266">
        <v>4.5999999999999996</v>
      </c>
      <c r="P266" t="s">
        <v>3275</v>
      </c>
    </row>
    <row r="267" spans="1:16" x14ac:dyDescent="0.25">
      <c r="A267" t="s">
        <v>2104</v>
      </c>
      <c r="B267" s="1">
        <v>45733.01666666667</v>
      </c>
      <c r="C267" t="s">
        <v>3274</v>
      </c>
      <c r="D267" t="s">
        <v>959</v>
      </c>
      <c r="E267" t="s">
        <v>530</v>
      </c>
      <c r="F267" t="s">
        <v>1259</v>
      </c>
      <c r="G267" t="s">
        <v>1027</v>
      </c>
      <c r="H267" t="str" cm="1">
        <f t="array" ref="H267">IF(AND(G267="",
      C267="Receipt"),
      _xlfn.XLOOKUP(1,
      (purchase_order_lines_coldchain!A267:A1265 = F267) *
      (purchase_order_lines_coldchain!G267:G1265 = E267) *
      (purchase_order_lines_coldchain!D267:D1265 = D267),
      purchase_order_lines_coldchain!B$2:B$1000,
      _xlfn.XLOOKUP(F267,purchase_order_lines_coldchain!A$2:A1265,
      purchase_order_lines_coldchain!B$2:B1265)),
      "")</f>
        <v/>
      </c>
      <c r="I267" t="str">
        <f t="shared" si="4"/>
        <v>PO000043</v>
      </c>
      <c r="J267" t="s">
        <v>2105</v>
      </c>
      <c r="K267" s="11">
        <v>42</v>
      </c>
      <c r="L267" s="11">
        <v>42</v>
      </c>
      <c r="M267" s="14">
        <v>13.73</v>
      </c>
      <c r="N267" s="14">
        <v>576.66</v>
      </c>
      <c r="O267">
        <v>2.6</v>
      </c>
      <c r="P267" t="s">
        <v>3275</v>
      </c>
    </row>
    <row r="268" spans="1:16" x14ac:dyDescent="0.25">
      <c r="A268" t="s">
        <v>2106</v>
      </c>
      <c r="B268" s="1">
        <v>45731.557638888888</v>
      </c>
      <c r="C268" t="s">
        <v>3274</v>
      </c>
      <c r="D268" t="s">
        <v>976</v>
      </c>
      <c r="E268" t="s">
        <v>657</v>
      </c>
      <c r="F268" t="s">
        <v>1208</v>
      </c>
      <c r="G268" t="s">
        <v>1008</v>
      </c>
      <c r="H268" t="str" cm="1">
        <f t="array" ref="H268">IF(AND(G268="",
      C268="Receipt"),
      _xlfn.XLOOKUP(1,
      (purchase_order_lines_coldchain!A268:A1266 = F268) *
      (purchase_order_lines_coldchain!G268:G1266 = E268) *
      (purchase_order_lines_coldchain!D268:D1266 = D268),
      purchase_order_lines_coldchain!B$2:B$1000,
      _xlfn.XLOOKUP(F268,purchase_order_lines_coldchain!A$2:A1266,
      purchase_order_lines_coldchain!B$2:B1266)),
      "")</f>
        <v/>
      </c>
      <c r="I268" t="str">
        <f t="shared" si="4"/>
        <v>PO000024</v>
      </c>
      <c r="J268" t="s">
        <v>2107</v>
      </c>
      <c r="K268" s="11">
        <v>181</v>
      </c>
      <c r="L268" s="11">
        <v>181</v>
      </c>
      <c r="M268" s="14">
        <v>16.34</v>
      </c>
      <c r="N268" s="14">
        <v>2957.54</v>
      </c>
      <c r="O268">
        <v>-15.2</v>
      </c>
      <c r="P268" t="s">
        <v>3275</v>
      </c>
    </row>
    <row r="269" spans="1:16" x14ac:dyDescent="0.25">
      <c r="A269" t="s">
        <v>2108</v>
      </c>
      <c r="B269" s="1">
        <v>45716.319444444445</v>
      </c>
      <c r="C269" t="s">
        <v>3274</v>
      </c>
      <c r="D269" t="s">
        <v>972</v>
      </c>
      <c r="E269" t="s">
        <v>942</v>
      </c>
      <c r="F269" t="s">
        <v>1392</v>
      </c>
      <c r="G269" t="s">
        <v>1073</v>
      </c>
      <c r="H269" t="str" cm="1">
        <f t="array" ref="H269">IF(AND(G269="",
      C269="Receipt"),
      _xlfn.XLOOKUP(1,
      (purchase_order_lines_coldchain!A269:A1267 = F269) *
      (purchase_order_lines_coldchain!G269:G1267 = E269) *
      (purchase_order_lines_coldchain!D269:D1267 = D269),
      purchase_order_lines_coldchain!B$2:B$1000,
      _xlfn.XLOOKUP(F269,purchase_order_lines_coldchain!A$2:A1267,
      purchase_order_lines_coldchain!B$2:B1267)),
      "")</f>
        <v/>
      </c>
      <c r="I269" t="str">
        <f t="shared" si="4"/>
        <v>PO000089</v>
      </c>
      <c r="J269" t="s">
        <v>2109</v>
      </c>
      <c r="K269" s="11">
        <v>122</v>
      </c>
      <c r="L269" s="11">
        <v>122</v>
      </c>
      <c r="M269" s="14">
        <v>8.44</v>
      </c>
      <c r="N269" s="14">
        <v>1029.68</v>
      </c>
      <c r="O269">
        <v>-0.9</v>
      </c>
      <c r="P269" t="s">
        <v>3275</v>
      </c>
    </row>
    <row r="270" spans="1:16" x14ac:dyDescent="0.25">
      <c r="A270" t="s">
        <v>2110</v>
      </c>
      <c r="B270" s="1">
        <v>45745.53125</v>
      </c>
      <c r="C270" t="s">
        <v>3274</v>
      </c>
      <c r="D270" t="s">
        <v>964</v>
      </c>
      <c r="E270" t="s">
        <v>484</v>
      </c>
      <c r="F270" t="s">
        <v>1405</v>
      </c>
      <c r="G270" t="s">
        <v>1077</v>
      </c>
      <c r="H270" t="str" cm="1">
        <f t="array" ref="H270">IF(AND(G270="",
      C270="Receipt"),
      _xlfn.XLOOKUP(1,
      (purchase_order_lines_coldchain!A270:A1268 = F270) *
      (purchase_order_lines_coldchain!G270:G1268 = E270) *
      (purchase_order_lines_coldchain!D270:D1268 = D270),
      purchase_order_lines_coldchain!B$2:B$1000,
      _xlfn.XLOOKUP(F270,purchase_order_lines_coldchain!A$2:A1268,
      purchase_order_lines_coldchain!B$2:B1268)),
      "")</f>
        <v/>
      </c>
      <c r="I270" t="str">
        <f t="shared" si="4"/>
        <v>PO000093</v>
      </c>
      <c r="J270" t="s">
        <v>2111</v>
      </c>
      <c r="K270" s="11">
        <v>145</v>
      </c>
      <c r="L270" s="11">
        <v>145</v>
      </c>
      <c r="M270" s="14">
        <v>4.16</v>
      </c>
      <c r="N270" s="14">
        <v>603.20000000000005</v>
      </c>
      <c r="O270">
        <v>3.4</v>
      </c>
      <c r="P270" t="s">
        <v>3275</v>
      </c>
    </row>
    <row r="271" spans="1:16" x14ac:dyDescent="0.25">
      <c r="A271" t="s">
        <v>2112</v>
      </c>
      <c r="B271" s="1">
        <v>45735.140277777777</v>
      </c>
      <c r="C271" t="s">
        <v>3274</v>
      </c>
      <c r="D271" t="s">
        <v>964</v>
      </c>
      <c r="E271" t="s">
        <v>696</v>
      </c>
      <c r="F271" t="s">
        <v>1411</v>
      </c>
      <c r="G271" t="s">
        <v>1079</v>
      </c>
      <c r="H271" t="str" cm="1">
        <f t="array" ref="H271">IF(AND(G271="",
      C271="Receipt"),
      _xlfn.XLOOKUP(1,
      (purchase_order_lines_coldchain!A271:A1269 = F271) *
      (purchase_order_lines_coldchain!G271:G1269 = E271) *
      (purchase_order_lines_coldchain!D271:D1269 = D271),
      purchase_order_lines_coldchain!B$2:B$1000,
      _xlfn.XLOOKUP(F271,purchase_order_lines_coldchain!A$2:A1269,
      purchase_order_lines_coldchain!B$2:B1269)),
      "")</f>
        <v/>
      </c>
      <c r="I271" t="str">
        <f t="shared" si="4"/>
        <v>PO000095</v>
      </c>
      <c r="J271" t="s">
        <v>2113</v>
      </c>
      <c r="K271" s="11">
        <v>83</v>
      </c>
      <c r="L271" s="11">
        <v>83</v>
      </c>
      <c r="M271" s="14">
        <v>5.09</v>
      </c>
      <c r="N271" s="14">
        <v>422.47</v>
      </c>
      <c r="O271">
        <v>4.9000000000000004</v>
      </c>
      <c r="P271" t="s">
        <v>3275</v>
      </c>
    </row>
    <row r="272" spans="1:16" x14ac:dyDescent="0.25">
      <c r="A272" t="s">
        <v>2114</v>
      </c>
      <c r="B272" s="1">
        <v>45709.135416666664</v>
      </c>
      <c r="C272" t="s">
        <v>3274</v>
      </c>
      <c r="D272" t="s">
        <v>990</v>
      </c>
      <c r="E272" t="s">
        <v>858</v>
      </c>
      <c r="F272" t="s">
        <v>1505</v>
      </c>
      <c r="G272" t="s">
        <v>1114</v>
      </c>
      <c r="H272" t="str" cm="1">
        <f t="array" ref="H272">IF(AND(G272="",
      C272="Receipt"),
      _xlfn.XLOOKUP(1,
      (purchase_order_lines_coldchain!A272:A1270 = F272) *
      (purchase_order_lines_coldchain!G272:G1270 = E272) *
      (purchase_order_lines_coldchain!D272:D1270 = D272),
      purchase_order_lines_coldchain!B$2:B$1000,
      _xlfn.XLOOKUP(F272,purchase_order_lines_coldchain!A$2:A1270,
      purchase_order_lines_coldchain!B$2:B1270)),
      "")</f>
        <v/>
      </c>
      <c r="I272" t="str">
        <f t="shared" si="4"/>
        <v>PO000130</v>
      </c>
      <c r="J272" t="s">
        <v>2115</v>
      </c>
      <c r="K272" s="11">
        <v>11</v>
      </c>
      <c r="L272" s="11">
        <v>11</v>
      </c>
      <c r="M272" s="14">
        <v>6.44</v>
      </c>
      <c r="N272" s="14">
        <v>70.84</v>
      </c>
      <c r="O272">
        <v>-0.2</v>
      </c>
      <c r="P272" t="s">
        <v>3275</v>
      </c>
    </row>
    <row r="273" spans="1:16" x14ac:dyDescent="0.25">
      <c r="A273" t="s">
        <v>2116</v>
      </c>
      <c r="B273" s="1">
        <v>45705.660416666666</v>
      </c>
      <c r="C273" t="s">
        <v>3274</v>
      </c>
      <c r="D273" t="s">
        <v>999</v>
      </c>
      <c r="E273" t="s">
        <v>807</v>
      </c>
      <c r="F273" t="s">
        <v>1494</v>
      </c>
      <c r="G273" t="s">
        <v>1110</v>
      </c>
      <c r="H273" t="str" cm="1">
        <f t="array" ref="H273">IF(AND(G273="",
      C273="Receipt"),
      _xlfn.XLOOKUP(1,
      (purchase_order_lines_coldchain!A273:A1271 = F273) *
      (purchase_order_lines_coldchain!G273:G1271 = E273) *
      (purchase_order_lines_coldchain!D273:D1271 = D273),
      purchase_order_lines_coldchain!B$2:B$1000,
      _xlfn.XLOOKUP(F273,purchase_order_lines_coldchain!A$2:A1271,
      purchase_order_lines_coldchain!B$2:B1271)),
      "")</f>
        <v/>
      </c>
      <c r="I273" t="str">
        <f t="shared" si="4"/>
        <v>PO000126</v>
      </c>
      <c r="J273" t="s">
        <v>2117</v>
      </c>
      <c r="K273" s="11">
        <v>10</v>
      </c>
      <c r="L273" s="11">
        <v>10</v>
      </c>
      <c r="M273" s="14">
        <v>14.28</v>
      </c>
      <c r="N273" s="14">
        <v>142.80000000000001</v>
      </c>
      <c r="O273">
        <v>3.9</v>
      </c>
      <c r="P273" t="s">
        <v>3275</v>
      </c>
    </row>
    <row r="274" spans="1:16" x14ac:dyDescent="0.25">
      <c r="A274" t="s">
        <v>2118</v>
      </c>
      <c r="B274" s="1">
        <v>45670.581944444442</v>
      </c>
      <c r="C274" t="s">
        <v>3274</v>
      </c>
      <c r="D274" t="s">
        <v>987</v>
      </c>
      <c r="E274" t="s">
        <v>505</v>
      </c>
      <c r="F274" t="s">
        <v>1375</v>
      </c>
      <c r="G274" t="s">
        <v>1066</v>
      </c>
      <c r="H274" t="str" cm="1">
        <f t="array" ref="H274">IF(AND(G274="",
      C274="Receipt"),
      _xlfn.XLOOKUP(1,
      (purchase_order_lines_coldchain!A274:A1272 = F274) *
      (purchase_order_lines_coldchain!G274:G1272 = E274) *
      (purchase_order_lines_coldchain!D274:D1272 = D274),
      purchase_order_lines_coldchain!B$2:B$1000,
      _xlfn.XLOOKUP(F274,purchase_order_lines_coldchain!A$2:A1272,
      purchase_order_lines_coldchain!B$2:B1272)),
      "")</f>
        <v/>
      </c>
      <c r="I274" t="str">
        <f t="shared" si="4"/>
        <v>PO000082</v>
      </c>
      <c r="J274" t="s">
        <v>2119</v>
      </c>
      <c r="K274" s="11">
        <v>189</v>
      </c>
      <c r="L274" s="11">
        <v>189</v>
      </c>
      <c r="M274" s="14">
        <v>6.27</v>
      </c>
      <c r="N274" s="14">
        <v>1185.03</v>
      </c>
      <c r="O274">
        <v>3.6</v>
      </c>
      <c r="P274" t="s">
        <v>3275</v>
      </c>
    </row>
    <row r="275" spans="1:16" x14ac:dyDescent="0.25">
      <c r="A275" t="s">
        <v>2120</v>
      </c>
      <c r="B275" s="1">
        <v>45706.46875</v>
      </c>
      <c r="C275" t="s">
        <v>3274</v>
      </c>
      <c r="D275" t="s">
        <v>968</v>
      </c>
      <c r="E275" t="s">
        <v>427</v>
      </c>
      <c r="F275" t="s">
        <v>1385</v>
      </c>
      <c r="G275" t="s">
        <v>1070</v>
      </c>
      <c r="H275" t="str" cm="1">
        <f t="array" ref="H275">IF(AND(G275="",
      C275="Receipt"),
      _xlfn.XLOOKUP(1,
      (purchase_order_lines_coldchain!A275:A1273 = F275) *
      (purchase_order_lines_coldchain!G275:G1273 = E275) *
      (purchase_order_lines_coldchain!D275:D1273 = D275),
      purchase_order_lines_coldchain!B$2:B$1000,
      _xlfn.XLOOKUP(F275,purchase_order_lines_coldchain!A$2:A1273,
      purchase_order_lines_coldchain!B$2:B1273)),
      "")</f>
        <v/>
      </c>
      <c r="I275" t="str">
        <f t="shared" si="4"/>
        <v>PO000086</v>
      </c>
      <c r="J275" t="s">
        <v>2121</v>
      </c>
      <c r="K275" s="11">
        <v>181</v>
      </c>
      <c r="L275" s="11">
        <v>181</v>
      </c>
      <c r="M275" s="14">
        <v>3.95</v>
      </c>
      <c r="N275" s="14">
        <v>714.95</v>
      </c>
      <c r="O275">
        <v>2.2000000000000002</v>
      </c>
      <c r="P275" t="s">
        <v>3275</v>
      </c>
    </row>
    <row r="276" spans="1:16" x14ac:dyDescent="0.25">
      <c r="A276" t="s">
        <v>2122</v>
      </c>
      <c r="B276" s="1">
        <v>45684.747916666667</v>
      </c>
      <c r="C276" t="s">
        <v>3274</v>
      </c>
      <c r="D276" t="s">
        <v>964</v>
      </c>
      <c r="E276" t="s">
        <v>437</v>
      </c>
      <c r="F276" t="s">
        <v>1315</v>
      </c>
      <c r="G276" t="s">
        <v>1046</v>
      </c>
      <c r="H276" t="str" cm="1">
        <f t="array" ref="H276">IF(AND(G276="",
      C276="Receipt"),
      _xlfn.XLOOKUP(1,
      (purchase_order_lines_coldchain!A276:A1274 = F276) *
      (purchase_order_lines_coldchain!G276:G1274 = E276) *
      (purchase_order_lines_coldchain!D276:D1274 = D276),
      purchase_order_lines_coldchain!B$2:B$1000,
      _xlfn.XLOOKUP(F276,purchase_order_lines_coldchain!A$2:A1274,
      purchase_order_lines_coldchain!B$2:B1274)),
      "")</f>
        <v/>
      </c>
      <c r="I276" t="str">
        <f t="shared" si="4"/>
        <v>PO000062</v>
      </c>
      <c r="J276" t="s">
        <v>2123</v>
      </c>
      <c r="K276" s="11">
        <v>59</v>
      </c>
      <c r="L276" s="11">
        <v>59</v>
      </c>
      <c r="M276" s="14">
        <v>3.28</v>
      </c>
      <c r="N276" s="14">
        <v>193.52</v>
      </c>
      <c r="O276">
        <v>3</v>
      </c>
      <c r="P276" t="s">
        <v>3275</v>
      </c>
    </row>
    <row r="277" spans="1:16" x14ac:dyDescent="0.25">
      <c r="A277" t="s">
        <v>2124</v>
      </c>
      <c r="B277" s="1">
        <v>45679.09097222222</v>
      </c>
      <c r="C277" t="s">
        <v>3274</v>
      </c>
      <c r="D277" t="s">
        <v>990</v>
      </c>
      <c r="E277" t="s">
        <v>705</v>
      </c>
      <c r="F277" t="s">
        <v>1263</v>
      </c>
      <c r="G277" t="s">
        <v>1028</v>
      </c>
      <c r="H277" t="str" cm="1">
        <f t="array" ref="H277">IF(AND(G277="",
      C277="Receipt"),
      _xlfn.XLOOKUP(1,
      (purchase_order_lines_coldchain!A277:A1275 = F277) *
      (purchase_order_lines_coldchain!G277:G1275 = E277) *
      (purchase_order_lines_coldchain!D277:D1275 = D277),
      purchase_order_lines_coldchain!B$2:B$1000,
      _xlfn.XLOOKUP(F277,purchase_order_lines_coldchain!A$2:A1275,
      purchase_order_lines_coldchain!B$2:B1275)),
      "")</f>
        <v/>
      </c>
      <c r="I277" t="str">
        <f t="shared" si="4"/>
        <v>PO000044</v>
      </c>
      <c r="J277" t="s">
        <v>2125</v>
      </c>
      <c r="K277" s="11">
        <v>209</v>
      </c>
      <c r="L277" s="11">
        <v>209</v>
      </c>
      <c r="M277" s="14">
        <v>12.81</v>
      </c>
      <c r="N277" s="14">
        <v>2677.29</v>
      </c>
      <c r="O277">
        <v>3</v>
      </c>
      <c r="P277" t="s">
        <v>3275</v>
      </c>
    </row>
    <row r="278" spans="1:16" x14ac:dyDescent="0.25">
      <c r="A278" t="s">
        <v>2126</v>
      </c>
      <c r="B278" s="1">
        <v>45705.042361111111</v>
      </c>
      <c r="C278" t="s">
        <v>3274</v>
      </c>
      <c r="D278" t="s">
        <v>980</v>
      </c>
      <c r="E278" t="s">
        <v>915</v>
      </c>
      <c r="F278" t="s">
        <v>1379</v>
      </c>
      <c r="G278" t="s">
        <v>1068</v>
      </c>
      <c r="H278" t="str" cm="1">
        <f t="array" ref="H278">IF(AND(G278="",
      C278="Receipt"),
      _xlfn.XLOOKUP(1,
      (purchase_order_lines_coldchain!A278:A1276 = F278) *
      (purchase_order_lines_coldchain!G278:G1276 = E278) *
      (purchase_order_lines_coldchain!D278:D1276 = D278),
      purchase_order_lines_coldchain!B$2:B$1000,
      _xlfn.XLOOKUP(F278,purchase_order_lines_coldchain!A$2:A1276,
      purchase_order_lines_coldchain!B$2:B1276)),
      "")</f>
        <v/>
      </c>
      <c r="I278" t="str">
        <f t="shared" si="4"/>
        <v>PO000084</v>
      </c>
      <c r="J278" t="s">
        <v>2127</v>
      </c>
      <c r="K278" s="11">
        <v>82</v>
      </c>
      <c r="L278" s="11">
        <v>82</v>
      </c>
      <c r="M278" s="14">
        <v>9.75</v>
      </c>
      <c r="N278" s="14">
        <v>799.5</v>
      </c>
      <c r="O278">
        <v>1.5</v>
      </c>
      <c r="P278" t="s">
        <v>3275</v>
      </c>
    </row>
    <row r="279" spans="1:16" x14ac:dyDescent="0.25">
      <c r="A279" t="s">
        <v>2128</v>
      </c>
      <c r="B279" s="1">
        <v>45674.693055555559</v>
      </c>
      <c r="C279" t="s">
        <v>3274</v>
      </c>
      <c r="D279" t="s">
        <v>980</v>
      </c>
      <c r="E279" t="s">
        <v>933</v>
      </c>
      <c r="F279" t="s">
        <v>1418</v>
      </c>
      <c r="G279" t="s">
        <v>1082</v>
      </c>
      <c r="H279" t="str" cm="1">
        <f t="array" ref="H279">IF(AND(G279="",
      C279="Receipt"),
      _xlfn.XLOOKUP(1,
      (purchase_order_lines_coldchain!A279:A1277 = F279) *
      (purchase_order_lines_coldchain!G279:G1277 = E279) *
      (purchase_order_lines_coldchain!D279:D1277 = D279),
      purchase_order_lines_coldchain!B$2:B$1000,
      _xlfn.XLOOKUP(F279,purchase_order_lines_coldchain!A$2:A1277,
      purchase_order_lines_coldchain!B$2:B1277)),
      "")</f>
        <v/>
      </c>
      <c r="I279" t="str">
        <f t="shared" si="4"/>
        <v>PO000098</v>
      </c>
      <c r="J279" t="s">
        <v>2129</v>
      </c>
      <c r="K279" s="11">
        <v>161</v>
      </c>
      <c r="L279" s="11">
        <v>161</v>
      </c>
      <c r="M279" s="14">
        <v>4.54</v>
      </c>
      <c r="N279" s="14">
        <v>730.94</v>
      </c>
      <c r="O279">
        <v>-0.3</v>
      </c>
      <c r="P279" t="s">
        <v>3275</v>
      </c>
    </row>
    <row r="280" spans="1:16" x14ac:dyDescent="0.25">
      <c r="A280" t="s">
        <v>2130</v>
      </c>
      <c r="B280" s="1">
        <v>45688.732638888891</v>
      </c>
      <c r="C280" t="s">
        <v>3274</v>
      </c>
      <c r="D280" t="s">
        <v>972</v>
      </c>
      <c r="E280" t="s">
        <v>420</v>
      </c>
      <c r="F280" t="s">
        <v>1148</v>
      </c>
      <c r="G280" t="s">
        <v>971</v>
      </c>
      <c r="H280" t="str" cm="1">
        <f t="array" ref="H280">IF(AND(G280="",
      C280="Receipt"),
      _xlfn.XLOOKUP(1,
      (purchase_order_lines_coldchain!A280:A1278 = F280) *
      (purchase_order_lines_coldchain!G280:G1278 = E280) *
      (purchase_order_lines_coldchain!D280:D1278 = D280),
      purchase_order_lines_coldchain!B$2:B$1000,
      _xlfn.XLOOKUP(F280,purchase_order_lines_coldchain!A$2:A1278,
      purchase_order_lines_coldchain!B$2:B1278)),
      "")</f>
        <v/>
      </c>
      <c r="I280" t="str">
        <f t="shared" si="4"/>
        <v>PO000004</v>
      </c>
      <c r="J280" t="s">
        <v>2131</v>
      </c>
      <c r="K280" s="11">
        <v>93</v>
      </c>
      <c r="L280" s="11">
        <v>93</v>
      </c>
      <c r="M280" s="14">
        <v>13.26</v>
      </c>
      <c r="N280" s="14">
        <v>1233.18</v>
      </c>
      <c r="O280">
        <v>5.7</v>
      </c>
      <c r="P280" t="s">
        <v>3275</v>
      </c>
    </row>
    <row r="281" spans="1:16" x14ac:dyDescent="0.25">
      <c r="A281" t="s">
        <v>2132</v>
      </c>
      <c r="B281" s="1">
        <v>45716.155555555553</v>
      </c>
      <c r="C281" t="s">
        <v>3274</v>
      </c>
      <c r="D281" t="s">
        <v>976</v>
      </c>
      <c r="E281" t="s">
        <v>615</v>
      </c>
      <c r="F281" t="s">
        <v>1242</v>
      </c>
      <c r="G281" t="s">
        <v>1021</v>
      </c>
      <c r="H281" t="str" cm="1">
        <f t="array" ref="H281">IF(AND(G281="",
      C281="Receipt"),
      _xlfn.XLOOKUP(1,
      (purchase_order_lines_coldchain!A281:A1279 = F281) *
      (purchase_order_lines_coldchain!G281:G1279 = E281) *
      (purchase_order_lines_coldchain!D281:D1279 = D281),
      purchase_order_lines_coldchain!B$2:B$1000,
      _xlfn.XLOOKUP(F281,purchase_order_lines_coldchain!A$2:A1279,
      purchase_order_lines_coldchain!B$2:B1279)),
      "")</f>
        <v/>
      </c>
      <c r="I281" t="str">
        <f t="shared" si="4"/>
        <v>PO000037</v>
      </c>
      <c r="J281" t="s">
        <v>2133</v>
      </c>
      <c r="K281" s="11">
        <v>102</v>
      </c>
      <c r="L281" s="11">
        <v>102</v>
      </c>
      <c r="M281" s="14">
        <v>6.24</v>
      </c>
      <c r="N281" s="14">
        <v>636.48</v>
      </c>
      <c r="O281">
        <v>2.7</v>
      </c>
      <c r="P281" t="s">
        <v>3275</v>
      </c>
    </row>
    <row r="282" spans="1:16" x14ac:dyDescent="0.25">
      <c r="A282" t="s">
        <v>2134</v>
      </c>
      <c r="B282" s="1">
        <v>45731.799305555556</v>
      </c>
      <c r="C282" t="s">
        <v>3274</v>
      </c>
      <c r="D282" t="s">
        <v>959</v>
      </c>
      <c r="E282" t="s">
        <v>834</v>
      </c>
      <c r="F282" t="s">
        <v>1158</v>
      </c>
      <c r="G282" t="s">
        <v>983</v>
      </c>
      <c r="H282" t="str" cm="1">
        <f t="array" ref="H282">IF(AND(G282="",
      C282="Receipt"),
      _xlfn.XLOOKUP(1,
      (purchase_order_lines_coldchain!A282:A1280 = F282) *
      (purchase_order_lines_coldchain!G282:G1280 = E282) *
      (purchase_order_lines_coldchain!D282:D1280 = D282),
      purchase_order_lines_coldchain!B$2:B$1000,
      _xlfn.XLOOKUP(F282,purchase_order_lines_coldchain!A$2:A1280,
      purchase_order_lines_coldchain!B$2:B1280)),
      "")</f>
        <v/>
      </c>
      <c r="I282" t="str">
        <f t="shared" si="4"/>
        <v>PO000007</v>
      </c>
      <c r="J282" t="s">
        <v>2135</v>
      </c>
      <c r="K282" s="11">
        <v>218</v>
      </c>
      <c r="L282" s="11">
        <v>218</v>
      </c>
      <c r="M282" s="14">
        <v>13.33</v>
      </c>
      <c r="N282" s="14">
        <v>2905.94</v>
      </c>
      <c r="O282">
        <v>7.8</v>
      </c>
      <c r="P282" t="s">
        <v>3275</v>
      </c>
    </row>
    <row r="283" spans="1:16" x14ac:dyDescent="0.25">
      <c r="A283" t="s">
        <v>2136</v>
      </c>
      <c r="B283" s="1">
        <v>45719.76458333333</v>
      </c>
      <c r="C283" t="s">
        <v>3274</v>
      </c>
      <c r="D283" t="s">
        <v>996</v>
      </c>
      <c r="E283" t="s">
        <v>750</v>
      </c>
      <c r="F283" t="s">
        <v>1544</v>
      </c>
      <c r="G283" t="s">
        <v>1128</v>
      </c>
      <c r="H283" t="str" cm="1">
        <f t="array" ref="H283">IF(AND(G283="",
      C283="Receipt"),
      _xlfn.XLOOKUP(1,
      (purchase_order_lines_coldchain!A283:A1281 = F283) *
      (purchase_order_lines_coldchain!G283:G1281 = E283) *
      (purchase_order_lines_coldchain!D283:D1281 = D283),
      purchase_order_lines_coldchain!B$2:B$1000,
      _xlfn.XLOOKUP(F283,purchase_order_lines_coldchain!A$2:A1281,
      purchase_order_lines_coldchain!B$2:B1281)),
      "")</f>
        <v/>
      </c>
      <c r="I283" t="str">
        <f t="shared" si="4"/>
        <v>PO000144</v>
      </c>
      <c r="J283" t="s">
        <v>2137</v>
      </c>
      <c r="K283" s="11">
        <v>56</v>
      </c>
      <c r="L283" s="11">
        <v>56</v>
      </c>
      <c r="M283" s="14">
        <v>14.62</v>
      </c>
      <c r="N283" s="14">
        <v>818.72</v>
      </c>
      <c r="O283">
        <v>3.1</v>
      </c>
      <c r="P283" t="s">
        <v>3275</v>
      </c>
    </row>
    <row r="284" spans="1:16" x14ac:dyDescent="0.25">
      <c r="A284" t="s">
        <v>2138</v>
      </c>
      <c r="B284" s="1">
        <v>45681.67083333333</v>
      </c>
      <c r="C284" t="s">
        <v>3274</v>
      </c>
      <c r="D284" t="s">
        <v>964</v>
      </c>
      <c r="E284" t="s">
        <v>502</v>
      </c>
      <c r="F284" t="s">
        <v>1360</v>
      </c>
      <c r="G284" t="s">
        <v>1061</v>
      </c>
      <c r="H284" t="str" cm="1">
        <f t="array" ref="H284">IF(AND(G284="",
      C284="Receipt"),
      _xlfn.XLOOKUP(1,
      (purchase_order_lines_coldchain!A284:A1282 = F284) *
      (purchase_order_lines_coldchain!G284:G1282 = E284) *
      (purchase_order_lines_coldchain!D284:D1282 = D284),
      purchase_order_lines_coldchain!B$2:B$1000,
      _xlfn.XLOOKUP(F284,purchase_order_lines_coldchain!A$2:A1282,
      purchase_order_lines_coldchain!B$2:B1282)),
      "")</f>
        <v/>
      </c>
      <c r="I284" t="str">
        <f t="shared" si="4"/>
        <v>PO000077</v>
      </c>
      <c r="J284" t="s">
        <v>2139</v>
      </c>
      <c r="K284" s="11">
        <v>39</v>
      </c>
      <c r="L284" s="11">
        <v>39</v>
      </c>
      <c r="M284" s="14">
        <v>12.59</v>
      </c>
      <c r="N284" s="14">
        <v>491.01</v>
      </c>
      <c r="O284">
        <v>5.7</v>
      </c>
      <c r="P284" t="s">
        <v>3275</v>
      </c>
    </row>
    <row r="285" spans="1:16" x14ac:dyDescent="0.25">
      <c r="A285" t="s">
        <v>2140</v>
      </c>
      <c r="B285" s="1">
        <v>45686.163888888892</v>
      </c>
      <c r="C285" t="s">
        <v>3274</v>
      </c>
      <c r="D285" t="s">
        <v>959</v>
      </c>
      <c r="E285" t="s">
        <v>687</v>
      </c>
      <c r="F285" t="s">
        <v>1516</v>
      </c>
      <c r="G285" t="s">
        <v>1118</v>
      </c>
      <c r="H285" t="str" cm="1">
        <f t="array" ref="H285">IF(AND(G285="",
      C285="Receipt"),
      _xlfn.XLOOKUP(1,
      (purchase_order_lines_coldchain!A285:A1283 = F285) *
      (purchase_order_lines_coldchain!G285:G1283 = E285) *
      (purchase_order_lines_coldchain!D285:D1283 = D285),
      purchase_order_lines_coldchain!B$2:B$1000,
      _xlfn.XLOOKUP(F285,purchase_order_lines_coldchain!A$2:A1283,
      purchase_order_lines_coldchain!B$2:B1283)),
      "")</f>
        <v/>
      </c>
      <c r="I285" t="str">
        <f t="shared" si="4"/>
        <v>PO000134</v>
      </c>
      <c r="J285" t="s">
        <v>2141</v>
      </c>
      <c r="K285" s="11">
        <v>22</v>
      </c>
      <c r="L285" s="11">
        <v>22</v>
      </c>
      <c r="M285" s="14">
        <v>16.559999999999999</v>
      </c>
      <c r="N285" s="14">
        <v>364.32</v>
      </c>
      <c r="O285">
        <v>3</v>
      </c>
      <c r="P285" t="s">
        <v>3275</v>
      </c>
    </row>
    <row r="286" spans="1:16" x14ac:dyDescent="0.25">
      <c r="A286" t="s">
        <v>2142</v>
      </c>
      <c r="B286" s="1">
        <v>45710.238194444442</v>
      </c>
      <c r="C286" t="s">
        <v>3274</v>
      </c>
      <c r="D286" t="s">
        <v>959</v>
      </c>
      <c r="E286" t="s">
        <v>813</v>
      </c>
      <c r="F286" t="s">
        <v>1527</v>
      </c>
      <c r="G286" t="s">
        <v>1122</v>
      </c>
      <c r="H286" t="str" cm="1">
        <f t="array" ref="H286">IF(AND(G286="",
      C286="Receipt"),
      _xlfn.XLOOKUP(1,
      (purchase_order_lines_coldchain!A286:A1284 = F286) *
      (purchase_order_lines_coldchain!G286:G1284 = E286) *
      (purchase_order_lines_coldchain!D286:D1284 = D286),
      purchase_order_lines_coldchain!B$2:B$1000,
      _xlfn.XLOOKUP(F286,purchase_order_lines_coldchain!A$2:A1284,
      purchase_order_lines_coldchain!B$2:B1284)),
      "")</f>
        <v/>
      </c>
      <c r="I286" t="str">
        <f t="shared" si="4"/>
        <v>PO000138</v>
      </c>
      <c r="J286" t="s">
        <v>2143</v>
      </c>
      <c r="K286" s="11">
        <v>95</v>
      </c>
      <c r="L286" s="11">
        <v>95</v>
      </c>
      <c r="M286" s="14">
        <v>6.15</v>
      </c>
      <c r="N286" s="14">
        <v>584.25</v>
      </c>
      <c r="O286">
        <v>1.4</v>
      </c>
      <c r="P286" t="s">
        <v>3275</v>
      </c>
    </row>
    <row r="287" spans="1:16" x14ac:dyDescent="0.25">
      <c r="A287" t="s">
        <v>2144</v>
      </c>
      <c r="B287" s="1">
        <v>45664.974999999999</v>
      </c>
      <c r="C287" t="s">
        <v>3274</v>
      </c>
      <c r="D287" t="s">
        <v>972</v>
      </c>
      <c r="E287" t="s">
        <v>554</v>
      </c>
      <c r="F287" t="s">
        <v>1372</v>
      </c>
      <c r="G287" t="s">
        <v>1065</v>
      </c>
      <c r="H287" t="str" cm="1">
        <f t="array" ref="H287">IF(AND(G287="",
      C287="Receipt"),
      _xlfn.XLOOKUP(1,
      (purchase_order_lines_coldchain!A287:A1285 = F287) *
      (purchase_order_lines_coldchain!G287:G1285 = E287) *
      (purchase_order_lines_coldchain!D287:D1285 = D287),
      purchase_order_lines_coldchain!B$2:B$1000,
      _xlfn.XLOOKUP(F287,purchase_order_lines_coldchain!A$2:A1285,
      purchase_order_lines_coldchain!B$2:B1285)),
      "")</f>
        <v/>
      </c>
      <c r="I287" t="str">
        <f t="shared" si="4"/>
        <v>PO000081</v>
      </c>
      <c r="J287" t="s">
        <v>2145</v>
      </c>
      <c r="K287" s="11">
        <v>129</v>
      </c>
      <c r="L287" s="11">
        <v>129</v>
      </c>
      <c r="M287" s="14">
        <v>16.38</v>
      </c>
      <c r="N287" s="14">
        <v>2113.02</v>
      </c>
      <c r="O287">
        <v>4</v>
      </c>
      <c r="P287" t="s">
        <v>3275</v>
      </c>
    </row>
    <row r="288" spans="1:16" x14ac:dyDescent="0.25">
      <c r="A288" t="s">
        <v>2146</v>
      </c>
      <c r="B288" s="1">
        <v>45702.449305555558</v>
      </c>
      <c r="C288" t="s">
        <v>3274</v>
      </c>
      <c r="D288" t="s">
        <v>980</v>
      </c>
      <c r="E288" t="s">
        <v>843</v>
      </c>
      <c r="F288" t="s">
        <v>1484</v>
      </c>
      <c r="G288" t="s">
        <v>1106</v>
      </c>
      <c r="H288" t="str" cm="1">
        <f t="array" ref="H288">IF(AND(G288="",
      C288="Receipt"),
      _xlfn.XLOOKUP(1,
      (purchase_order_lines_coldchain!A288:A1286 = F288) *
      (purchase_order_lines_coldchain!G288:G1286 = E288) *
      (purchase_order_lines_coldchain!D288:D1286 = D288),
      purchase_order_lines_coldchain!B$2:B$1000,
      _xlfn.XLOOKUP(F288,purchase_order_lines_coldchain!A$2:A1286,
      purchase_order_lines_coldchain!B$2:B1286)),
      "")</f>
        <v/>
      </c>
      <c r="I288" t="str">
        <f t="shared" si="4"/>
        <v>PO000122</v>
      </c>
      <c r="J288" t="s">
        <v>2147</v>
      </c>
      <c r="K288" s="11">
        <v>154</v>
      </c>
      <c r="L288" s="11">
        <v>154</v>
      </c>
      <c r="M288" s="14">
        <v>8.16</v>
      </c>
      <c r="N288" s="14">
        <v>1256.6400000000001</v>
      </c>
      <c r="O288">
        <v>2.5</v>
      </c>
      <c r="P288" t="s">
        <v>3275</v>
      </c>
    </row>
    <row r="289" spans="1:16" x14ac:dyDescent="0.25">
      <c r="A289" t="s">
        <v>2148</v>
      </c>
      <c r="B289" s="1">
        <v>45723.21875</v>
      </c>
      <c r="C289" t="s">
        <v>3274</v>
      </c>
      <c r="D289" t="s">
        <v>980</v>
      </c>
      <c r="E289" t="s">
        <v>792</v>
      </c>
      <c r="F289" t="s">
        <v>1156</v>
      </c>
      <c r="G289" t="s">
        <v>979</v>
      </c>
      <c r="H289" t="str" cm="1">
        <f t="array" ref="H289">IF(AND(G289="",
      C289="Receipt"),
      _xlfn.XLOOKUP(1,
      (purchase_order_lines_coldchain!A289:A1287 = F289) *
      (purchase_order_lines_coldchain!G289:G1287 = E289) *
      (purchase_order_lines_coldchain!D289:D1287 = D289),
      purchase_order_lines_coldchain!B$2:B$1000,
      _xlfn.XLOOKUP(F289,purchase_order_lines_coldchain!A$2:A1287,
      purchase_order_lines_coldchain!B$2:B1287)),
      "")</f>
        <v/>
      </c>
      <c r="I289" t="str">
        <f t="shared" si="4"/>
        <v>PO000006</v>
      </c>
      <c r="J289" t="s">
        <v>2149</v>
      </c>
      <c r="K289" s="11">
        <v>192</v>
      </c>
      <c r="L289" s="11">
        <v>192</v>
      </c>
      <c r="M289" s="14">
        <v>4.18</v>
      </c>
      <c r="N289" s="14">
        <v>802.56</v>
      </c>
      <c r="O289">
        <v>-10.5</v>
      </c>
      <c r="P289" t="s">
        <v>3275</v>
      </c>
    </row>
    <row r="290" spans="1:16" x14ac:dyDescent="0.25">
      <c r="A290" t="s">
        <v>2150</v>
      </c>
      <c r="B290" s="1">
        <v>45715.049305555556</v>
      </c>
      <c r="C290" t="s">
        <v>3274</v>
      </c>
      <c r="D290" t="s">
        <v>959</v>
      </c>
      <c r="E290" t="s">
        <v>744</v>
      </c>
      <c r="F290" t="s">
        <v>1482</v>
      </c>
      <c r="G290" t="s">
        <v>1105</v>
      </c>
      <c r="H290" t="str" cm="1">
        <f t="array" ref="H290">IF(AND(G290="",
      C290="Receipt"),
      _xlfn.XLOOKUP(1,
      (purchase_order_lines_coldchain!A290:A1288 = F290) *
      (purchase_order_lines_coldchain!G290:G1288 = E290) *
      (purchase_order_lines_coldchain!D290:D1288 = D290),
      purchase_order_lines_coldchain!B$2:B$1000,
      _xlfn.XLOOKUP(F290,purchase_order_lines_coldchain!A$2:A1288,
      purchase_order_lines_coldchain!B$2:B1288)),
      "")</f>
        <v/>
      </c>
      <c r="I290" t="str">
        <f t="shared" si="4"/>
        <v>PO000121</v>
      </c>
      <c r="J290" t="s">
        <v>2151</v>
      </c>
      <c r="K290" s="11">
        <v>107</v>
      </c>
      <c r="L290" s="11">
        <v>107</v>
      </c>
      <c r="M290" s="14">
        <v>5.15</v>
      </c>
      <c r="N290" s="14">
        <v>551.04999999999995</v>
      </c>
      <c r="O290">
        <v>4.9000000000000004</v>
      </c>
      <c r="P290" t="s">
        <v>3275</v>
      </c>
    </row>
    <row r="291" spans="1:16" x14ac:dyDescent="0.25">
      <c r="A291" t="s">
        <v>2152</v>
      </c>
      <c r="B291" s="1">
        <v>45677.06527777778</v>
      </c>
      <c r="C291" t="s">
        <v>3274</v>
      </c>
      <c r="D291" t="s">
        <v>987</v>
      </c>
      <c r="E291" t="s">
        <v>906</v>
      </c>
      <c r="F291" t="s">
        <v>1167</v>
      </c>
      <c r="G291" t="s">
        <v>986</v>
      </c>
      <c r="H291" t="str" cm="1">
        <f t="array" ref="H291">IF(AND(G291="",
      C291="Receipt"),
      _xlfn.XLOOKUP(1,
      (purchase_order_lines_coldchain!A291:A1289 = F291) *
      (purchase_order_lines_coldchain!G291:G1289 = E291) *
      (purchase_order_lines_coldchain!D291:D1289 = D291),
      purchase_order_lines_coldchain!B$2:B$1000,
      _xlfn.XLOOKUP(F291,purchase_order_lines_coldchain!A$2:A1289,
      purchase_order_lines_coldchain!B$2:B1289)),
      "")</f>
        <v/>
      </c>
      <c r="I291" t="str">
        <f t="shared" si="4"/>
        <v>PO000010</v>
      </c>
      <c r="J291" t="s">
        <v>2153</v>
      </c>
      <c r="K291" s="11">
        <v>80</v>
      </c>
      <c r="L291" s="11">
        <v>80</v>
      </c>
      <c r="M291" s="14">
        <v>5.98</v>
      </c>
      <c r="N291" s="14">
        <v>478.4</v>
      </c>
      <c r="O291">
        <v>5.2</v>
      </c>
      <c r="P291" t="s">
        <v>3275</v>
      </c>
    </row>
    <row r="292" spans="1:16" x14ac:dyDescent="0.25">
      <c r="A292" t="s">
        <v>2154</v>
      </c>
      <c r="B292" s="1">
        <v>45719.80972222222</v>
      </c>
      <c r="C292" t="s">
        <v>3274</v>
      </c>
      <c r="D292" t="s">
        <v>959</v>
      </c>
      <c r="E292" t="s">
        <v>699</v>
      </c>
      <c r="F292" t="s">
        <v>1195</v>
      </c>
      <c r="G292" t="s">
        <v>1004</v>
      </c>
      <c r="H292" t="str" cm="1">
        <f t="array" ref="H292">IF(AND(G292="",
      C292="Receipt"),
      _xlfn.XLOOKUP(1,
      (purchase_order_lines_coldchain!A292:A1290 = F292) *
      (purchase_order_lines_coldchain!G292:G1290 = E292) *
      (purchase_order_lines_coldchain!D292:D1290 = D292),
      purchase_order_lines_coldchain!B$2:B$1000,
      _xlfn.XLOOKUP(F292,purchase_order_lines_coldchain!A$2:A1290,
      purchase_order_lines_coldchain!B$2:B1290)),
      "")</f>
        <v/>
      </c>
      <c r="I292" t="str">
        <f t="shared" si="4"/>
        <v>PO000020</v>
      </c>
      <c r="J292" t="s">
        <v>2155</v>
      </c>
      <c r="K292" s="11">
        <v>104</v>
      </c>
      <c r="L292" s="11">
        <v>104</v>
      </c>
      <c r="M292" s="14">
        <v>1.7</v>
      </c>
      <c r="N292" s="14">
        <v>176.8</v>
      </c>
      <c r="O292">
        <v>6.5</v>
      </c>
      <c r="P292" t="s">
        <v>3275</v>
      </c>
    </row>
    <row r="293" spans="1:16" x14ac:dyDescent="0.25">
      <c r="A293" t="s">
        <v>2156</v>
      </c>
      <c r="B293" s="1">
        <v>45671.303472222222</v>
      </c>
      <c r="C293" t="s">
        <v>3274</v>
      </c>
      <c r="D293" t="s">
        <v>999</v>
      </c>
      <c r="E293" t="s">
        <v>837</v>
      </c>
      <c r="F293" t="s">
        <v>1493</v>
      </c>
      <c r="G293" t="s">
        <v>1109</v>
      </c>
      <c r="H293" t="str" cm="1">
        <f t="array" ref="H293">IF(AND(G293="",
      C293="Receipt"),
      _xlfn.XLOOKUP(1,
      (purchase_order_lines_coldchain!A293:A1291 = F293) *
      (purchase_order_lines_coldchain!G293:G1291 = E293) *
      (purchase_order_lines_coldchain!D293:D1291 = D293),
      purchase_order_lines_coldchain!B$2:B$1000,
      _xlfn.XLOOKUP(F293,purchase_order_lines_coldchain!A$2:A1291,
      purchase_order_lines_coldchain!B$2:B1291)),
      "")</f>
        <v/>
      </c>
      <c r="I293" t="str">
        <f t="shared" si="4"/>
        <v>PO000125</v>
      </c>
      <c r="J293" t="s">
        <v>2157</v>
      </c>
      <c r="K293" s="11">
        <v>150</v>
      </c>
      <c r="L293" s="11">
        <v>150</v>
      </c>
      <c r="M293" s="14">
        <v>12.74</v>
      </c>
      <c r="N293" s="14">
        <v>1911</v>
      </c>
      <c r="O293">
        <v>0.1</v>
      </c>
      <c r="P293" t="s">
        <v>3275</v>
      </c>
    </row>
    <row r="294" spans="1:16" x14ac:dyDescent="0.25">
      <c r="A294" t="s">
        <v>2158</v>
      </c>
      <c r="B294" s="1">
        <v>45665.015972222223</v>
      </c>
      <c r="C294" t="s">
        <v>3274</v>
      </c>
      <c r="D294" t="s">
        <v>987</v>
      </c>
      <c r="E294" t="s">
        <v>520</v>
      </c>
      <c r="F294" t="s">
        <v>1249</v>
      </c>
      <c r="G294" t="s">
        <v>1023</v>
      </c>
      <c r="H294" t="str" cm="1">
        <f t="array" ref="H294">IF(AND(G294="",
      C294="Receipt"),
      _xlfn.XLOOKUP(1,
      (purchase_order_lines_coldchain!A294:A1292 = F294) *
      (purchase_order_lines_coldchain!G294:G1292 = E294) *
      (purchase_order_lines_coldchain!D294:D1292 = D294),
      purchase_order_lines_coldchain!B$2:B$1000,
      _xlfn.XLOOKUP(F294,purchase_order_lines_coldchain!A$2:A1292,
      purchase_order_lines_coldchain!B$2:B1292)),
      "")</f>
        <v/>
      </c>
      <c r="I294" t="str">
        <f t="shared" si="4"/>
        <v>PO000039</v>
      </c>
      <c r="J294" t="s">
        <v>2159</v>
      </c>
      <c r="K294" s="11">
        <v>177</v>
      </c>
      <c r="L294" s="11">
        <v>177</v>
      </c>
      <c r="M294" s="14">
        <v>4.59</v>
      </c>
      <c r="N294" s="14">
        <v>812.43</v>
      </c>
      <c r="O294">
        <v>4.4000000000000004</v>
      </c>
      <c r="P294" t="s">
        <v>3275</v>
      </c>
    </row>
    <row r="295" spans="1:16" x14ac:dyDescent="0.25">
      <c r="A295" t="s">
        <v>2160</v>
      </c>
      <c r="B295" s="1">
        <v>45716.918749999997</v>
      </c>
      <c r="C295" t="s">
        <v>3274</v>
      </c>
      <c r="D295" t="s">
        <v>968</v>
      </c>
      <c r="E295" t="s">
        <v>687</v>
      </c>
      <c r="F295" t="s">
        <v>1300</v>
      </c>
      <c r="G295" t="s">
        <v>1041</v>
      </c>
      <c r="H295" t="str" cm="1">
        <f t="array" ref="H295">IF(AND(G295="",
      C295="Receipt"),
      _xlfn.XLOOKUP(1,
      (purchase_order_lines_coldchain!A295:A1293 = F295) *
      (purchase_order_lines_coldchain!G295:G1293 = E295) *
      (purchase_order_lines_coldchain!D295:D1293 = D295),
      purchase_order_lines_coldchain!B$2:B$1000,
      _xlfn.XLOOKUP(F295,purchase_order_lines_coldchain!A$2:A1293,
      purchase_order_lines_coldchain!B$2:B1293)),
      "")</f>
        <v/>
      </c>
      <c r="I295" t="str">
        <f t="shared" si="4"/>
        <v>PO000057</v>
      </c>
      <c r="J295" t="s">
        <v>2161</v>
      </c>
      <c r="K295" s="11">
        <v>109</v>
      </c>
      <c r="L295" s="11">
        <v>109</v>
      </c>
      <c r="M295" s="14">
        <v>15.18</v>
      </c>
      <c r="N295" s="14">
        <v>1654.62</v>
      </c>
      <c r="O295">
        <v>0.1</v>
      </c>
      <c r="P295" t="s">
        <v>3275</v>
      </c>
    </row>
    <row r="296" spans="1:16" x14ac:dyDescent="0.25">
      <c r="A296" t="s">
        <v>2162</v>
      </c>
      <c r="B296" s="1">
        <v>45672.053472222222</v>
      </c>
      <c r="C296" t="s">
        <v>3274</v>
      </c>
      <c r="D296" t="s">
        <v>999</v>
      </c>
      <c r="E296" t="s">
        <v>417</v>
      </c>
      <c r="F296" t="s">
        <v>1491</v>
      </c>
      <c r="G296" t="s">
        <v>1109</v>
      </c>
      <c r="H296" t="str" cm="1">
        <f t="array" ref="H296">IF(AND(G296="",
      C296="Receipt"),
      _xlfn.XLOOKUP(1,
      (purchase_order_lines_coldchain!A296:A1294 = F296) *
      (purchase_order_lines_coldchain!G296:G1294 = E296) *
      (purchase_order_lines_coldchain!D296:D1294 = D296),
      purchase_order_lines_coldchain!B$2:B$1000,
      _xlfn.XLOOKUP(F296,purchase_order_lines_coldchain!A$2:A1294,
      purchase_order_lines_coldchain!B$2:B1294)),
      "")</f>
        <v/>
      </c>
      <c r="I296" t="str">
        <f t="shared" si="4"/>
        <v>PO000125</v>
      </c>
      <c r="J296" t="s">
        <v>2163</v>
      </c>
      <c r="K296" s="11">
        <v>157</v>
      </c>
      <c r="L296" s="11">
        <v>157</v>
      </c>
      <c r="M296" s="14">
        <v>8.5299999999999994</v>
      </c>
      <c r="N296" s="14">
        <v>1339.21</v>
      </c>
      <c r="O296">
        <v>0.7</v>
      </c>
      <c r="P296" t="s">
        <v>3275</v>
      </c>
    </row>
    <row r="297" spans="1:16" x14ac:dyDescent="0.25">
      <c r="A297" t="s">
        <v>2164</v>
      </c>
      <c r="B297" s="1">
        <v>45696.792361111111</v>
      </c>
      <c r="C297" t="s">
        <v>3274</v>
      </c>
      <c r="D297" t="s">
        <v>964</v>
      </c>
      <c r="E297" t="s">
        <v>639</v>
      </c>
      <c r="F297" t="s">
        <v>1192</v>
      </c>
      <c r="G297" t="s">
        <v>1003</v>
      </c>
      <c r="H297" t="str" cm="1">
        <f t="array" ref="H297">IF(AND(G297="",
      C297="Receipt"),
      _xlfn.XLOOKUP(1,
      (purchase_order_lines_coldchain!A297:A1295 = F297) *
      (purchase_order_lines_coldchain!G297:G1295 = E297) *
      (purchase_order_lines_coldchain!D297:D1295 = D297),
      purchase_order_lines_coldchain!B$2:B$1000,
      _xlfn.XLOOKUP(F297,purchase_order_lines_coldchain!A$2:A1295,
      purchase_order_lines_coldchain!B$2:B1295)),
      "")</f>
        <v/>
      </c>
      <c r="I297" t="str">
        <f t="shared" si="4"/>
        <v>PO000019</v>
      </c>
      <c r="J297" t="s">
        <v>2165</v>
      </c>
      <c r="K297" s="11">
        <v>152</v>
      </c>
      <c r="L297" s="11">
        <v>152</v>
      </c>
      <c r="M297" s="14">
        <v>14.22</v>
      </c>
      <c r="N297" s="14">
        <v>2161.44</v>
      </c>
      <c r="O297">
        <v>5.4</v>
      </c>
      <c r="P297" t="s">
        <v>3275</v>
      </c>
    </row>
    <row r="298" spans="1:16" x14ac:dyDescent="0.25">
      <c r="A298" t="s">
        <v>2166</v>
      </c>
      <c r="B298" s="1">
        <v>45736.656944444447</v>
      </c>
      <c r="C298" t="s">
        <v>3274</v>
      </c>
      <c r="D298" t="s">
        <v>999</v>
      </c>
      <c r="E298" t="s">
        <v>551</v>
      </c>
      <c r="F298" t="s">
        <v>1388</v>
      </c>
      <c r="G298" t="s">
        <v>1071</v>
      </c>
      <c r="H298" t="str" cm="1">
        <f t="array" ref="H298">IF(AND(G298="",
      C298="Receipt"),
      _xlfn.XLOOKUP(1,
      (purchase_order_lines_coldchain!A298:A1296 = F298) *
      (purchase_order_lines_coldchain!G298:G1296 = E298) *
      (purchase_order_lines_coldchain!D298:D1296 = D298),
      purchase_order_lines_coldchain!B$2:B$1000,
      _xlfn.XLOOKUP(F298,purchase_order_lines_coldchain!A$2:A1296,
      purchase_order_lines_coldchain!B$2:B1296)),
      "")</f>
        <v/>
      </c>
      <c r="I298" t="str">
        <f t="shared" si="4"/>
        <v>PO000087</v>
      </c>
      <c r="J298" t="s">
        <v>2167</v>
      </c>
      <c r="K298" s="11">
        <v>147</v>
      </c>
      <c r="L298" s="11">
        <v>147</v>
      </c>
      <c r="M298" s="14">
        <v>17.579999999999998</v>
      </c>
      <c r="N298" s="14">
        <v>2584.2600000000002</v>
      </c>
      <c r="O298">
        <v>3.8</v>
      </c>
      <c r="P298" t="s">
        <v>3275</v>
      </c>
    </row>
    <row r="299" spans="1:16" x14ac:dyDescent="0.25">
      <c r="A299" t="s">
        <v>2168</v>
      </c>
      <c r="B299" s="1">
        <v>45714.861805555556</v>
      </c>
      <c r="C299" t="s">
        <v>3274</v>
      </c>
      <c r="D299" t="s">
        <v>968</v>
      </c>
      <c r="E299" t="s">
        <v>530</v>
      </c>
      <c r="F299" t="s">
        <v>1204</v>
      </c>
      <c r="G299" t="s">
        <v>1007</v>
      </c>
      <c r="H299" t="str" cm="1">
        <f t="array" ref="H299">IF(AND(G299="",
      C299="Receipt"),
      _xlfn.XLOOKUP(1,
      (purchase_order_lines_coldchain!A299:A1297 = F299) *
      (purchase_order_lines_coldchain!G299:G1297 = E299) *
      (purchase_order_lines_coldchain!D299:D1297 = D299),
      purchase_order_lines_coldchain!B$2:B$1000,
      _xlfn.XLOOKUP(F299,purchase_order_lines_coldchain!A$2:A1297,
      purchase_order_lines_coldchain!B$2:B1297)),
      "")</f>
        <v/>
      </c>
      <c r="I299" t="str">
        <f t="shared" si="4"/>
        <v>PO000023</v>
      </c>
      <c r="J299" t="s">
        <v>2169</v>
      </c>
      <c r="K299" s="11">
        <v>86</v>
      </c>
      <c r="L299" s="11">
        <v>86</v>
      </c>
      <c r="M299" s="14">
        <v>13.14</v>
      </c>
      <c r="N299" s="14">
        <v>1130.04</v>
      </c>
      <c r="O299">
        <v>2.1</v>
      </c>
      <c r="P299" t="s">
        <v>3275</v>
      </c>
    </row>
    <row r="300" spans="1:16" x14ac:dyDescent="0.25">
      <c r="A300" t="s">
        <v>2170</v>
      </c>
      <c r="B300" s="1">
        <v>45697.964583333334</v>
      </c>
      <c r="C300" t="s">
        <v>3274</v>
      </c>
      <c r="D300" t="s">
        <v>980</v>
      </c>
      <c r="E300" t="s">
        <v>816</v>
      </c>
      <c r="F300" t="s">
        <v>1428</v>
      </c>
      <c r="G300" t="s">
        <v>1085</v>
      </c>
      <c r="H300" t="str" cm="1">
        <f t="array" ref="H300">IF(AND(G300="",
      C300="Receipt"),
      _xlfn.XLOOKUP(1,
      (purchase_order_lines_coldchain!A300:A1298 = F300) *
      (purchase_order_lines_coldchain!G300:G1298 = E300) *
      (purchase_order_lines_coldchain!D300:D1298 = D300),
      purchase_order_lines_coldchain!B$2:B$1000,
      _xlfn.XLOOKUP(F300,purchase_order_lines_coldchain!A$2:A1298,
      purchase_order_lines_coldchain!B$2:B1298)),
      "")</f>
        <v/>
      </c>
      <c r="I300" t="str">
        <f t="shared" si="4"/>
        <v>PO000101</v>
      </c>
      <c r="J300" t="s">
        <v>2171</v>
      </c>
      <c r="K300" s="11">
        <v>65</v>
      </c>
      <c r="L300" s="11">
        <v>65</v>
      </c>
      <c r="M300" s="14">
        <v>10.8</v>
      </c>
      <c r="N300" s="14">
        <v>702</v>
      </c>
      <c r="O300">
        <v>1.3</v>
      </c>
      <c r="P300" t="s">
        <v>3275</v>
      </c>
    </row>
    <row r="301" spans="1:16" x14ac:dyDescent="0.25">
      <c r="A301" t="s">
        <v>2172</v>
      </c>
      <c r="B301" s="1">
        <v>45738.650694444441</v>
      </c>
      <c r="C301" t="s">
        <v>3274</v>
      </c>
      <c r="D301" t="s">
        <v>996</v>
      </c>
      <c r="E301" t="s">
        <v>777</v>
      </c>
      <c r="F301" t="s">
        <v>1341</v>
      </c>
      <c r="G301" t="s">
        <v>1055</v>
      </c>
      <c r="H301" t="str" cm="1">
        <f t="array" ref="H301">IF(AND(G301="",
      C301="Receipt"),
      _xlfn.XLOOKUP(1,
      (purchase_order_lines_coldchain!A301:A1299 = F301) *
      (purchase_order_lines_coldchain!G301:G1299 = E301) *
      (purchase_order_lines_coldchain!D301:D1299 = D301),
      purchase_order_lines_coldchain!B$2:B$1000,
      _xlfn.XLOOKUP(F301,purchase_order_lines_coldchain!A$2:A1299,
      purchase_order_lines_coldchain!B$2:B1299)),
      "")</f>
        <v/>
      </c>
      <c r="I301" t="str">
        <f t="shared" si="4"/>
        <v>PO000071</v>
      </c>
      <c r="J301" t="s">
        <v>2173</v>
      </c>
      <c r="K301" s="11">
        <v>167</v>
      </c>
      <c r="L301" s="11">
        <v>167</v>
      </c>
      <c r="M301" s="14">
        <v>15.35</v>
      </c>
      <c r="N301" s="14">
        <v>2563.4499999999998</v>
      </c>
      <c r="O301">
        <v>5.2</v>
      </c>
      <c r="P301" t="s">
        <v>3275</v>
      </c>
    </row>
    <row r="302" spans="1:16" x14ac:dyDescent="0.25">
      <c r="A302" t="s">
        <v>2174</v>
      </c>
      <c r="B302" s="1">
        <v>45702.869444444441</v>
      </c>
      <c r="C302" t="s">
        <v>3274</v>
      </c>
      <c r="D302" t="s">
        <v>996</v>
      </c>
      <c r="E302" t="s">
        <v>557</v>
      </c>
      <c r="F302" t="s">
        <v>1277</v>
      </c>
      <c r="G302" t="s">
        <v>1033</v>
      </c>
      <c r="H302" t="str" cm="1">
        <f t="array" ref="H302">IF(AND(G302="",
      C302="Receipt"),
      _xlfn.XLOOKUP(1,
      (purchase_order_lines_coldchain!A302:A1300 = F302) *
      (purchase_order_lines_coldchain!G302:G1300 = E302) *
      (purchase_order_lines_coldchain!D302:D1300 = D302),
      purchase_order_lines_coldchain!B$2:B$1000,
      _xlfn.XLOOKUP(F302,purchase_order_lines_coldchain!A$2:A1300,
      purchase_order_lines_coldchain!B$2:B1300)),
      "")</f>
        <v/>
      </c>
      <c r="I302" t="str">
        <f t="shared" si="4"/>
        <v>PO000049</v>
      </c>
      <c r="J302" t="s">
        <v>2175</v>
      </c>
      <c r="K302" s="11">
        <v>117</v>
      </c>
      <c r="L302" s="11">
        <v>117</v>
      </c>
      <c r="M302" s="14">
        <v>1.76</v>
      </c>
      <c r="N302" s="14">
        <v>205.92</v>
      </c>
      <c r="O302">
        <v>4.8</v>
      </c>
      <c r="P302" t="s">
        <v>3275</v>
      </c>
    </row>
    <row r="303" spans="1:16" x14ac:dyDescent="0.25">
      <c r="A303" t="s">
        <v>2176</v>
      </c>
      <c r="B303" s="1">
        <v>45721.220138888886</v>
      </c>
      <c r="C303" t="s">
        <v>3274</v>
      </c>
      <c r="D303" t="s">
        <v>980</v>
      </c>
      <c r="E303" t="s">
        <v>768</v>
      </c>
      <c r="F303" t="s">
        <v>1451</v>
      </c>
      <c r="G303" t="s">
        <v>1094</v>
      </c>
      <c r="H303" t="str" cm="1">
        <f t="array" ref="H303">IF(AND(G303="",
      C303="Receipt"),
      _xlfn.XLOOKUP(1,
      (purchase_order_lines_coldchain!A303:A1301 = F303) *
      (purchase_order_lines_coldchain!G303:G1301 = E303) *
      (purchase_order_lines_coldchain!D303:D1301 = D303),
      purchase_order_lines_coldchain!B$2:B$1000,
      _xlfn.XLOOKUP(F303,purchase_order_lines_coldchain!A$2:A1301,
      purchase_order_lines_coldchain!B$2:B1301)),
      "")</f>
        <v/>
      </c>
      <c r="I303" t="str">
        <f t="shared" si="4"/>
        <v>PO000110</v>
      </c>
      <c r="J303" t="s">
        <v>2177</v>
      </c>
      <c r="K303" s="11">
        <v>179</v>
      </c>
      <c r="L303" s="11">
        <v>179</v>
      </c>
      <c r="M303" s="14">
        <v>10.59</v>
      </c>
      <c r="N303" s="14">
        <v>1895.61</v>
      </c>
      <c r="O303">
        <v>4.5999999999999996</v>
      </c>
      <c r="P303" t="s">
        <v>3275</v>
      </c>
    </row>
    <row r="304" spans="1:16" x14ac:dyDescent="0.25">
      <c r="A304" t="s">
        <v>2178</v>
      </c>
      <c r="B304" s="1">
        <v>45717.893055555556</v>
      </c>
      <c r="C304" t="s">
        <v>3274</v>
      </c>
      <c r="D304" t="s">
        <v>959</v>
      </c>
      <c r="E304" t="s">
        <v>490</v>
      </c>
      <c r="F304" t="s">
        <v>1197</v>
      </c>
      <c r="G304" t="s">
        <v>1004</v>
      </c>
      <c r="H304" t="str" cm="1">
        <f t="array" ref="H304">IF(AND(G304="",
      C304="Receipt"),
      _xlfn.XLOOKUP(1,
      (purchase_order_lines_coldchain!A304:A1302 = F304) *
      (purchase_order_lines_coldchain!G304:G1302 = E304) *
      (purchase_order_lines_coldchain!D304:D1302 = D304),
      purchase_order_lines_coldchain!B$2:B$1000,
      _xlfn.XLOOKUP(F304,purchase_order_lines_coldchain!A$2:A1302,
      purchase_order_lines_coldchain!B$2:B1302)),
      "")</f>
        <v/>
      </c>
      <c r="I304" t="str">
        <f t="shared" si="4"/>
        <v>PO000020</v>
      </c>
      <c r="J304" t="s">
        <v>2179</v>
      </c>
      <c r="K304" s="11">
        <v>214</v>
      </c>
      <c r="L304" s="11">
        <v>214</v>
      </c>
      <c r="M304" s="14">
        <v>15.84</v>
      </c>
      <c r="N304" s="14">
        <v>3389.76</v>
      </c>
      <c r="O304">
        <v>2.1</v>
      </c>
      <c r="P304" t="s">
        <v>3275</v>
      </c>
    </row>
    <row r="305" spans="1:16" x14ac:dyDescent="0.25">
      <c r="A305" t="s">
        <v>2180</v>
      </c>
      <c r="B305" s="1">
        <v>45716.397916666669</v>
      </c>
      <c r="C305" t="s">
        <v>3274</v>
      </c>
      <c r="D305" t="s">
        <v>959</v>
      </c>
      <c r="E305" t="s">
        <v>557</v>
      </c>
      <c r="F305" t="s">
        <v>1461</v>
      </c>
      <c r="G305" t="s">
        <v>1097</v>
      </c>
      <c r="H305" t="str" cm="1">
        <f t="array" ref="H305">IF(AND(G305="",
      C305="Receipt"),
      _xlfn.XLOOKUP(1,
      (purchase_order_lines_coldchain!A305:A1303 = F305) *
      (purchase_order_lines_coldchain!G305:G1303 = E305) *
      (purchase_order_lines_coldchain!D305:D1303 = D305),
      purchase_order_lines_coldchain!B$2:B$1000,
      _xlfn.XLOOKUP(F305,purchase_order_lines_coldchain!A$2:A1303,
      purchase_order_lines_coldchain!B$2:B1303)),
      "")</f>
        <v/>
      </c>
      <c r="I305" t="str">
        <f t="shared" si="4"/>
        <v>PO000113</v>
      </c>
      <c r="J305" t="s">
        <v>2181</v>
      </c>
      <c r="K305" s="11">
        <v>105</v>
      </c>
      <c r="L305" s="11">
        <v>105</v>
      </c>
      <c r="M305" s="14">
        <v>1.75</v>
      </c>
      <c r="N305" s="14">
        <v>183.75</v>
      </c>
      <c r="O305">
        <v>2.8</v>
      </c>
      <c r="P305" t="s">
        <v>3275</v>
      </c>
    </row>
    <row r="306" spans="1:16" x14ac:dyDescent="0.25">
      <c r="A306" t="s">
        <v>2182</v>
      </c>
      <c r="B306" s="1">
        <v>45684.922222222223</v>
      </c>
      <c r="C306" t="s">
        <v>3274</v>
      </c>
      <c r="D306" t="s">
        <v>987</v>
      </c>
      <c r="E306" t="s">
        <v>933</v>
      </c>
      <c r="F306" t="s">
        <v>1334</v>
      </c>
      <c r="G306" t="s">
        <v>1052</v>
      </c>
      <c r="H306" t="str" cm="1">
        <f t="array" ref="H306">IF(AND(G306="",
      C306="Receipt"),
      _xlfn.XLOOKUP(1,
      (purchase_order_lines_coldchain!A306:A1304 = F306) *
      (purchase_order_lines_coldchain!G306:G1304 = E306) *
      (purchase_order_lines_coldchain!D306:D1304 = D306),
      purchase_order_lines_coldchain!B$2:B$1000,
      _xlfn.XLOOKUP(F306,purchase_order_lines_coldchain!A$2:A1304,
      purchase_order_lines_coldchain!B$2:B1304)),
      "")</f>
        <v/>
      </c>
      <c r="I306" t="str">
        <f t="shared" si="4"/>
        <v>PO000068</v>
      </c>
      <c r="J306" t="s">
        <v>2183</v>
      </c>
      <c r="K306" s="11">
        <v>153</v>
      </c>
      <c r="L306" s="11">
        <v>153</v>
      </c>
      <c r="M306" s="14">
        <v>5.09</v>
      </c>
      <c r="N306" s="14">
        <v>778.77</v>
      </c>
      <c r="O306">
        <v>3.8</v>
      </c>
      <c r="P306" t="s">
        <v>3275</v>
      </c>
    </row>
    <row r="307" spans="1:16" x14ac:dyDescent="0.25">
      <c r="A307" t="s">
        <v>2184</v>
      </c>
      <c r="B307" s="1">
        <v>45686.753472222219</v>
      </c>
      <c r="C307" t="s">
        <v>3274</v>
      </c>
      <c r="D307" t="s">
        <v>999</v>
      </c>
      <c r="E307" t="s">
        <v>822</v>
      </c>
      <c r="F307" t="s">
        <v>1462</v>
      </c>
      <c r="G307" t="s">
        <v>1098</v>
      </c>
      <c r="H307" t="str" cm="1">
        <f t="array" ref="H307">IF(AND(G307="",
      C307="Receipt"),
      _xlfn.XLOOKUP(1,
      (purchase_order_lines_coldchain!A307:A1305 = F307) *
      (purchase_order_lines_coldchain!G307:G1305 = E307) *
      (purchase_order_lines_coldchain!D307:D1305 = D307),
      purchase_order_lines_coldchain!B$2:B$1000,
      _xlfn.XLOOKUP(F307,purchase_order_lines_coldchain!A$2:A1305,
      purchase_order_lines_coldchain!B$2:B1305)),
      "")</f>
        <v/>
      </c>
      <c r="I307" t="str">
        <f t="shared" si="4"/>
        <v>PO000114</v>
      </c>
      <c r="J307" t="s">
        <v>2185</v>
      </c>
      <c r="K307" s="11">
        <v>38</v>
      </c>
      <c r="L307" s="11">
        <v>38</v>
      </c>
      <c r="M307" s="14">
        <v>9.43</v>
      </c>
      <c r="N307" s="14">
        <v>358.34</v>
      </c>
      <c r="O307">
        <v>5.8</v>
      </c>
      <c r="P307" t="s">
        <v>3275</v>
      </c>
    </row>
    <row r="308" spans="1:16" x14ac:dyDescent="0.25">
      <c r="A308" t="s">
        <v>2186</v>
      </c>
      <c r="B308" s="1">
        <v>45706.927083333336</v>
      </c>
      <c r="C308" t="s">
        <v>3274</v>
      </c>
      <c r="D308" t="s">
        <v>968</v>
      </c>
      <c r="E308" t="s">
        <v>855</v>
      </c>
      <c r="F308" t="s">
        <v>1386</v>
      </c>
      <c r="G308" t="s">
        <v>1070</v>
      </c>
      <c r="H308" t="str" cm="1">
        <f t="array" ref="H308">IF(AND(G308="",
      C308="Receipt"),
      _xlfn.XLOOKUP(1,
      (purchase_order_lines_coldchain!A308:A1306 = F308) *
      (purchase_order_lines_coldchain!G308:G1306 = E308) *
      (purchase_order_lines_coldchain!D308:D1306 = D308),
      purchase_order_lines_coldchain!B$2:B$1000,
      _xlfn.XLOOKUP(F308,purchase_order_lines_coldchain!A$2:A1306,
      purchase_order_lines_coldchain!B$2:B1306)),
      "")</f>
        <v/>
      </c>
      <c r="I308" t="str">
        <f t="shared" si="4"/>
        <v>PO000086</v>
      </c>
      <c r="J308" t="s">
        <v>2187</v>
      </c>
      <c r="K308" s="11">
        <v>161</v>
      </c>
      <c r="L308" s="11">
        <v>161</v>
      </c>
      <c r="M308" s="14">
        <v>13.43</v>
      </c>
      <c r="N308" s="14">
        <v>2162.23</v>
      </c>
      <c r="O308">
        <v>0.6</v>
      </c>
      <c r="P308" t="s">
        <v>3275</v>
      </c>
    </row>
    <row r="309" spans="1:16" x14ac:dyDescent="0.25">
      <c r="A309" t="s">
        <v>2188</v>
      </c>
      <c r="B309" s="1">
        <v>45730.431944444441</v>
      </c>
      <c r="C309" t="s">
        <v>3274</v>
      </c>
      <c r="D309" t="s">
        <v>980</v>
      </c>
      <c r="E309" t="s">
        <v>882</v>
      </c>
      <c r="F309" t="s">
        <v>1522</v>
      </c>
      <c r="G309" t="s">
        <v>1120</v>
      </c>
      <c r="H309" t="str" cm="1">
        <f t="array" ref="H309">IF(AND(G309="",
      C309="Receipt"),
      _xlfn.XLOOKUP(1,
      (purchase_order_lines_coldchain!A309:A1307 = F309) *
      (purchase_order_lines_coldchain!G309:G1307 = E309) *
      (purchase_order_lines_coldchain!D309:D1307 = D309),
      purchase_order_lines_coldchain!B$2:B$1000,
      _xlfn.XLOOKUP(F309,purchase_order_lines_coldchain!A$2:A1307,
      purchase_order_lines_coldchain!B$2:B1307)),
      "")</f>
        <v/>
      </c>
      <c r="I309" t="str">
        <f t="shared" si="4"/>
        <v>PO000136</v>
      </c>
      <c r="J309" t="s">
        <v>2189</v>
      </c>
      <c r="K309" s="11">
        <v>48</v>
      </c>
      <c r="L309" s="11">
        <v>48</v>
      </c>
      <c r="M309" s="14">
        <v>3.74</v>
      </c>
      <c r="N309" s="14">
        <v>179.52</v>
      </c>
      <c r="O309">
        <v>4.7</v>
      </c>
      <c r="P309" t="s">
        <v>3275</v>
      </c>
    </row>
    <row r="310" spans="1:16" x14ac:dyDescent="0.25">
      <c r="A310" t="s">
        <v>2190</v>
      </c>
      <c r="B310" s="1">
        <v>45691.76666666667</v>
      </c>
      <c r="C310" t="s">
        <v>3274</v>
      </c>
      <c r="D310" t="s">
        <v>964</v>
      </c>
      <c r="E310" t="s">
        <v>801</v>
      </c>
      <c r="F310" t="s">
        <v>1413</v>
      </c>
      <c r="G310" t="s">
        <v>1080</v>
      </c>
      <c r="H310" t="str" cm="1">
        <f t="array" ref="H310">IF(AND(G310="",
      C310="Receipt"),
      _xlfn.XLOOKUP(1,
      (purchase_order_lines_coldchain!A310:A1308 = F310) *
      (purchase_order_lines_coldchain!G310:G1308 = E310) *
      (purchase_order_lines_coldchain!D310:D1308 = D310),
      purchase_order_lines_coldchain!B$2:B$1000,
      _xlfn.XLOOKUP(F310,purchase_order_lines_coldchain!A$2:A1308,
      purchase_order_lines_coldchain!B$2:B1308)),
      "")</f>
        <v/>
      </c>
      <c r="I310" t="str">
        <f t="shared" si="4"/>
        <v>PO000096</v>
      </c>
      <c r="J310" t="s">
        <v>2191</v>
      </c>
      <c r="K310" s="11">
        <v>155</v>
      </c>
      <c r="L310" s="11">
        <v>155</v>
      </c>
      <c r="M310" s="14">
        <v>5.42</v>
      </c>
      <c r="N310" s="14">
        <v>840.1</v>
      </c>
      <c r="O310">
        <v>4.7</v>
      </c>
      <c r="P310" t="s">
        <v>3275</v>
      </c>
    </row>
    <row r="311" spans="1:16" x14ac:dyDescent="0.25">
      <c r="A311" t="s">
        <v>2192</v>
      </c>
      <c r="B311" s="1">
        <v>45685.253472222219</v>
      </c>
      <c r="C311" t="s">
        <v>3274</v>
      </c>
      <c r="D311" t="s">
        <v>999</v>
      </c>
      <c r="E311" t="s">
        <v>894</v>
      </c>
      <c r="F311" t="s">
        <v>1463</v>
      </c>
      <c r="G311" t="s">
        <v>1098</v>
      </c>
      <c r="H311" t="str" cm="1">
        <f t="array" ref="H311">IF(AND(G311="",
      C311="Receipt"),
      _xlfn.XLOOKUP(1,
      (purchase_order_lines_coldchain!A311:A1309 = F311) *
      (purchase_order_lines_coldchain!G311:G1309 = E311) *
      (purchase_order_lines_coldchain!D311:D1309 = D311),
      purchase_order_lines_coldchain!B$2:B$1000,
      _xlfn.XLOOKUP(F311,purchase_order_lines_coldchain!A$2:A1309,
      purchase_order_lines_coldchain!B$2:B1309)),
      "")</f>
        <v/>
      </c>
      <c r="I311" t="str">
        <f t="shared" si="4"/>
        <v>PO000114</v>
      </c>
      <c r="J311" t="s">
        <v>2193</v>
      </c>
      <c r="K311" s="11">
        <v>136</v>
      </c>
      <c r="L311" s="11">
        <v>136</v>
      </c>
      <c r="M311" s="14">
        <v>8.76</v>
      </c>
      <c r="N311" s="14">
        <v>1191.3599999999999</v>
      </c>
      <c r="O311">
        <v>2.2000000000000002</v>
      </c>
      <c r="P311" t="s">
        <v>3275</v>
      </c>
    </row>
    <row r="312" spans="1:16" x14ac:dyDescent="0.25">
      <c r="A312" t="s">
        <v>2194</v>
      </c>
      <c r="B312" s="1">
        <v>45692.327777777777</v>
      </c>
      <c r="C312" t="s">
        <v>3274</v>
      </c>
      <c r="D312" t="s">
        <v>996</v>
      </c>
      <c r="E312" t="s">
        <v>557</v>
      </c>
      <c r="F312" t="s">
        <v>1501</v>
      </c>
      <c r="G312" t="s">
        <v>1112</v>
      </c>
      <c r="H312" t="str" cm="1">
        <f t="array" ref="H312">IF(AND(G312="",
      C312="Receipt"),
      _xlfn.XLOOKUP(1,
      (purchase_order_lines_coldchain!A312:A1310 = F312) *
      (purchase_order_lines_coldchain!G312:G1310 = E312) *
      (purchase_order_lines_coldchain!D312:D1310 = D312),
      purchase_order_lines_coldchain!B$2:B$1000,
      _xlfn.XLOOKUP(F312,purchase_order_lines_coldchain!A$2:A1310,
      purchase_order_lines_coldchain!B$2:B1310)),
      "")</f>
        <v/>
      </c>
      <c r="I312" t="str">
        <f t="shared" si="4"/>
        <v>PO000128</v>
      </c>
      <c r="J312" t="s">
        <v>2195</v>
      </c>
      <c r="K312" s="11">
        <v>34</v>
      </c>
      <c r="L312" s="11">
        <v>34</v>
      </c>
      <c r="M312" s="14">
        <v>1.69</v>
      </c>
      <c r="N312" s="14">
        <v>57.46</v>
      </c>
      <c r="O312">
        <v>3.2</v>
      </c>
      <c r="P312" t="s">
        <v>3275</v>
      </c>
    </row>
    <row r="313" spans="1:16" x14ac:dyDescent="0.25">
      <c r="A313" t="s">
        <v>2196</v>
      </c>
      <c r="B313" s="1">
        <v>45702.432638888888</v>
      </c>
      <c r="C313" t="s">
        <v>3274</v>
      </c>
      <c r="D313" t="s">
        <v>968</v>
      </c>
      <c r="E313" t="s">
        <v>771</v>
      </c>
      <c r="F313" t="s">
        <v>1557</v>
      </c>
      <c r="G313" t="s">
        <v>1133</v>
      </c>
      <c r="H313" t="str" cm="1">
        <f t="array" ref="H313">IF(AND(G313="",
      C313="Receipt"),
      _xlfn.XLOOKUP(1,
      (purchase_order_lines_coldchain!A313:A1311 = F313) *
      (purchase_order_lines_coldchain!G313:G1311 = E313) *
      (purchase_order_lines_coldchain!D313:D1311 = D313),
      purchase_order_lines_coldchain!B$2:B$1000,
      _xlfn.XLOOKUP(F313,purchase_order_lines_coldchain!A$2:A1311,
      purchase_order_lines_coldchain!B$2:B1311)),
      "")</f>
        <v/>
      </c>
      <c r="I313" t="str">
        <f t="shared" si="4"/>
        <v>PO000149</v>
      </c>
      <c r="J313" t="s">
        <v>2197</v>
      </c>
      <c r="K313" s="11">
        <v>173</v>
      </c>
      <c r="L313" s="11">
        <v>173</v>
      </c>
      <c r="M313" s="14">
        <v>3.56</v>
      </c>
      <c r="N313" s="14">
        <v>615.88</v>
      </c>
      <c r="O313">
        <v>2.8</v>
      </c>
      <c r="P313" t="s">
        <v>3275</v>
      </c>
    </row>
    <row r="314" spans="1:16" x14ac:dyDescent="0.25">
      <c r="A314" t="s">
        <v>2198</v>
      </c>
      <c r="B314" s="1">
        <v>45694.162499999999</v>
      </c>
      <c r="C314" t="s">
        <v>3274</v>
      </c>
      <c r="D314" t="s">
        <v>972</v>
      </c>
      <c r="E314" t="s">
        <v>417</v>
      </c>
      <c r="F314" t="s">
        <v>1176</v>
      </c>
      <c r="G314" t="s">
        <v>993</v>
      </c>
      <c r="H314" t="str" cm="1">
        <f t="array" ref="H314">IF(AND(G314="",
      C314="Receipt"),
      _xlfn.XLOOKUP(1,
      (purchase_order_lines_coldchain!A314:A1312 = F314) *
      (purchase_order_lines_coldchain!G314:G1312 = E314) *
      (purchase_order_lines_coldchain!D314:D1312 = D314),
      purchase_order_lines_coldchain!B$2:B$1000,
      _xlfn.XLOOKUP(F314,purchase_order_lines_coldchain!A$2:A1312,
      purchase_order_lines_coldchain!B$2:B1312)),
      "")</f>
        <v/>
      </c>
      <c r="I314" t="str">
        <f t="shared" si="4"/>
        <v>PO000013</v>
      </c>
      <c r="J314" t="s">
        <v>2199</v>
      </c>
      <c r="K314" s="11">
        <v>156</v>
      </c>
      <c r="L314" s="11">
        <v>156</v>
      </c>
      <c r="M314" s="14">
        <v>8.1300000000000008</v>
      </c>
      <c r="N314" s="14">
        <v>1268.28</v>
      </c>
      <c r="O314">
        <v>3.6</v>
      </c>
      <c r="P314" t="s">
        <v>3275</v>
      </c>
    </row>
    <row r="315" spans="1:16" x14ac:dyDescent="0.25">
      <c r="A315" t="s">
        <v>2200</v>
      </c>
      <c r="B315" s="1">
        <v>45706.695833333331</v>
      </c>
      <c r="C315" t="s">
        <v>3274</v>
      </c>
      <c r="D315" t="s">
        <v>990</v>
      </c>
      <c r="E315" t="s">
        <v>720</v>
      </c>
      <c r="F315" t="s">
        <v>1391</v>
      </c>
      <c r="G315" t="s">
        <v>1072</v>
      </c>
      <c r="H315" t="str" cm="1">
        <f t="array" ref="H315">IF(AND(G315="",
      C315="Receipt"),
      _xlfn.XLOOKUP(1,
      (purchase_order_lines_coldchain!A315:A1313 = F315) *
      (purchase_order_lines_coldchain!G315:G1313 = E315) *
      (purchase_order_lines_coldchain!D315:D1313 = D315),
      purchase_order_lines_coldchain!B$2:B$1000,
      _xlfn.XLOOKUP(F315,purchase_order_lines_coldchain!A$2:A1313,
      purchase_order_lines_coldchain!B$2:B1313)),
      "")</f>
        <v/>
      </c>
      <c r="I315" t="str">
        <f t="shared" si="4"/>
        <v>PO000088</v>
      </c>
      <c r="J315" t="s">
        <v>2201</v>
      </c>
      <c r="K315" s="11">
        <v>157</v>
      </c>
      <c r="L315" s="11">
        <v>157</v>
      </c>
      <c r="M315" s="14">
        <v>8.9600000000000009</v>
      </c>
      <c r="N315" s="14">
        <v>1406.72</v>
      </c>
      <c r="O315">
        <v>0.5</v>
      </c>
      <c r="P315" t="s">
        <v>3275</v>
      </c>
    </row>
    <row r="316" spans="1:16" x14ac:dyDescent="0.25">
      <c r="A316" t="s">
        <v>2202</v>
      </c>
      <c r="B316" s="1">
        <v>45687.607638888891</v>
      </c>
      <c r="C316" t="s">
        <v>3274</v>
      </c>
      <c r="D316" t="s">
        <v>972</v>
      </c>
      <c r="E316" t="s">
        <v>828</v>
      </c>
      <c r="F316" t="s">
        <v>1150</v>
      </c>
      <c r="G316" t="s">
        <v>971</v>
      </c>
      <c r="H316" t="str" cm="1">
        <f t="array" ref="H316">IF(AND(G316="",
      C316="Receipt"),
      _xlfn.XLOOKUP(1,
      (purchase_order_lines_coldchain!A316:A1314 = F316) *
      (purchase_order_lines_coldchain!G316:G1314 = E316) *
      (purchase_order_lines_coldchain!D316:D1314 = D316),
      purchase_order_lines_coldchain!B$2:B$1000,
      _xlfn.XLOOKUP(F316,purchase_order_lines_coldchain!A$2:A1314,
      purchase_order_lines_coldchain!B$2:B1314)),
      "")</f>
        <v/>
      </c>
      <c r="I316" t="str">
        <f t="shared" si="4"/>
        <v>PO000004</v>
      </c>
      <c r="J316" t="s">
        <v>2203</v>
      </c>
      <c r="K316" s="11">
        <v>93</v>
      </c>
      <c r="L316" s="11">
        <v>93</v>
      </c>
      <c r="M316" s="14">
        <v>10.54</v>
      </c>
      <c r="N316" s="14">
        <v>980.22</v>
      </c>
      <c r="O316">
        <v>2.8</v>
      </c>
      <c r="P316" t="s">
        <v>3275</v>
      </c>
    </row>
    <row r="317" spans="1:16" x14ac:dyDescent="0.25">
      <c r="A317" t="s">
        <v>2204</v>
      </c>
      <c r="B317" s="1">
        <v>45731.640972222223</v>
      </c>
      <c r="C317" t="s">
        <v>3274</v>
      </c>
      <c r="D317" t="s">
        <v>976</v>
      </c>
      <c r="E317" t="s">
        <v>579</v>
      </c>
      <c r="F317" t="s">
        <v>1207</v>
      </c>
      <c r="G317" t="s">
        <v>1008</v>
      </c>
      <c r="H317" t="str" cm="1">
        <f t="array" ref="H317">IF(AND(G317="",
      C317="Receipt"),
      _xlfn.XLOOKUP(1,
      (purchase_order_lines_coldchain!A317:A1315 = F317) *
      (purchase_order_lines_coldchain!G317:G1315 = E317) *
      (purchase_order_lines_coldchain!D317:D1315 = D317),
      purchase_order_lines_coldchain!B$2:B$1000,
      _xlfn.XLOOKUP(F317,purchase_order_lines_coldchain!A$2:A1315,
      purchase_order_lines_coldchain!B$2:B1315)),
      "")</f>
        <v/>
      </c>
      <c r="I317" t="str">
        <f t="shared" si="4"/>
        <v>PO000024</v>
      </c>
      <c r="J317" t="s">
        <v>2205</v>
      </c>
      <c r="K317" s="11">
        <v>204</v>
      </c>
      <c r="L317" s="11">
        <v>204</v>
      </c>
      <c r="M317" s="14">
        <v>6.84</v>
      </c>
      <c r="N317" s="14">
        <v>1395.36</v>
      </c>
      <c r="O317">
        <v>7.2</v>
      </c>
      <c r="P317" t="s">
        <v>3275</v>
      </c>
    </row>
    <row r="318" spans="1:16" x14ac:dyDescent="0.25">
      <c r="A318" t="s">
        <v>2206</v>
      </c>
      <c r="B318" s="1">
        <v>45730.890972222223</v>
      </c>
      <c r="C318" t="s">
        <v>3274</v>
      </c>
      <c r="D318" t="s">
        <v>972</v>
      </c>
      <c r="E318" t="s">
        <v>490</v>
      </c>
      <c r="F318" t="s">
        <v>1210</v>
      </c>
      <c r="G318" t="s">
        <v>1009</v>
      </c>
      <c r="H318" t="str" cm="1">
        <f t="array" ref="H318">IF(AND(G318="",
      C318="Receipt"),
      _xlfn.XLOOKUP(1,
      (purchase_order_lines_coldchain!A318:A1316 = F318) *
      (purchase_order_lines_coldchain!G318:G1316 = E318) *
      (purchase_order_lines_coldchain!D318:D1316 = D318),
      purchase_order_lines_coldchain!B$2:B$1000,
      _xlfn.XLOOKUP(F318,purchase_order_lines_coldchain!A$2:A1316,
      purchase_order_lines_coldchain!B$2:B1316)),
      "")</f>
        <v/>
      </c>
      <c r="I318" t="str">
        <f t="shared" si="4"/>
        <v>PO000025</v>
      </c>
      <c r="J318" t="s">
        <v>2207</v>
      </c>
      <c r="K318" s="11">
        <v>176</v>
      </c>
      <c r="L318" s="11">
        <v>176</v>
      </c>
      <c r="M318" s="14">
        <v>16.690000000000001</v>
      </c>
      <c r="N318" s="14">
        <v>2937.44</v>
      </c>
      <c r="O318">
        <v>4.2</v>
      </c>
      <c r="P318" t="s">
        <v>3275</v>
      </c>
    </row>
    <row r="319" spans="1:16" x14ac:dyDescent="0.25">
      <c r="A319" t="s">
        <v>2208</v>
      </c>
      <c r="B319" s="1">
        <v>45667.509027777778</v>
      </c>
      <c r="C319" t="s">
        <v>3274</v>
      </c>
      <c r="D319" t="s">
        <v>996</v>
      </c>
      <c r="E319" t="s">
        <v>675</v>
      </c>
      <c r="F319" t="s">
        <v>1180</v>
      </c>
      <c r="G319" t="s">
        <v>995</v>
      </c>
      <c r="H319" t="str" cm="1">
        <f t="array" ref="H319">IF(AND(G319="",
      C319="Receipt"),
      _xlfn.XLOOKUP(1,
      (purchase_order_lines_coldchain!A319:A1317 = F319) *
      (purchase_order_lines_coldchain!G319:G1317 = E319) *
      (purchase_order_lines_coldchain!D319:D1317 = D319),
      purchase_order_lines_coldchain!B$2:B$1000,
      _xlfn.XLOOKUP(F319,purchase_order_lines_coldchain!A$2:A1317,
      purchase_order_lines_coldchain!B$2:B1317)),
      "")</f>
        <v/>
      </c>
      <c r="I319" t="str">
        <f t="shared" si="4"/>
        <v>PO000015</v>
      </c>
      <c r="J319" t="s">
        <v>2209</v>
      </c>
      <c r="K319" s="11">
        <v>193</v>
      </c>
      <c r="L319" s="11">
        <v>193</v>
      </c>
      <c r="M319" s="14">
        <v>6.64</v>
      </c>
      <c r="N319" s="14">
        <v>1281.52</v>
      </c>
      <c r="O319">
        <v>1</v>
      </c>
      <c r="P319" t="s">
        <v>3275</v>
      </c>
    </row>
    <row r="320" spans="1:16" x14ac:dyDescent="0.25">
      <c r="A320" t="s">
        <v>2210</v>
      </c>
      <c r="B320" s="1">
        <v>45701.720833333333</v>
      </c>
      <c r="C320" t="s">
        <v>3274</v>
      </c>
      <c r="D320" t="s">
        <v>990</v>
      </c>
      <c r="E320" t="s">
        <v>417</v>
      </c>
      <c r="F320" t="s">
        <v>1468</v>
      </c>
      <c r="G320" t="s">
        <v>1100</v>
      </c>
      <c r="H320" t="str" cm="1">
        <f t="array" ref="H320">IF(AND(G320="",
      C320="Receipt"),
      _xlfn.XLOOKUP(1,
      (purchase_order_lines_coldchain!A320:A1318 = F320) *
      (purchase_order_lines_coldchain!G320:G1318 = E320) *
      (purchase_order_lines_coldchain!D320:D1318 = D320),
      purchase_order_lines_coldchain!B$2:B$1000,
      _xlfn.XLOOKUP(F320,purchase_order_lines_coldchain!A$2:A1318,
      purchase_order_lines_coldchain!B$2:B1318)),
      "")</f>
        <v/>
      </c>
      <c r="I320" t="str">
        <f t="shared" si="4"/>
        <v>PO000116</v>
      </c>
      <c r="J320" t="s">
        <v>2211</v>
      </c>
      <c r="K320" s="11">
        <v>111</v>
      </c>
      <c r="L320" s="11">
        <v>111</v>
      </c>
      <c r="M320" s="14">
        <v>8.1</v>
      </c>
      <c r="N320" s="14">
        <v>899.1</v>
      </c>
      <c r="O320">
        <v>1.9</v>
      </c>
      <c r="P320" t="s">
        <v>3275</v>
      </c>
    </row>
    <row r="321" spans="1:16" x14ac:dyDescent="0.25">
      <c r="A321" t="s">
        <v>2212</v>
      </c>
      <c r="B321" s="1">
        <v>45722.433333333334</v>
      </c>
      <c r="C321" t="s">
        <v>3274</v>
      </c>
      <c r="D321" t="s">
        <v>990</v>
      </c>
      <c r="E321" t="s">
        <v>876</v>
      </c>
      <c r="F321" t="s">
        <v>1200</v>
      </c>
      <c r="G321" t="s">
        <v>1005</v>
      </c>
      <c r="H321" t="str" cm="1">
        <f t="array" ref="H321">IF(AND(G321="",
      C321="Receipt"),
      _xlfn.XLOOKUP(1,
      (purchase_order_lines_coldchain!A321:A1319 = F321) *
      (purchase_order_lines_coldchain!G321:G1319 = E321) *
      (purchase_order_lines_coldchain!D321:D1319 = D321),
      purchase_order_lines_coldchain!B$2:B$1000,
      _xlfn.XLOOKUP(F321,purchase_order_lines_coldchain!A$2:A1319,
      purchase_order_lines_coldchain!B$2:B1319)),
      "")</f>
        <v/>
      </c>
      <c r="I321" t="str">
        <f t="shared" si="4"/>
        <v>PO000021</v>
      </c>
      <c r="J321" t="s">
        <v>2213</v>
      </c>
      <c r="K321" s="11">
        <v>40</v>
      </c>
      <c r="L321" s="11">
        <v>40</v>
      </c>
      <c r="M321" s="14">
        <v>6.22</v>
      </c>
      <c r="N321" s="14">
        <v>248.8</v>
      </c>
      <c r="O321">
        <v>0.5</v>
      </c>
      <c r="P321" t="s">
        <v>3275</v>
      </c>
    </row>
    <row r="322" spans="1:16" x14ac:dyDescent="0.25">
      <c r="A322" t="s">
        <v>2214</v>
      </c>
      <c r="B322" s="1">
        <v>45723.677777777775</v>
      </c>
      <c r="C322" t="s">
        <v>3276</v>
      </c>
      <c r="D322" t="s">
        <v>987</v>
      </c>
      <c r="E322" t="s">
        <v>933</v>
      </c>
      <c r="G322" t="s">
        <v>2215</v>
      </c>
      <c r="H322" t="str" cm="1">
        <f t="array" ref="H322">IF(AND(G322="",
      C322="Receipt"),
      _xlfn.XLOOKUP(1,
      (purchase_order_lines_coldchain!A322:A1320 = F322) *
      (purchase_order_lines_coldchain!G322:G1320 = E322) *
      (purchase_order_lines_coldchain!D322:D1320 = D322),
      purchase_order_lines_coldchain!B$2:B$1000,
      _xlfn.XLOOKUP(F322,purchase_order_lines_coldchain!A$2:A1320,
      purchase_order_lines_coldchain!B$2:B1320)),
      "")</f>
        <v/>
      </c>
      <c r="I322" t="str">
        <f t="shared" ref="I322:I385" si="5">G322 &amp; H322</f>
        <v>SO-189088</v>
      </c>
      <c r="K322" s="11">
        <v>5</v>
      </c>
      <c r="L322" s="11">
        <v>-5</v>
      </c>
      <c r="M322" s="14">
        <v>4.8600000000000003</v>
      </c>
      <c r="N322" s="14">
        <v>-24.3</v>
      </c>
      <c r="O322">
        <v>-0.4</v>
      </c>
      <c r="P322" t="s">
        <v>3277</v>
      </c>
    </row>
    <row r="323" spans="1:16" x14ac:dyDescent="0.25">
      <c r="A323" t="s">
        <v>2216</v>
      </c>
      <c r="B323" s="1">
        <v>45722.856944444444</v>
      </c>
      <c r="C323" t="s">
        <v>3276</v>
      </c>
      <c r="D323" t="s">
        <v>996</v>
      </c>
      <c r="E323" t="s">
        <v>858</v>
      </c>
      <c r="G323" t="s">
        <v>2217</v>
      </c>
      <c r="H323" t="str" cm="1">
        <f t="array" ref="H323">IF(AND(G323="",
      C323="Receipt"),
      _xlfn.XLOOKUP(1,
      (purchase_order_lines_coldchain!A323:A1321 = F323) *
      (purchase_order_lines_coldchain!G323:G1321 = E323) *
      (purchase_order_lines_coldchain!D323:D1321 = D323),
      purchase_order_lines_coldchain!B$2:B$1000,
      _xlfn.XLOOKUP(F323,purchase_order_lines_coldchain!A$2:A1321,
      purchase_order_lines_coldchain!B$2:B1321)),
      "")</f>
        <v/>
      </c>
      <c r="I323" t="str">
        <f t="shared" si="5"/>
        <v>SO-145145</v>
      </c>
      <c r="K323" s="11">
        <v>11</v>
      </c>
      <c r="L323" s="11">
        <v>-11</v>
      </c>
      <c r="M323" s="14">
        <v>5.99</v>
      </c>
      <c r="N323" s="14">
        <v>-65.89</v>
      </c>
      <c r="O323">
        <v>-0.2</v>
      </c>
      <c r="P323" t="s">
        <v>3277</v>
      </c>
    </row>
    <row r="324" spans="1:16" x14ac:dyDescent="0.25">
      <c r="A324" t="s">
        <v>2218</v>
      </c>
      <c r="B324" s="1">
        <v>45763.78402777778</v>
      </c>
      <c r="C324" t="s">
        <v>3278</v>
      </c>
      <c r="D324" t="s">
        <v>999</v>
      </c>
      <c r="E324" t="s">
        <v>780</v>
      </c>
      <c r="G324" t="s">
        <v>2219</v>
      </c>
      <c r="H324" t="str" cm="1">
        <f t="array" ref="H324">IF(AND(G324="",
      C324="Receipt"),
      _xlfn.XLOOKUP(1,
      (purchase_order_lines_coldchain!A324:A1322 = F324) *
      (purchase_order_lines_coldchain!G324:G1322 = E324) *
      (purchase_order_lines_coldchain!D324:D1322 = D324),
      purchase_order_lines_coldchain!B$2:B$1000,
      _xlfn.XLOOKUP(F324,purchase_order_lines_coldchain!A$2:A1322,
      purchase_order_lines_coldchain!B$2:B1322)),
      "")</f>
        <v/>
      </c>
      <c r="I324" t="str">
        <f t="shared" si="5"/>
        <v>SO-186113</v>
      </c>
      <c r="K324" s="11">
        <v>7</v>
      </c>
      <c r="L324" s="11">
        <v>-7</v>
      </c>
      <c r="M324" s="14">
        <v>15.68</v>
      </c>
      <c r="N324" s="14">
        <v>-109.76</v>
      </c>
      <c r="O324">
        <v>-15.8</v>
      </c>
      <c r="P324" t="s">
        <v>3277</v>
      </c>
    </row>
    <row r="325" spans="1:16" x14ac:dyDescent="0.25">
      <c r="A325" t="s">
        <v>2220</v>
      </c>
      <c r="B325" s="1">
        <v>45754.745138888888</v>
      </c>
      <c r="C325" t="s">
        <v>3278</v>
      </c>
      <c r="D325" t="s">
        <v>964</v>
      </c>
      <c r="E325" t="s">
        <v>615</v>
      </c>
      <c r="G325" t="s">
        <v>2221</v>
      </c>
      <c r="H325" t="str" cm="1">
        <f t="array" ref="H325">IF(AND(G325="",
      C325="Receipt"),
      _xlfn.XLOOKUP(1,
      (purchase_order_lines_coldchain!A325:A1323 = F325) *
      (purchase_order_lines_coldchain!G325:G1323 = E325) *
      (purchase_order_lines_coldchain!D325:D1323 = D325),
      purchase_order_lines_coldchain!B$2:B$1000,
      _xlfn.XLOOKUP(F325,purchase_order_lines_coldchain!A$2:A1323,
      purchase_order_lines_coldchain!B$2:B1323)),
      "")</f>
        <v/>
      </c>
      <c r="I325" t="str">
        <f t="shared" si="5"/>
        <v>SO-197896</v>
      </c>
      <c r="K325" s="11">
        <v>4</v>
      </c>
      <c r="L325" s="11">
        <v>-4</v>
      </c>
      <c r="M325" s="14">
        <v>6.21</v>
      </c>
      <c r="N325" s="14">
        <v>-24.84</v>
      </c>
      <c r="O325">
        <v>-0.3</v>
      </c>
      <c r="P325" t="s">
        <v>3277</v>
      </c>
    </row>
    <row r="326" spans="1:16" x14ac:dyDescent="0.25">
      <c r="A326" t="s">
        <v>2222</v>
      </c>
      <c r="B326" s="1">
        <v>45759.775694444441</v>
      </c>
      <c r="C326" t="s">
        <v>3278</v>
      </c>
      <c r="D326" t="s">
        <v>972</v>
      </c>
      <c r="E326" t="s">
        <v>909</v>
      </c>
      <c r="G326" t="s">
        <v>2223</v>
      </c>
      <c r="H326" t="str" cm="1">
        <f t="array" ref="H326">IF(AND(G326="",
      C326="Receipt"),
      _xlfn.XLOOKUP(1,
      (purchase_order_lines_coldchain!A326:A1324 = F326) *
      (purchase_order_lines_coldchain!G326:G1324 = E326) *
      (purchase_order_lines_coldchain!D326:D1324 = D326),
      purchase_order_lines_coldchain!B$2:B$1000,
      _xlfn.XLOOKUP(F326,purchase_order_lines_coldchain!A$2:A1324,
      purchase_order_lines_coldchain!B$2:B1324)),
      "")</f>
        <v/>
      </c>
      <c r="I326" t="str">
        <f t="shared" si="5"/>
        <v>SO-121892</v>
      </c>
      <c r="K326" s="11">
        <v>7</v>
      </c>
      <c r="L326" s="11">
        <v>-7</v>
      </c>
      <c r="M326" s="14">
        <v>15.97</v>
      </c>
      <c r="N326" s="14">
        <v>-111.79</v>
      </c>
      <c r="O326">
        <v>4.3</v>
      </c>
      <c r="P326" t="s">
        <v>3277</v>
      </c>
    </row>
    <row r="327" spans="1:16" x14ac:dyDescent="0.25">
      <c r="A327" t="s">
        <v>2224</v>
      </c>
      <c r="B327" s="1">
        <v>45757.51666666667</v>
      </c>
      <c r="C327" t="s">
        <v>3278</v>
      </c>
      <c r="D327" t="s">
        <v>990</v>
      </c>
      <c r="E327" t="s">
        <v>759</v>
      </c>
      <c r="G327" t="s">
        <v>2225</v>
      </c>
      <c r="H327" t="str" cm="1">
        <f t="array" ref="H327">IF(AND(G327="",
      C327="Receipt"),
      _xlfn.XLOOKUP(1,
      (purchase_order_lines_coldchain!A327:A1325 = F327) *
      (purchase_order_lines_coldchain!G327:G1325 = E327) *
      (purchase_order_lines_coldchain!D327:D1325 = D327),
      purchase_order_lines_coldchain!B$2:B$1000,
      _xlfn.XLOOKUP(F327,purchase_order_lines_coldchain!A$2:A1325,
      purchase_order_lines_coldchain!B$2:B1325)),
      "")</f>
        <v/>
      </c>
      <c r="I327" t="str">
        <f t="shared" si="5"/>
        <v>SO-158368</v>
      </c>
      <c r="K327" s="11">
        <v>12</v>
      </c>
      <c r="L327" s="11">
        <v>-12</v>
      </c>
      <c r="M327" s="14">
        <v>11.21</v>
      </c>
      <c r="N327" s="14">
        <v>-134.52000000000001</v>
      </c>
      <c r="O327">
        <v>7</v>
      </c>
      <c r="P327" t="s">
        <v>3277</v>
      </c>
    </row>
    <row r="328" spans="1:16" x14ac:dyDescent="0.25">
      <c r="A328" t="s">
        <v>2226</v>
      </c>
      <c r="B328" s="1">
        <v>45749.915277777778</v>
      </c>
      <c r="C328" t="s">
        <v>3278</v>
      </c>
      <c r="D328" t="s">
        <v>968</v>
      </c>
      <c r="E328" t="s">
        <v>939</v>
      </c>
      <c r="G328" t="s">
        <v>2227</v>
      </c>
      <c r="H328" t="str" cm="1">
        <f t="array" ref="H328">IF(AND(G328="",
      C328="Receipt"),
      _xlfn.XLOOKUP(1,
      (purchase_order_lines_coldchain!A328:A1326 = F328) *
      (purchase_order_lines_coldchain!G328:G1326 = E328) *
      (purchase_order_lines_coldchain!D328:D1326 = D328),
      purchase_order_lines_coldchain!B$2:B$1000,
      _xlfn.XLOOKUP(F328,purchase_order_lines_coldchain!A$2:A1326,
      purchase_order_lines_coldchain!B$2:B1326)),
      "")</f>
        <v/>
      </c>
      <c r="I328" t="str">
        <f t="shared" si="5"/>
        <v>SO-172509</v>
      </c>
      <c r="K328" s="11">
        <v>9</v>
      </c>
      <c r="L328" s="11">
        <v>-9</v>
      </c>
      <c r="M328" s="14">
        <v>4.25</v>
      </c>
      <c r="N328" s="14">
        <v>-38.25</v>
      </c>
      <c r="O328">
        <v>0.5</v>
      </c>
      <c r="P328" t="s">
        <v>3277</v>
      </c>
    </row>
    <row r="329" spans="1:16" x14ac:dyDescent="0.25">
      <c r="A329" t="s">
        <v>2228</v>
      </c>
      <c r="B329" s="1">
        <v>45753.306250000001</v>
      </c>
      <c r="C329" t="s">
        <v>3278</v>
      </c>
      <c r="D329" t="s">
        <v>980</v>
      </c>
      <c r="E329" t="s">
        <v>675</v>
      </c>
      <c r="G329" t="s">
        <v>2229</v>
      </c>
      <c r="H329" t="str" cm="1">
        <f t="array" ref="H329">IF(AND(G329="",
      C329="Receipt"),
      _xlfn.XLOOKUP(1,
      (purchase_order_lines_coldchain!A329:A1327 = F329) *
      (purchase_order_lines_coldchain!G329:G1327 = E329) *
      (purchase_order_lines_coldchain!D329:D1327 = D329),
      purchase_order_lines_coldchain!B$2:B$1000,
      _xlfn.XLOOKUP(F329,purchase_order_lines_coldchain!A$2:A1327,
      purchase_order_lines_coldchain!B$2:B1327)),
      "")</f>
        <v/>
      </c>
      <c r="I329" t="str">
        <f t="shared" si="5"/>
        <v>SO-109493</v>
      </c>
      <c r="K329" s="11">
        <v>1</v>
      </c>
      <c r="L329" s="11">
        <v>-1</v>
      </c>
      <c r="M329" s="14">
        <v>6.57</v>
      </c>
      <c r="N329" s="14">
        <v>-6.57</v>
      </c>
      <c r="O329">
        <v>0.1</v>
      </c>
      <c r="P329" t="s">
        <v>3277</v>
      </c>
    </row>
    <row r="330" spans="1:16" x14ac:dyDescent="0.25">
      <c r="A330" t="s">
        <v>2230</v>
      </c>
      <c r="B330" s="1">
        <v>45760.285416666666</v>
      </c>
      <c r="C330" t="s">
        <v>3276</v>
      </c>
      <c r="D330" t="s">
        <v>980</v>
      </c>
      <c r="E330" t="s">
        <v>843</v>
      </c>
      <c r="G330" t="s">
        <v>2231</v>
      </c>
      <c r="H330" t="str" cm="1">
        <f t="array" ref="H330">IF(AND(G330="",
      C330="Receipt"),
      _xlfn.XLOOKUP(1,
      (purchase_order_lines_coldchain!A330:A1328 = F330) *
      (purchase_order_lines_coldchain!G330:G1328 = E330) *
      (purchase_order_lines_coldchain!D330:D1328 = D330),
      purchase_order_lines_coldchain!B$2:B$1000,
      _xlfn.XLOOKUP(F330,purchase_order_lines_coldchain!A$2:A1328,
      purchase_order_lines_coldchain!B$2:B1328)),
      "")</f>
        <v/>
      </c>
      <c r="I330" t="str">
        <f t="shared" si="5"/>
        <v>SO-106213</v>
      </c>
      <c r="K330" s="11">
        <v>7</v>
      </c>
      <c r="L330" s="11">
        <v>-7</v>
      </c>
      <c r="M330" s="14">
        <v>8.1300000000000008</v>
      </c>
      <c r="N330" s="14">
        <v>-56.91</v>
      </c>
      <c r="O330">
        <v>5.4</v>
      </c>
      <c r="P330" t="s">
        <v>3277</v>
      </c>
    </row>
    <row r="331" spans="1:16" x14ac:dyDescent="0.25">
      <c r="A331" t="s">
        <v>2232</v>
      </c>
      <c r="B331" s="1">
        <v>45760.305555555555</v>
      </c>
      <c r="C331" t="s">
        <v>3278</v>
      </c>
      <c r="D331" t="s">
        <v>990</v>
      </c>
      <c r="E331" t="s">
        <v>511</v>
      </c>
      <c r="G331" t="s">
        <v>2233</v>
      </c>
      <c r="H331" t="str" cm="1">
        <f t="array" ref="H331">IF(AND(G331="",
      C331="Receipt"),
      _xlfn.XLOOKUP(1,
      (purchase_order_lines_coldchain!A331:A1329 = F331) *
      (purchase_order_lines_coldchain!G331:G1329 = E331) *
      (purchase_order_lines_coldchain!D331:D1329 = D331),
      purchase_order_lines_coldchain!B$2:B$1000,
      _xlfn.XLOOKUP(F331,purchase_order_lines_coldchain!A$2:A1329,
      purchase_order_lines_coldchain!B$2:B1329)),
      "")</f>
        <v/>
      </c>
      <c r="I331" t="str">
        <f t="shared" si="5"/>
        <v>SO-107203</v>
      </c>
      <c r="K331" s="11">
        <v>4</v>
      </c>
      <c r="L331" s="11">
        <v>-4</v>
      </c>
      <c r="M331" s="14">
        <v>12.97</v>
      </c>
      <c r="N331" s="14">
        <v>-51.88</v>
      </c>
      <c r="O331">
        <v>1.2</v>
      </c>
      <c r="P331" t="s">
        <v>3277</v>
      </c>
    </row>
    <row r="332" spans="1:16" x14ac:dyDescent="0.25">
      <c r="A332" t="s">
        <v>2234</v>
      </c>
      <c r="B332" s="1">
        <v>45761.43472222222</v>
      </c>
      <c r="C332" t="s">
        <v>3278</v>
      </c>
      <c r="D332" t="s">
        <v>990</v>
      </c>
      <c r="E332" t="s">
        <v>888</v>
      </c>
      <c r="G332" t="s">
        <v>2235</v>
      </c>
      <c r="H332" t="str" cm="1">
        <f t="array" ref="H332">IF(AND(G332="",
      C332="Receipt"),
      _xlfn.XLOOKUP(1,
      (purchase_order_lines_coldchain!A332:A1330 = F332) *
      (purchase_order_lines_coldchain!G332:G1330 = E332) *
      (purchase_order_lines_coldchain!D332:D1330 = D332),
      purchase_order_lines_coldchain!B$2:B$1000,
      _xlfn.XLOOKUP(F332,purchase_order_lines_coldchain!A$2:A1330,
      purchase_order_lines_coldchain!B$2:B1330)),
      "")</f>
        <v/>
      </c>
      <c r="I332" t="str">
        <f t="shared" si="5"/>
        <v>SO-113619</v>
      </c>
      <c r="K332" s="11">
        <v>12</v>
      </c>
      <c r="L332" s="11">
        <v>-12</v>
      </c>
      <c r="M332" s="14">
        <v>3.81</v>
      </c>
      <c r="N332" s="14">
        <v>-45.72</v>
      </c>
      <c r="O332">
        <v>4.9000000000000004</v>
      </c>
      <c r="P332" t="s">
        <v>3277</v>
      </c>
    </row>
    <row r="333" spans="1:16" x14ac:dyDescent="0.25">
      <c r="A333" t="s">
        <v>2236</v>
      </c>
      <c r="B333" s="1">
        <v>45748.806944444441</v>
      </c>
      <c r="C333" t="s">
        <v>3278</v>
      </c>
      <c r="D333" t="s">
        <v>968</v>
      </c>
      <c r="E333" t="s">
        <v>855</v>
      </c>
      <c r="G333" t="s">
        <v>2237</v>
      </c>
      <c r="H333" t="str" cm="1">
        <f t="array" ref="H333">IF(AND(G333="",
      C333="Receipt"),
      _xlfn.XLOOKUP(1,
      (purchase_order_lines_coldchain!A333:A1331 = F333) *
      (purchase_order_lines_coldchain!G333:G1331 = E333) *
      (purchase_order_lines_coldchain!D333:D1331 = D333),
      purchase_order_lines_coldchain!B$2:B$1000,
      _xlfn.XLOOKUP(F333,purchase_order_lines_coldchain!A$2:A1331,
      purchase_order_lines_coldchain!B$2:B1331)),
      "")</f>
        <v/>
      </c>
      <c r="I333" t="str">
        <f t="shared" si="5"/>
        <v>SO-151694</v>
      </c>
      <c r="K333" s="11">
        <v>8</v>
      </c>
      <c r="L333" s="11">
        <v>-8</v>
      </c>
      <c r="M333" s="14">
        <v>13.7</v>
      </c>
      <c r="N333" s="14">
        <v>-109.6</v>
      </c>
      <c r="O333">
        <v>2.8</v>
      </c>
      <c r="P333" t="s">
        <v>3277</v>
      </c>
    </row>
    <row r="334" spans="1:16" x14ac:dyDescent="0.25">
      <c r="A334" t="s">
        <v>2238</v>
      </c>
      <c r="B334" s="1">
        <v>45714.839583333334</v>
      </c>
      <c r="C334" t="s">
        <v>3278</v>
      </c>
      <c r="D334" t="s">
        <v>972</v>
      </c>
      <c r="E334" t="s">
        <v>579</v>
      </c>
      <c r="G334" t="s">
        <v>2239</v>
      </c>
      <c r="H334" t="str" cm="1">
        <f t="array" ref="H334">IF(AND(G334="",
      C334="Receipt"),
      _xlfn.XLOOKUP(1,
      (purchase_order_lines_coldchain!A334:A1332 = F334) *
      (purchase_order_lines_coldchain!G334:G1332 = E334) *
      (purchase_order_lines_coldchain!D334:D1332 = D334),
      purchase_order_lines_coldchain!B$2:B$1000,
      _xlfn.XLOOKUP(F334,purchase_order_lines_coldchain!A$2:A1332,
      purchase_order_lines_coldchain!B$2:B1332)),
      "")</f>
        <v/>
      </c>
      <c r="I334" t="str">
        <f t="shared" si="5"/>
        <v>SO-144881</v>
      </c>
      <c r="K334" s="11">
        <v>2</v>
      </c>
      <c r="L334" s="11">
        <v>-2</v>
      </c>
      <c r="M334" s="14">
        <v>6.57</v>
      </c>
      <c r="N334" s="14">
        <v>-13.14</v>
      </c>
      <c r="O334">
        <v>5.8</v>
      </c>
      <c r="P334" t="s">
        <v>3277</v>
      </c>
    </row>
    <row r="335" spans="1:16" x14ac:dyDescent="0.25">
      <c r="A335" t="s">
        <v>2240</v>
      </c>
      <c r="B335" s="1">
        <v>45706.654861111114</v>
      </c>
      <c r="C335" t="s">
        <v>3278</v>
      </c>
      <c r="D335" t="s">
        <v>959</v>
      </c>
      <c r="E335" t="s">
        <v>744</v>
      </c>
      <c r="G335" t="s">
        <v>2241</v>
      </c>
      <c r="H335" t="str" cm="1">
        <f t="array" ref="H335">IF(AND(G335="",
      C335="Receipt"),
      _xlfn.XLOOKUP(1,
      (purchase_order_lines_coldchain!A335:A1333 = F335) *
      (purchase_order_lines_coldchain!G335:G1333 = E335) *
      (purchase_order_lines_coldchain!D335:D1333 = D335),
      purchase_order_lines_coldchain!B$2:B$1000,
      _xlfn.XLOOKUP(F335,purchase_order_lines_coldchain!A$2:A1333,
      purchase_order_lines_coldchain!B$2:B1333)),
      "")</f>
        <v/>
      </c>
      <c r="I335" t="str">
        <f t="shared" si="5"/>
        <v>SO-121519</v>
      </c>
      <c r="K335" s="11">
        <v>9</v>
      </c>
      <c r="L335" s="11">
        <v>-9</v>
      </c>
      <c r="M335" s="14">
        <v>5.39</v>
      </c>
      <c r="N335" s="14">
        <v>-48.51</v>
      </c>
      <c r="O335">
        <v>3.5</v>
      </c>
      <c r="P335" t="s">
        <v>3277</v>
      </c>
    </row>
    <row r="336" spans="1:16" x14ac:dyDescent="0.25">
      <c r="A336" t="s">
        <v>2242</v>
      </c>
      <c r="B336" s="1">
        <v>45748.279861111114</v>
      </c>
      <c r="C336" t="s">
        <v>3276</v>
      </c>
      <c r="D336" t="s">
        <v>999</v>
      </c>
      <c r="E336" t="s">
        <v>780</v>
      </c>
      <c r="G336" t="s">
        <v>2243</v>
      </c>
      <c r="H336" t="str" cm="1">
        <f t="array" ref="H336">IF(AND(G336="",
      C336="Receipt"),
      _xlfn.XLOOKUP(1,
      (purchase_order_lines_coldchain!A336:A1334 = F336) *
      (purchase_order_lines_coldchain!G336:G1334 = E336) *
      (purchase_order_lines_coldchain!D336:D1334 = D336),
      purchase_order_lines_coldchain!B$2:B$1000,
      _xlfn.XLOOKUP(F336,purchase_order_lines_coldchain!A$2:A1334,
      purchase_order_lines_coldchain!B$2:B1334)),
      "")</f>
        <v/>
      </c>
      <c r="I336" t="str">
        <f t="shared" si="5"/>
        <v>SO-146160</v>
      </c>
      <c r="K336" s="11">
        <v>7</v>
      </c>
      <c r="L336" s="11">
        <v>-7</v>
      </c>
      <c r="M336" s="14">
        <v>15.68</v>
      </c>
      <c r="N336" s="14">
        <v>-109.76</v>
      </c>
      <c r="O336">
        <v>-17.2</v>
      </c>
      <c r="P336" t="s">
        <v>3277</v>
      </c>
    </row>
    <row r="337" spans="1:16" x14ac:dyDescent="0.25">
      <c r="A337" t="s">
        <v>2244</v>
      </c>
      <c r="B337" s="1">
        <v>45703.122916666667</v>
      </c>
      <c r="C337" t="s">
        <v>3278</v>
      </c>
      <c r="D337" t="s">
        <v>976</v>
      </c>
      <c r="E337" t="s">
        <v>813</v>
      </c>
      <c r="G337" t="s">
        <v>2245</v>
      </c>
      <c r="H337" t="str" cm="1">
        <f t="array" ref="H337">IF(AND(G337="",
      C337="Receipt"),
      _xlfn.XLOOKUP(1,
      (purchase_order_lines_coldchain!A337:A1335 = F337) *
      (purchase_order_lines_coldchain!G337:G1335 = E337) *
      (purchase_order_lines_coldchain!D337:D1335 = D337),
      purchase_order_lines_coldchain!B$2:B$1000,
      _xlfn.XLOOKUP(F337,purchase_order_lines_coldchain!A$2:A1335,
      purchase_order_lines_coldchain!B$2:B1335)),
      "")</f>
        <v/>
      </c>
      <c r="I337" t="str">
        <f t="shared" si="5"/>
        <v>SO-158398</v>
      </c>
      <c r="K337" s="11">
        <v>4</v>
      </c>
      <c r="L337" s="11">
        <v>-4</v>
      </c>
      <c r="M337" s="14">
        <v>5.94</v>
      </c>
      <c r="N337" s="14">
        <v>-23.76</v>
      </c>
      <c r="O337">
        <v>2.7</v>
      </c>
      <c r="P337" t="s">
        <v>3277</v>
      </c>
    </row>
    <row r="338" spans="1:16" x14ac:dyDescent="0.25">
      <c r="A338" t="s">
        <v>2246</v>
      </c>
      <c r="B338" s="1">
        <v>45694.67291666667</v>
      </c>
      <c r="C338" t="s">
        <v>3278</v>
      </c>
      <c r="D338" t="s">
        <v>959</v>
      </c>
      <c r="E338" t="s">
        <v>570</v>
      </c>
      <c r="G338" t="s">
        <v>2247</v>
      </c>
      <c r="H338" t="str" cm="1">
        <f t="array" ref="H338">IF(AND(G338="",
      C338="Receipt"),
      _xlfn.XLOOKUP(1,
      (purchase_order_lines_coldchain!A338:A1336 = F338) *
      (purchase_order_lines_coldchain!G338:G1336 = E338) *
      (purchase_order_lines_coldchain!D338:D1336 = D338),
      purchase_order_lines_coldchain!B$2:B$1000,
      _xlfn.XLOOKUP(F338,purchase_order_lines_coldchain!A$2:A1336,
      purchase_order_lines_coldchain!B$2:B1336)),
      "")</f>
        <v/>
      </c>
      <c r="I338" t="str">
        <f t="shared" si="5"/>
        <v>SO-166310</v>
      </c>
      <c r="K338" s="11">
        <v>2</v>
      </c>
      <c r="L338" s="11">
        <v>-2</v>
      </c>
      <c r="M338" s="14">
        <v>10.9</v>
      </c>
      <c r="N338" s="14">
        <v>-21.8</v>
      </c>
      <c r="O338">
        <v>-12.6</v>
      </c>
      <c r="P338" t="s">
        <v>3277</v>
      </c>
    </row>
    <row r="339" spans="1:16" x14ac:dyDescent="0.25">
      <c r="A339" t="s">
        <v>2248</v>
      </c>
      <c r="B339" s="1">
        <v>45730.115972222222</v>
      </c>
      <c r="C339" t="s">
        <v>3276</v>
      </c>
      <c r="D339" t="s">
        <v>987</v>
      </c>
      <c r="E339" t="s">
        <v>409</v>
      </c>
      <c r="G339" t="s">
        <v>2249</v>
      </c>
      <c r="H339" t="str" cm="1">
        <f t="array" ref="H339">IF(AND(G339="",
      C339="Receipt"),
      _xlfn.XLOOKUP(1,
      (purchase_order_lines_coldchain!A339:A1337 = F339) *
      (purchase_order_lines_coldchain!G339:G1337 = E339) *
      (purchase_order_lines_coldchain!D339:D1337 = D339),
      purchase_order_lines_coldchain!B$2:B$1000,
      _xlfn.XLOOKUP(F339,purchase_order_lines_coldchain!A$2:A1337,
      purchase_order_lines_coldchain!B$2:B1337)),
      "")</f>
        <v/>
      </c>
      <c r="I339" t="str">
        <f t="shared" si="5"/>
        <v>SO-110494</v>
      </c>
      <c r="K339" s="11">
        <v>5</v>
      </c>
      <c r="L339" s="11">
        <v>-5</v>
      </c>
      <c r="M339" s="14">
        <v>4.96</v>
      </c>
      <c r="N339" s="14">
        <v>-24.8</v>
      </c>
      <c r="O339">
        <v>2.2999999999999998</v>
      </c>
      <c r="P339" t="s">
        <v>3277</v>
      </c>
    </row>
    <row r="340" spans="1:16" x14ac:dyDescent="0.25">
      <c r="A340" t="s">
        <v>2250</v>
      </c>
      <c r="B340" s="1">
        <v>45696.623611111114</v>
      </c>
      <c r="C340" t="s">
        <v>3278</v>
      </c>
      <c r="D340" t="s">
        <v>959</v>
      </c>
      <c r="E340" t="s">
        <v>624</v>
      </c>
      <c r="G340" t="s">
        <v>2251</v>
      </c>
      <c r="H340" t="str" cm="1">
        <f t="array" ref="H340">IF(AND(G340="",
      C340="Receipt"),
      _xlfn.XLOOKUP(1,
      (purchase_order_lines_coldchain!A340:A1338 = F340) *
      (purchase_order_lines_coldchain!G340:G1338 = E340) *
      (purchase_order_lines_coldchain!D340:D1338 = D340),
      purchase_order_lines_coldchain!B$2:B$1000,
      _xlfn.XLOOKUP(F340,purchase_order_lines_coldchain!A$2:A1338,
      purchase_order_lines_coldchain!B$2:B1338)),
      "")</f>
        <v/>
      </c>
      <c r="I340" t="str">
        <f t="shared" si="5"/>
        <v>SO-102487</v>
      </c>
      <c r="K340" s="11">
        <v>1</v>
      </c>
      <c r="L340" s="11">
        <v>-1</v>
      </c>
      <c r="M340" s="14">
        <v>3.81</v>
      </c>
      <c r="N340" s="14">
        <v>-3.81</v>
      </c>
      <c r="O340">
        <v>6.4</v>
      </c>
      <c r="P340" t="s">
        <v>3277</v>
      </c>
    </row>
    <row r="341" spans="1:16" x14ac:dyDescent="0.25">
      <c r="A341" t="s">
        <v>2252</v>
      </c>
      <c r="B341" s="1">
        <v>45703.179861111108</v>
      </c>
      <c r="C341" t="s">
        <v>3278</v>
      </c>
      <c r="D341" t="s">
        <v>999</v>
      </c>
      <c r="E341" t="s">
        <v>744</v>
      </c>
      <c r="G341" t="s">
        <v>2253</v>
      </c>
      <c r="H341" t="str" cm="1">
        <f t="array" ref="H341">IF(AND(G341="",
      C341="Receipt"),
      _xlfn.XLOOKUP(1,
      (purchase_order_lines_coldchain!A341:A1339 = F341) *
      (purchase_order_lines_coldchain!G341:G1339 = E341) *
      (purchase_order_lines_coldchain!D341:D1339 = D341),
      purchase_order_lines_coldchain!B$2:B$1000,
      _xlfn.XLOOKUP(F341,purchase_order_lines_coldchain!A$2:A1339,
      purchase_order_lines_coldchain!B$2:B1339)),
      "")</f>
        <v/>
      </c>
      <c r="I341" t="str">
        <f t="shared" si="5"/>
        <v>SO-151216</v>
      </c>
      <c r="K341" s="11">
        <v>10</v>
      </c>
      <c r="L341" s="11">
        <v>-10</v>
      </c>
      <c r="M341" s="14">
        <v>5.39</v>
      </c>
      <c r="N341" s="14">
        <v>-53.9</v>
      </c>
      <c r="O341">
        <v>2.1</v>
      </c>
      <c r="P341" t="s">
        <v>3277</v>
      </c>
    </row>
    <row r="342" spans="1:16" x14ac:dyDescent="0.25">
      <c r="A342" t="s">
        <v>2254</v>
      </c>
      <c r="B342" s="1">
        <v>45768.75</v>
      </c>
      <c r="C342" t="s">
        <v>3276</v>
      </c>
      <c r="D342" t="s">
        <v>968</v>
      </c>
      <c r="E342" t="s">
        <v>423</v>
      </c>
      <c r="G342" t="s">
        <v>2255</v>
      </c>
      <c r="H342" t="str" cm="1">
        <f t="array" ref="H342">IF(AND(G342="",
      C342="Receipt"),
      _xlfn.XLOOKUP(1,
      (purchase_order_lines_coldchain!A342:A1340 = F342) *
      (purchase_order_lines_coldchain!G342:G1340 = E342) *
      (purchase_order_lines_coldchain!D342:D1340 = D342),
      purchase_order_lines_coldchain!B$2:B$1000,
      _xlfn.XLOOKUP(F342,purchase_order_lines_coldchain!A$2:A1340,
      purchase_order_lines_coldchain!B$2:B1340)),
      "")</f>
        <v/>
      </c>
      <c r="I342" t="str">
        <f t="shared" si="5"/>
        <v>SO-123210</v>
      </c>
      <c r="K342" s="11">
        <v>2</v>
      </c>
      <c r="L342" s="11">
        <v>-2</v>
      </c>
      <c r="M342" s="14">
        <v>15.41</v>
      </c>
      <c r="N342" s="14">
        <v>-30.82</v>
      </c>
      <c r="O342">
        <v>6.4</v>
      </c>
      <c r="P342" t="s">
        <v>3277</v>
      </c>
    </row>
    <row r="343" spans="1:16" x14ac:dyDescent="0.25">
      <c r="A343" t="s">
        <v>2256</v>
      </c>
      <c r="B343" s="1">
        <v>45741.152777777781</v>
      </c>
      <c r="C343" t="s">
        <v>3278</v>
      </c>
      <c r="D343" t="s">
        <v>999</v>
      </c>
      <c r="E343" t="s">
        <v>813</v>
      </c>
      <c r="G343" t="s">
        <v>2257</v>
      </c>
      <c r="H343" t="str" cm="1">
        <f t="array" ref="H343">IF(AND(G343="",
      C343="Receipt"),
      _xlfn.XLOOKUP(1,
      (purchase_order_lines_coldchain!A343:A1341 = F343) *
      (purchase_order_lines_coldchain!G343:G1341 = E343) *
      (purchase_order_lines_coldchain!D343:D1341 = D343),
      purchase_order_lines_coldchain!B$2:B$1000,
      _xlfn.XLOOKUP(F343,purchase_order_lines_coldchain!A$2:A1341,
      purchase_order_lines_coldchain!B$2:B1341)),
      "")</f>
        <v/>
      </c>
      <c r="I343" t="str">
        <f t="shared" si="5"/>
        <v>SO-111526</v>
      </c>
      <c r="K343" s="11">
        <v>1</v>
      </c>
      <c r="L343" s="11">
        <v>-1</v>
      </c>
      <c r="M343" s="14">
        <v>5.94</v>
      </c>
      <c r="N343" s="14">
        <v>-5.94</v>
      </c>
      <c r="O343">
        <v>4.5999999999999996</v>
      </c>
      <c r="P343" t="s">
        <v>3277</v>
      </c>
    </row>
    <row r="344" spans="1:16" x14ac:dyDescent="0.25">
      <c r="A344" t="s">
        <v>2258</v>
      </c>
      <c r="B344" s="1">
        <v>45723.260416666664</v>
      </c>
      <c r="C344" t="s">
        <v>3278</v>
      </c>
      <c r="D344" t="s">
        <v>976</v>
      </c>
      <c r="E344" t="s">
        <v>588</v>
      </c>
      <c r="G344" t="s">
        <v>2259</v>
      </c>
      <c r="H344" t="str" cm="1">
        <f t="array" ref="H344">IF(AND(G344="",
      C344="Receipt"),
      _xlfn.XLOOKUP(1,
      (purchase_order_lines_coldchain!A344:A1342 = F344) *
      (purchase_order_lines_coldchain!G344:G1342 = E344) *
      (purchase_order_lines_coldchain!D344:D1342 = D344),
      purchase_order_lines_coldchain!B$2:B$1000,
      _xlfn.XLOOKUP(F344,purchase_order_lines_coldchain!A$2:A1342,
      purchase_order_lines_coldchain!B$2:B1342)),
      "")</f>
        <v/>
      </c>
      <c r="I344" t="str">
        <f t="shared" si="5"/>
        <v>SO-128078</v>
      </c>
      <c r="K344" s="11">
        <v>1</v>
      </c>
      <c r="L344" s="11">
        <v>-1</v>
      </c>
      <c r="M344" s="14">
        <v>2.57</v>
      </c>
      <c r="N344" s="14">
        <v>-2.57</v>
      </c>
      <c r="O344">
        <v>3.5</v>
      </c>
      <c r="P344" t="s">
        <v>3277</v>
      </c>
    </row>
    <row r="345" spans="1:16" x14ac:dyDescent="0.25">
      <c r="A345" t="s">
        <v>2260</v>
      </c>
      <c r="B345" s="1">
        <v>45766.779861111114</v>
      </c>
      <c r="C345" t="s">
        <v>3278</v>
      </c>
      <c r="D345" t="s">
        <v>972</v>
      </c>
      <c r="E345" t="s">
        <v>942</v>
      </c>
      <c r="G345" t="s">
        <v>2261</v>
      </c>
      <c r="H345" t="str" cm="1">
        <f t="array" ref="H345">IF(AND(G345="",
      C345="Receipt"),
      _xlfn.XLOOKUP(1,
      (purchase_order_lines_coldchain!A345:A1343 = F345) *
      (purchase_order_lines_coldchain!G345:G1343 = E345) *
      (purchase_order_lines_coldchain!D345:D1343 = D345),
      purchase_order_lines_coldchain!B$2:B$1000,
      _xlfn.XLOOKUP(F345,purchase_order_lines_coldchain!A$2:A1343,
      purchase_order_lines_coldchain!B$2:B1343)),
      "")</f>
        <v/>
      </c>
      <c r="I345" t="str">
        <f t="shared" si="5"/>
        <v>SO-104675</v>
      </c>
      <c r="K345" s="11">
        <v>9</v>
      </c>
      <c r="L345" s="11">
        <v>-9</v>
      </c>
      <c r="M345" s="14">
        <v>8.2899999999999991</v>
      </c>
      <c r="N345" s="14">
        <v>-74.61</v>
      </c>
      <c r="O345">
        <v>-2.7</v>
      </c>
      <c r="P345" t="s">
        <v>3277</v>
      </c>
    </row>
    <row r="346" spans="1:16" x14ac:dyDescent="0.25">
      <c r="A346" t="s">
        <v>2262</v>
      </c>
      <c r="B346" s="1">
        <v>45711.637499999997</v>
      </c>
      <c r="C346" t="s">
        <v>3276</v>
      </c>
      <c r="D346" t="s">
        <v>999</v>
      </c>
      <c r="E346" t="s">
        <v>551</v>
      </c>
      <c r="G346" t="s">
        <v>2263</v>
      </c>
      <c r="H346" t="str" cm="1">
        <f t="array" ref="H346">IF(AND(G346="",
      C346="Receipt"),
      _xlfn.XLOOKUP(1,
      (purchase_order_lines_coldchain!A346:A1344 = F346) *
      (purchase_order_lines_coldchain!G346:G1344 = E346) *
      (purchase_order_lines_coldchain!D346:D1344 = D346),
      purchase_order_lines_coldchain!B$2:B$1000,
      _xlfn.XLOOKUP(F346,purchase_order_lines_coldchain!A$2:A1344,
      purchase_order_lines_coldchain!B$2:B1344)),
      "")</f>
        <v/>
      </c>
      <c r="I346" t="str">
        <f t="shared" si="5"/>
        <v>SO-102977</v>
      </c>
      <c r="K346" s="11">
        <v>1</v>
      </c>
      <c r="L346" s="11">
        <v>-1</v>
      </c>
      <c r="M346" s="14">
        <v>17.78</v>
      </c>
      <c r="N346" s="14">
        <v>-17.78</v>
      </c>
      <c r="O346">
        <v>6.7</v>
      </c>
      <c r="P346" t="s">
        <v>3277</v>
      </c>
    </row>
    <row r="347" spans="1:16" x14ac:dyDescent="0.25">
      <c r="A347" t="s">
        <v>2264</v>
      </c>
      <c r="B347" s="1">
        <v>45731.658333333333</v>
      </c>
      <c r="C347" t="s">
        <v>3278</v>
      </c>
      <c r="D347" t="s">
        <v>980</v>
      </c>
      <c r="E347" t="s">
        <v>843</v>
      </c>
      <c r="G347" t="s">
        <v>2265</v>
      </c>
      <c r="H347" t="str" cm="1">
        <f t="array" ref="H347">IF(AND(G347="",
      C347="Receipt"),
      _xlfn.XLOOKUP(1,
      (purchase_order_lines_coldchain!A347:A1345 = F347) *
      (purchase_order_lines_coldchain!G347:G1345 = E347) *
      (purchase_order_lines_coldchain!D347:D1345 = D347),
      purchase_order_lines_coldchain!B$2:B$1000,
      _xlfn.XLOOKUP(F347,purchase_order_lines_coldchain!A$2:A1345,
      purchase_order_lines_coldchain!B$2:B1345)),
      "")</f>
        <v/>
      </c>
      <c r="I347" t="str">
        <f t="shared" si="5"/>
        <v>SO-159813</v>
      </c>
      <c r="K347" s="11">
        <v>5</v>
      </c>
      <c r="L347" s="11">
        <v>-5</v>
      </c>
      <c r="M347" s="14">
        <v>8.1300000000000008</v>
      </c>
      <c r="N347" s="14">
        <v>-40.65</v>
      </c>
      <c r="O347">
        <v>3.8</v>
      </c>
      <c r="P347" t="s">
        <v>3277</v>
      </c>
    </row>
    <row r="348" spans="1:16" x14ac:dyDescent="0.25">
      <c r="A348" t="s">
        <v>2266</v>
      </c>
      <c r="B348" s="1">
        <v>45728.01458333333</v>
      </c>
      <c r="C348" t="s">
        <v>3278</v>
      </c>
      <c r="D348" t="s">
        <v>972</v>
      </c>
      <c r="E348" t="s">
        <v>885</v>
      </c>
      <c r="G348" t="s">
        <v>2267</v>
      </c>
      <c r="H348" t="str" cm="1">
        <f t="array" ref="H348">IF(AND(G348="",
      C348="Receipt"),
      _xlfn.XLOOKUP(1,
      (purchase_order_lines_coldchain!A348:A1346 = F348) *
      (purchase_order_lines_coldchain!G348:G1346 = E348) *
      (purchase_order_lines_coldchain!D348:D1346 = D348),
      purchase_order_lines_coldchain!B$2:B$1000,
      _xlfn.XLOOKUP(F348,purchase_order_lines_coldchain!A$2:A1346,
      purchase_order_lines_coldchain!B$2:B1346)),
      "")</f>
        <v/>
      </c>
      <c r="I348" t="str">
        <f t="shared" si="5"/>
        <v>SO-100459</v>
      </c>
      <c r="K348" s="11">
        <v>9</v>
      </c>
      <c r="L348" s="11">
        <v>-9</v>
      </c>
      <c r="M348" s="14">
        <v>16.3</v>
      </c>
      <c r="N348" s="14">
        <v>-146.69999999999999</v>
      </c>
      <c r="O348">
        <v>0.8</v>
      </c>
      <c r="P348" t="s">
        <v>3277</v>
      </c>
    </row>
    <row r="349" spans="1:16" x14ac:dyDescent="0.25">
      <c r="A349" t="s">
        <v>2268</v>
      </c>
      <c r="B349" s="1">
        <v>45700.911805555559</v>
      </c>
      <c r="C349" t="s">
        <v>3278</v>
      </c>
      <c r="D349" t="s">
        <v>968</v>
      </c>
      <c r="E349" t="s">
        <v>660</v>
      </c>
      <c r="G349" t="s">
        <v>2269</v>
      </c>
      <c r="H349" t="str" cm="1">
        <f t="array" ref="H349">IF(AND(G349="",
      C349="Receipt"),
      _xlfn.XLOOKUP(1,
      (purchase_order_lines_coldchain!A349:A1347 = F349) *
      (purchase_order_lines_coldchain!G349:G1347 = E349) *
      (purchase_order_lines_coldchain!D349:D1347 = D349),
      purchase_order_lines_coldchain!B$2:B$1000,
      _xlfn.XLOOKUP(F349,purchase_order_lines_coldchain!A$2:A1347,
      purchase_order_lines_coldchain!B$2:B1347)),
      "")</f>
        <v/>
      </c>
      <c r="I349" t="str">
        <f t="shared" si="5"/>
        <v>SO-107751</v>
      </c>
      <c r="K349" s="11">
        <v>2</v>
      </c>
      <c r="L349" s="11">
        <v>-2</v>
      </c>
      <c r="M349" s="14">
        <v>13.56</v>
      </c>
      <c r="N349" s="14">
        <v>-27.12</v>
      </c>
      <c r="O349">
        <v>7.1</v>
      </c>
      <c r="P349" t="s">
        <v>3277</v>
      </c>
    </row>
    <row r="350" spans="1:16" x14ac:dyDescent="0.25">
      <c r="A350" t="s">
        <v>2270</v>
      </c>
      <c r="B350" s="1">
        <v>45693.254861111112</v>
      </c>
      <c r="C350" t="s">
        <v>3276</v>
      </c>
      <c r="D350" t="s">
        <v>959</v>
      </c>
      <c r="E350" t="s">
        <v>539</v>
      </c>
      <c r="G350" t="s">
        <v>2271</v>
      </c>
      <c r="H350" t="str" cm="1">
        <f t="array" ref="H350">IF(AND(G350="",
      C350="Receipt"),
      _xlfn.XLOOKUP(1,
      (purchase_order_lines_coldchain!A350:A1348 = F350) *
      (purchase_order_lines_coldchain!G350:G1348 = E350) *
      (purchase_order_lines_coldchain!D350:D1348 = D350),
      purchase_order_lines_coldchain!B$2:B$1000,
      _xlfn.XLOOKUP(F350,purchase_order_lines_coldchain!A$2:A1348,
      purchase_order_lines_coldchain!B$2:B1348)),
      "")</f>
        <v/>
      </c>
      <c r="I350" t="str">
        <f t="shared" si="5"/>
        <v>SO-180405</v>
      </c>
      <c r="K350" s="11">
        <v>2</v>
      </c>
      <c r="L350" s="11">
        <v>-2</v>
      </c>
      <c r="M350" s="14">
        <v>6.71</v>
      </c>
      <c r="N350" s="14">
        <v>-13.42</v>
      </c>
      <c r="O350">
        <v>8.6</v>
      </c>
      <c r="P350" t="s">
        <v>3277</v>
      </c>
    </row>
    <row r="351" spans="1:16" x14ac:dyDescent="0.25">
      <c r="A351" t="s">
        <v>2272</v>
      </c>
      <c r="B351" s="1">
        <v>45728.96875</v>
      </c>
      <c r="C351" t="s">
        <v>3278</v>
      </c>
      <c r="D351" t="s">
        <v>968</v>
      </c>
      <c r="E351" t="s">
        <v>603</v>
      </c>
      <c r="G351" t="s">
        <v>2273</v>
      </c>
      <c r="H351" t="str" cm="1">
        <f t="array" ref="H351">IF(AND(G351="",
      C351="Receipt"),
      _xlfn.XLOOKUP(1,
      (purchase_order_lines_coldchain!A351:A1349 = F351) *
      (purchase_order_lines_coldchain!G351:G1349 = E351) *
      (purchase_order_lines_coldchain!D351:D1349 = D351),
      purchase_order_lines_coldchain!B$2:B$1000,
      _xlfn.XLOOKUP(F351,purchase_order_lines_coldchain!A$2:A1349,
      purchase_order_lines_coldchain!B$2:B1349)),
      "")</f>
        <v/>
      </c>
      <c r="I351" t="str">
        <f t="shared" si="5"/>
        <v>SO-168915</v>
      </c>
      <c r="K351" s="11">
        <v>1</v>
      </c>
      <c r="L351" s="11">
        <v>-1</v>
      </c>
      <c r="M351" s="14">
        <v>4.82</v>
      </c>
      <c r="N351" s="14">
        <v>-4.82</v>
      </c>
      <c r="O351">
        <v>1.4</v>
      </c>
      <c r="P351" t="s">
        <v>3277</v>
      </c>
    </row>
    <row r="352" spans="1:16" x14ac:dyDescent="0.25">
      <c r="A352" t="s">
        <v>2274</v>
      </c>
      <c r="B352" s="1">
        <v>45766.856249999997</v>
      </c>
      <c r="C352" t="s">
        <v>3278</v>
      </c>
      <c r="D352" t="s">
        <v>964</v>
      </c>
      <c r="E352" t="s">
        <v>427</v>
      </c>
      <c r="G352" t="s">
        <v>2275</v>
      </c>
      <c r="H352" t="str" cm="1">
        <f t="array" ref="H352">IF(AND(G352="",
      C352="Receipt"),
      _xlfn.XLOOKUP(1,
      (purchase_order_lines_coldchain!A352:A1350 = F352) *
      (purchase_order_lines_coldchain!G352:G1350 = E352) *
      (purchase_order_lines_coldchain!D352:D1350 = D352),
      purchase_order_lines_coldchain!B$2:B$1000,
      _xlfn.XLOOKUP(F352,purchase_order_lines_coldchain!A$2:A1350,
      purchase_order_lines_coldchain!B$2:B1350)),
      "")</f>
        <v/>
      </c>
      <c r="I352" t="str">
        <f t="shared" si="5"/>
        <v>SO-125299</v>
      </c>
      <c r="K352" s="11">
        <v>4</v>
      </c>
      <c r="L352" s="11">
        <v>-4</v>
      </c>
      <c r="M352" s="14">
        <v>3.74</v>
      </c>
      <c r="N352" s="14">
        <v>-14.96</v>
      </c>
      <c r="O352">
        <v>-0.1</v>
      </c>
      <c r="P352" t="s">
        <v>3277</v>
      </c>
    </row>
    <row r="353" spans="1:16" x14ac:dyDescent="0.25">
      <c r="A353" t="s">
        <v>2276</v>
      </c>
      <c r="B353" s="1">
        <v>45752.637499999997</v>
      </c>
      <c r="C353" t="s">
        <v>3278</v>
      </c>
      <c r="D353" t="s">
        <v>987</v>
      </c>
      <c r="E353" t="s">
        <v>603</v>
      </c>
      <c r="G353" t="s">
        <v>2277</v>
      </c>
      <c r="H353" t="str" cm="1">
        <f t="array" ref="H353">IF(AND(G353="",
      C353="Receipt"),
      _xlfn.XLOOKUP(1,
      (purchase_order_lines_coldchain!A353:A1351 = F353) *
      (purchase_order_lines_coldchain!G353:G1351 = E353) *
      (purchase_order_lines_coldchain!D353:D1351 = D353),
      purchase_order_lines_coldchain!B$2:B$1000,
      _xlfn.XLOOKUP(F353,purchase_order_lines_coldchain!A$2:A1351,
      purchase_order_lines_coldchain!B$2:B1351)),
      "")</f>
        <v/>
      </c>
      <c r="I353" t="str">
        <f t="shared" si="5"/>
        <v>SO-117062</v>
      </c>
      <c r="K353" s="11">
        <v>11</v>
      </c>
      <c r="L353" s="11">
        <v>-11</v>
      </c>
      <c r="M353" s="14">
        <v>4.82</v>
      </c>
      <c r="N353" s="14">
        <v>-53.02</v>
      </c>
      <c r="O353">
        <v>1.9</v>
      </c>
      <c r="P353" t="s">
        <v>3277</v>
      </c>
    </row>
    <row r="354" spans="1:16" x14ac:dyDescent="0.25">
      <c r="A354" t="s">
        <v>2278</v>
      </c>
      <c r="B354" s="1">
        <v>45723.720138888886</v>
      </c>
      <c r="C354" t="s">
        <v>3278</v>
      </c>
      <c r="D354" t="s">
        <v>990</v>
      </c>
      <c r="E354" t="s">
        <v>858</v>
      </c>
      <c r="G354" t="s">
        <v>2279</v>
      </c>
      <c r="H354" t="str" cm="1">
        <f t="array" ref="H354">IF(AND(G354="",
      C354="Receipt"),
      _xlfn.XLOOKUP(1,
      (purchase_order_lines_coldchain!A354:A1352 = F354) *
      (purchase_order_lines_coldchain!G354:G1352 = E354) *
      (purchase_order_lines_coldchain!D354:D1352 = D354),
      purchase_order_lines_coldchain!B$2:B$1000,
      _xlfn.XLOOKUP(F354,purchase_order_lines_coldchain!A$2:A1352,
      purchase_order_lines_coldchain!B$2:B1352)),
      "")</f>
        <v/>
      </c>
      <c r="I354" t="str">
        <f t="shared" si="5"/>
        <v>SO-147790</v>
      </c>
      <c r="K354" s="11">
        <v>3</v>
      </c>
      <c r="L354" s="11">
        <v>-3</v>
      </c>
      <c r="M354" s="14">
        <v>5.99</v>
      </c>
      <c r="N354" s="14">
        <v>-17.97</v>
      </c>
      <c r="O354">
        <v>4.9000000000000004</v>
      </c>
      <c r="P354" t="s">
        <v>3277</v>
      </c>
    </row>
    <row r="355" spans="1:16" x14ac:dyDescent="0.25">
      <c r="A355" t="s">
        <v>2280</v>
      </c>
      <c r="B355" s="1">
        <v>45766.128472222219</v>
      </c>
      <c r="C355" t="s">
        <v>3278</v>
      </c>
      <c r="D355" t="s">
        <v>987</v>
      </c>
      <c r="E355" t="s">
        <v>508</v>
      </c>
      <c r="G355" t="s">
        <v>2281</v>
      </c>
      <c r="H355" t="str" cm="1">
        <f t="array" ref="H355">IF(AND(G355="",
      C355="Receipt"),
      _xlfn.XLOOKUP(1,
      (purchase_order_lines_coldchain!A355:A1353 = F355) *
      (purchase_order_lines_coldchain!G355:G1353 = E355) *
      (purchase_order_lines_coldchain!D355:D1353 = D355),
      purchase_order_lines_coldchain!B$2:B$1000,
      _xlfn.XLOOKUP(F355,purchase_order_lines_coldchain!A$2:A1353,
      purchase_order_lines_coldchain!B$2:B1353)),
      "")</f>
        <v/>
      </c>
      <c r="I355" t="str">
        <f t="shared" si="5"/>
        <v>SO-116523</v>
      </c>
      <c r="K355" s="11">
        <v>4</v>
      </c>
      <c r="L355" s="11">
        <v>-4</v>
      </c>
      <c r="M355" s="14">
        <v>11.66</v>
      </c>
      <c r="N355" s="14">
        <v>-46.64</v>
      </c>
      <c r="O355">
        <v>5.5</v>
      </c>
      <c r="P355" t="s">
        <v>3277</v>
      </c>
    </row>
    <row r="356" spans="1:16" x14ac:dyDescent="0.25">
      <c r="A356" t="s">
        <v>2282</v>
      </c>
      <c r="B356" s="1">
        <v>45769.768055555556</v>
      </c>
      <c r="C356" t="s">
        <v>3278</v>
      </c>
      <c r="D356" t="s">
        <v>959</v>
      </c>
      <c r="E356" t="s">
        <v>539</v>
      </c>
      <c r="G356" t="s">
        <v>2283</v>
      </c>
      <c r="H356" t="str" cm="1">
        <f t="array" ref="H356">IF(AND(G356="",
      C356="Receipt"),
      _xlfn.XLOOKUP(1,
      (purchase_order_lines_coldchain!A356:A1354 = F356) *
      (purchase_order_lines_coldchain!G356:G1354 = E356) *
      (purchase_order_lines_coldchain!D356:D1354 = D356),
      purchase_order_lines_coldchain!B$2:B$1000,
      _xlfn.XLOOKUP(F356,purchase_order_lines_coldchain!A$2:A1354,
      purchase_order_lines_coldchain!B$2:B1354)),
      "")</f>
        <v/>
      </c>
      <c r="I356" t="str">
        <f t="shared" si="5"/>
        <v>SO-115936</v>
      </c>
      <c r="K356" s="11">
        <v>4</v>
      </c>
      <c r="L356" s="11">
        <v>-4</v>
      </c>
      <c r="M356" s="14">
        <v>6.71</v>
      </c>
      <c r="N356" s="14">
        <v>-26.84</v>
      </c>
      <c r="O356">
        <v>3.2</v>
      </c>
      <c r="P356" t="s">
        <v>3277</v>
      </c>
    </row>
    <row r="357" spans="1:16" x14ac:dyDescent="0.25">
      <c r="A357" t="s">
        <v>2284</v>
      </c>
      <c r="B357" s="1">
        <v>45772.802777777775</v>
      </c>
      <c r="C357" t="s">
        <v>3278</v>
      </c>
      <c r="D357" t="s">
        <v>999</v>
      </c>
      <c r="E357" t="s">
        <v>813</v>
      </c>
      <c r="G357" t="s">
        <v>2285</v>
      </c>
      <c r="H357" t="str" cm="1">
        <f t="array" ref="H357">IF(AND(G357="",
      C357="Receipt"),
      _xlfn.XLOOKUP(1,
      (purchase_order_lines_coldchain!A357:A1355 = F357) *
      (purchase_order_lines_coldchain!G357:G1355 = E357) *
      (purchase_order_lines_coldchain!D357:D1355 = D357),
      purchase_order_lines_coldchain!B$2:B$1000,
      _xlfn.XLOOKUP(F357,purchase_order_lines_coldchain!A$2:A1355,
      purchase_order_lines_coldchain!B$2:B1355)),
      "")</f>
        <v/>
      </c>
      <c r="I357" t="str">
        <f t="shared" si="5"/>
        <v>SO-110354</v>
      </c>
      <c r="K357" s="11">
        <v>2</v>
      </c>
      <c r="L357" s="11">
        <v>-2</v>
      </c>
      <c r="M357" s="14">
        <v>5.94</v>
      </c>
      <c r="N357" s="14">
        <v>-11.88</v>
      </c>
      <c r="O357">
        <v>1.4</v>
      </c>
      <c r="P357" t="s">
        <v>3277</v>
      </c>
    </row>
    <row r="358" spans="1:16" x14ac:dyDescent="0.25">
      <c r="A358" t="s">
        <v>2286</v>
      </c>
      <c r="B358" s="1">
        <v>45729.492361111108</v>
      </c>
      <c r="C358" t="s">
        <v>3278</v>
      </c>
      <c r="D358" t="s">
        <v>987</v>
      </c>
      <c r="E358" t="s">
        <v>449</v>
      </c>
      <c r="G358" t="s">
        <v>2287</v>
      </c>
      <c r="H358" t="str" cm="1">
        <f t="array" ref="H358">IF(AND(G358="",
      C358="Receipt"),
      _xlfn.XLOOKUP(1,
      (purchase_order_lines_coldchain!A358:A1356 = F358) *
      (purchase_order_lines_coldchain!G358:G1356 = E358) *
      (purchase_order_lines_coldchain!D358:D1356 = D358),
      purchase_order_lines_coldchain!B$2:B$1000,
      _xlfn.XLOOKUP(F358,purchase_order_lines_coldchain!A$2:A1356,
      purchase_order_lines_coldchain!B$2:B1356)),
      "")</f>
        <v/>
      </c>
      <c r="I358" t="str">
        <f t="shared" si="5"/>
        <v>SO-168251</v>
      </c>
      <c r="K358" s="11">
        <v>5</v>
      </c>
      <c r="L358" s="11">
        <v>-5</v>
      </c>
      <c r="M358" s="14">
        <v>15.08</v>
      </c>
      <c r="N358" s="14">
        <v>-75.400000000000006</v>
      </c>
      <c r="O358">
        <v>4.9000000000000004</v>
      </c>
      <c r="P358" t="s">
        <v>3277</v>
      </c>
    </row>
    <row r="359" spans="1:16" x14ac:dyDescent="0.25">
      <c r="A359" t="s">
        <v>2288</v>
      </c>
      <c r="B359" s="1">
        <v>45749.198611111111</v>
      </c>
      <c r="C359" t="s">
        <v>3278</v>
      </c>
      <c r="D359" t="s">
        <v>999</v>
      </c>
      <c r="E359" t="s">
        <v>837</v>
      </c>
      <c r="G359" t="s">
        <v>2289</v>
      </c>
      <c r="H359" t="str" cm="1">
        <f t="array" ref="H359">IF(AND(G359="",
      C359="Receipt"),
      _xlfn.XLOOKUP(1,
      (purchase_order_lines_coldchain!A359:A1357 = F359) *
      (purchase_order_lines_coldchain!G359:G1357 = E359) *
      (purchase_order_lines_coldchain!D359:D1357 = D359),
      purchase_order_lines_coldchain!B$2:B$1000,
      _xlfn.XLOOKUP(F359,purchase_order_lines_coldchain!A$2:A1357,
      purchase_order_lines_coldchain!B$2:B1357)),
      "")</f>
        <v/>
      </c>
      <c r="I359" t="str">
        <f t="shared" si="5"/>
        <v>SO-119176</v>
      </c>
      <c r="K359" s="11">
        <v>6</v>
      </c>
      <c r="L359" s="11">
        <v>-6</v>
      </c>
      <c r="M359" s="14">
        <v>13.41</v>
      </c>
      <c r="N359" s="14">
        <v>-80.459999999999994</v>
      </c>
      <c r="O359">
        <v>3.6</v>
      </c>
      <c r="P359" t="s">
        <v>3277</v>
      </c>
    </row>
    <row r="360" spans="1:16" x14ac:dyDescent="0.25">
      <c r="A360" t="s">
        <v>2290</v>
      </c>
      <c r="B360" s="1">
        <v>45694.327777777777</v>
      </c>
      <c r="C360" t="s">
        <v>3278</v>
      </c>
      <c r="D360" t="s">
        <v>990</v>
      </c>
      <c r="E360" t="s">
        <v>627</v>
      </c>
      <c r="G360" t="s">
        <v>2291</v>
      </c>
      <c r="H360" t="str" cm="1">
        <f t="array" ref="H360">IF(AND(G360="",
      C360="Receipt"),
      _xlfn.XLOOKUP(1,
      (purchase_order_lines_coldchain!A360:A1358 = F360) *
      (purchase_order_lines_coldchain!G360:G1358 = E360) *
      (purchase_order_lines_coldchain!D360:D1358 = D360),
      purchase_order_lines_coldchain!B$2:B$1000,
      _xlfn.XLOOKUP(F360,purchase_order_lines_coldchain!A$2:A1358,
      purchase_order_lines_coldchain!B$2:B1358)),
      "")</f>
        <v/>
      </c>
      <c r="I360" t="str">
        <f t="shared" si="5"/>
        <v>SO-148434</v>
      </c>
      <c r="K360" s="11">
        <v>11</v>
      </c>
      <c r="L360" s="11">
        <v>-11</v>
      </c>
      <c r="M360" s="14">
        <v>3.26</v>
      </c>
      <c r="N360" s="14">
        <v>-35.86</v>
      </c>
      <c r="O360">
        <v>4.4000000000000004</v>
      </c>
      <c r="P360" t="s">
        <v>3277</v>
      </c>
    </row>
    <row r="361" spans="1:16" x14ac:dyDescent="0.25">
      <c r="A361" t="s">
        <v>2292</v>
      </c>
      <c r="B361" s="1">
        <v>45736.588888888888</v>
      </c>
      <c r="C361" t="s">
        <v>3278</v>
      </c>
      <c r="D361" t="s">
        <v>972</v>
      </c>
      <c r="E361" t="s">
        <v>579</v>
      </c>
      <c r="G361" t="s">
        <v>2293</v>
      </c>
      <c r="H361" t="str" cm="1">
        <f t="array" ref="H361">IF(AND(G361="",
      C361="Receipt"),
      _xlfn.XLOOKUP(1,
      (purchase_order_lines_coldchain!A361:A1359 = F361) *
      (purchase_order_lines_coldchain!G361:G1359 = E361) *
      (purchase_order_lines_coldchain!D361:D1359 = D361),
      purchase_order_lines_coldchain!B$2:B$1000,
      _xlfn.XLOOKUP(F361,purchase_order_lines_coldchain!A$2:A1359,
      purchase_order_lines_coldchain!B$2:B1359)),
      "")</f>
        <v/>
      </c>
      <c r="I361" t="str">
        <f t="shared" si="5"/>
        <v>SO-186633</v>
      </c>
      <c r="K361" s="11">
        <v>6</v>
      </c>
      <c r="L361" s="11">
        <v>-6</v>
      </c>
      <c r="M361" s="14">
        <v>6.57</v>
      </c>
      <c r="N361" s="14">
        <v>-39.42</v>
      </c>
      <c r="O361">
        <v>6.7</v>
      </c>
      <c r="P361" t="s">
        <v>3277</v>
      </c>
    </row>
    <row r="362" spans="1:16" x14ac:dyDescent="0.25">
      <c r="A362" t="s">
        <v>2294</v>
      </c>
      <c r="B362" s="1">
        <v>45693.987500000003</v>
      </c>
      <c r="C362" t="s">
        <v>3278</v>
      </c>
      <c r="D362" t="s">
        <v>964</v>
      </c>
      <c r="E362" t="s">
        <v>437</v>
      </c>
      <c r="G362" t="s">
        <v>2295</v>
      </c>
      <c r="H362" t="str" cm="1">
        <f t="array" ref="H362">IF(AND(G362="",
      C362="Receipt"),
      _xlfn.XLOOKUP(1,
      (purchase_order_lines_coldchain!A362:A1360 = F362) *
      (purchase_order_lines_coldchain!G362:G1360 = E362) *
      (purchase_order_lines_coldchain!D362:D1360 = D362),
      purchase_order_lines_coldchain!B$2:B$1000,
      _xlfn.XLOOKUP(F362,purchase_order_lines_coldchain!A$2:A1360,
      purchase_order_lines_coldchain!B$2:B1360)),
      "")</f>
        <v/>
      </c>
      <c r="I362" t="str">
        <f t="shared" si="5"/>
        <v>SO-131523</v>
      </c>
      <c r="K362" s="11">
        <v>11</v>
      </c>
      <c r="L362" s="11">
        <v>-11</v>
      </c>
      <c r="M362" s="14">
        <v>3.14</v>
      </c>
      <c r="N362" s="14">
        <v>-34.54</v>
      </c>
      <c r="O362">
        <v>5.6</v>
      </c>
      <c r="P362" t="s">
        <v>3277</v>
      </c>
    </row>
    <row r="363" spans="1:16" x14ac:dyDescent="0.25">
      <c r="A363" t="s">
        <v>2296</v>
      </c>
      <c r="B363" s="1">
        <v>45709.011111111111</v>
      </c>
      <c r="C363" t="s">
        <v>3276</v>
      </c>
      <c r="D363" t="s">
        <v>972</v>
      </c>
      <c r="E363" t="s">
        <v>579</v>
      </c>
      <c r="G363" t="s">
        <v>2297</v>
      </c>
      <c r="H363" t="str" cm="1">
        <f t="array" ref="H363">IF(AND(G363="",
      C363="Receipt"),
      _xlfn.XLOOKUP(1,
      (purchase_order_lines_coldchain!A363:A1361 = F363) *
      (purchase_order_lines_coldchain!G363:G1361 = E363) *
      (purchase_order_lines_coldchain!D363:D1361 = D363),
      purchase_order_lines_coldchain!B$2:B$1000,
      _xlfn.XLOOKUP(F363,purchase_order_lines_coldchain!A$2:A1361,
      purchase_order_lines_coldchain!B$2:B1361)),
      "")</f>
        <v/>
      </c>
      <c r="I363" t="str">
        <f t="shared" si="5"/>
        <v>SO-162031</v>
      </c>
      <c r="K363" s="11">
        <v>7</v>
      </c>
      <c r="L363" s="11">
        <v>-7</v>
      </c>
      <c r="M363" s="14">
        <v>6.57</v>
      </c>
      <c r="N363" s="14">
        <v>-45.99</v>
      </c>
      <c r="O363">
        <v>3.4</v>
      </c>
      <c r="P363" t="s">
        <v>3277</v>
      </c>
    </row>
    <row r="364" spans="1:16" x14ac:dyDescent="0.25">
      <c r="A364" t="s">
        <v>2298</v>
      </c>
      <c r="B364" s="1">
        <v>45714.492361111108</v>
      </c>
      <c r="C364" t="s">
        <v>3276</v>
      </c>
      <c r="D364" t="s">
        <v>999</v>
      </c>
      <c r="E364" t="s">
        <v>807</v>
      </c>
      <c r="G364" t="s">
        <v>2299</v>
      </c>
      <c r="H364" t="str" cm="1">
        <f t="array" ref="H364">IF(AND(G364="",
      C364="Receipt"),
      _xlfn.XLOOKUP(1,
      (purchase_order_lines_coldchain!A364:A1362 = F364) *
      (purchase_order_lines_coldchain!G364:G1362 = E364) *
      (purchase_order_lines_coldchain!D364:D1362 = D364),
      purchase_order_lines_coldchain!B$2:B$1000,
      _xlfn.XLOOKUP(F364,purchase_order_lines_coldchain!A$2:A1362,
      purchase_order_lines_coldchain!B$2:B1362)),
      "")</f>
        <v/>
      </c>
      <c r="I364" t="str">
        <f t="shared" si="5"/>
        <v>SO-135538</v>
      </c>
      <c r="K364" s="11">
        <v>5</v>
      </c>
      <c r="L364" s="11">
        <v>-5</v>
      </c>
      <c r="M364" s="14">
        <v>13.57</v>
      </c>
      <c r="N364" s="14">
        <v>-67.849999999999994</v>
      </c>
      <c r="O364">
        <v>4.7</v>
      </c>
      <c r="P364" t="s">
        <v>3277</v>
      </c>
    </row>
    <row r="365" spans="1:16" x14ac:dyDescent="0.25">
      <c r="A365" t="s">
        <v>2300</v>
      </c>
      <c r="B365" s="1">
        <v>45706.074999999997</v>
      </c>
      <c r="C365" t="s">
        <v>3278</v>
      </c>
      <c r="D365" t="s">
        <v>996</v>
      </c>
      <c r="E365" t="s">
        <v>813</v>
      </c>
      <c r="G365" t="s">
        <v>2301</v>
      </c>
      <c r="H365" t="str" cm="1">
        <f t="array" ref="H365">IF(AND(G365="",
      C365="Receipt"),
      _xlfn.XLOOKUP(1,
      (purchase_order_lines_coldchain!A365:A1363 = F365) *
      (purchase_order_lines_coldchain!G365:G1363 = E365) *
      (purchase_order_lines_coldchain!D365:D1363 = D365),
      purchase_order_lines_coldchain!B$2:B$1000,
      _xlfn.XLOOKUP(F365,purchase_order_lines_coldchain!A$2:A1363,
      purchase_order_lines_coldchain!B$2:B1363)),
      "")</f>
        <v/>
      </c>
      <c r="I365" t="str">
        <f t="shared" si="5"/>
        <v>SO-139543</v>
      </c>
      <c r="K365" s="11">
        <v>6</v>
      </c>
      <c r="L365" s="11">
        <v>-6</v>
      </c>
      <c r="M365" s="14">
        <v>5.94</v>
      </c>
      <c r="N365" s="14">
        <v>-35.64</v>
      </c>
      <c r="O365">
        <v>6.1</v>
      </c>
      <c r="P365" t="s">
        <v>3277</v>
      </c>
    </row>
    <row r="366" spans="1:16" x14ac:dyDescent="0.25">
      <c r="A366" t="s">
        <v>2302</v>
      </c>
      <c r="B366" s="1">
        <v>45754.175694444442</v>
      </c>
      <c r="C366" t="s">
        <v>3278</v>
      </c>
      <c r="D366" t="s">
        <v>987</v>
      </c>
      <c r="E366" t="s">
        <v>915</v>
      </c>
      <c r="G366" t="s">
        <v>2303</v>
      </c>
      <c r="H366" t="str" cm="1">
        <f t="array" ref="H366">IF(AND(G366="",
      C366="Receipt"),
      _xlfn.XLOOKUP(1,
      (purchase_order_lines_coldchain!A366:A1364 = F366) *
      (purchase_order_lines_coldchain!G366:G1364 = E366) *
      (purchase_order_lines_coldchain!D366:D1364 = D366),
      purchase_order_lines_coldchain!B$2:B$1000,
      _xlfn.XLOOKUP(F366,purchase_order_lines_coldchain!A$2:A1364,
      purchase_order_lines_coldchain!B$2:B1364)),
      "")</f>
        <v/>
      </c>
      <c r="I366" t="str">
        <f t="shared" si="5"/>
        <v>SO-144833</v>
      </c>
      <c r="K366" s="11">
        <v>3</v>
      </c>
      <c r="L366" s="11">
        <v>-3</v>
      </c>
      <c r="M366" s="14">
        <v>10.3</v>
      </c>
      <c r="N366" s="14">
        <v>-30.9</v>
      </c>
      <c r="O366">
        <v>0.5</v>
      </c>
      <c r="P366" t="s">
        <v>3277</v>
      </c>
    </row>
    <row r="367" spans="1:16" x14ac:dyDescent="0.25">
      <c r="A367" t="s">
        <v>2304</v>
      </c>
      <c r="B367" s="1">
        <v>45703.175694444442</v>
      </c>
      <c r="C367" t="s">
        <v>3278</v>
      </c>
      <c r="D367" t="s">
        <v>980</v>
      </c>
      <c r="E367" t="s">
        <v>699</v>
      </c>
      <c r="G367" t="s">
        <v>2305</v>
      </c>
      <c r="H367" t="str" cm="1">
        <f t="array" ref="H367">IF(AND(G367="",
      C367="Receipt"),
      _xlfn.XLOOKUP(1,
      (purchase_order_lines_coldchain!A367:A1365 = F367) *
      (purchase_order_lines_coldchain!G367:G1365 = E367) *
      (purchase_order_lines_coldchain!D367:D1365 = D367),
      purchase_order_lines_coldchain!B$2:B$1000,
      _xlfn.XLOOKUP(F367,purchase_order_lines_coldchain!A$2:A1365,
      purchase_order_lines_coldchain!B$2:B1365)),
      "")</f>
        <v/>
      </c>
      <c r="I367" t="str">
        <f t="shared" si="5"/>
        <v>SO-105146</v>
      </c>
      <c r="K367" s="11">
        <v>1</v>
      </c>
      <c r="L367" s="11">
        <v>-1</v>
      </c>
      <c r="M367" s="14">
        <v>1.8</v>
      </c>
      <c r="N367" s="14">
        <v>-1.8</v>
      </c>
      <c r="O367">
        <v>7.3</v>
      </c>
      <c r="P367" t="s">
        <v>3277</v>
      </c>
    </row>
    <row r="368" spans="1:16" x14ac:dyDescent="0.25">
      <c r="A368" t="s">
        <v>2306</v>
      </c>
      <c r="B368" s="1">
        <v>45701.582638888889</v>
      </c>
      <c r="C368" t="s">
        <v>3278</v>
      </c>
      <c r="D368" t="s">
        <v>968</v>
      </c>
      <c r="E368" t="s">
        <v>466</v>
      </c>
      <c r="G368" t="s">
        <v>2307</v>
      </c>
      <c r="H368" t="str" cm="1">
        <f t="array" ref="H368">IF(AND(G368="",
      C368="Receipt"),
      _xlfn.XLOOKUP(1,
      (purchase_order_lines_coldchain!A368:A1366 = F368) *
      (purchase_order_lines_coldchain!G368:G1366 = E368) *
      (purchase_order_lines_coldchain!D368:D1366 = D368),
      purchase_order_lines_coldchain!B$2:B$1000,
      _xlfn.XLOOKUP(F368,purchase_order_lines_coldchain!A$2:A1366,
      purchase_order_lines_coldchain!B$2:B1366)),
      "")</f>
        <v/>
      </c>
      <c r="I368" t="str">
        <f t="shared" si="5"/>
        <v>SO-121236</v>
      </c>
      <c r="K368" s="11">
        <v>5</v>
      </c>
      <c r="L368" s="11">
        <v>-5</v>
      </c>
      <c r="M368" s="14">
        <v>7.78</v>
      </c>
      <c r="N368" s="14">
        <v>-38.9</v>
      </c>
      <c r="O368">
        <v>6.1</v>
      </c>
      <c r="P368" t="s">
        <v>3277</v>
      </c>
    </row>
    <row r="369" spans="1:16" x14ac:dyDescent="0.25">
      <c r="A369" t="s">
        <v>2308</v>
      </c>
      <c r="B369" s="1">
        <v>45710.688194444447</v>
      </c>
      <c r="C369" t="s">
        <v>3278</v>
      </c>
      <c r="D369" t="s">
        <v>968</v>
      </c>
      <c r="E369" t="s">
        <v>630</v>
      </c>
      <c r="G369" t="s">
        <v>2309</v>
      </c>
      <c r="H369" t="str" cm="1">
        <f t="array" ref="H369">IF(AND(G369="",
      C369="Receipt"),
      _xlfn.XLOOKUP(1,
      (purchase_order_lines_coldchain!A369:A1367 = F369) *
      (purchase_order_lines_coldchain!G369:G1367 = E369) *
      (purchase_order_lines_coldchain!D369:D1367 = D369),
      purchase_order_lines_coldchain!B$2:B$1000,
      _xlfn.XLOOKUP(F369,purchase_order_lines_coldchain!A$2:A1367,
      purchase_order_lines_coldchain!B$2:B1367)),
      "")</f>
        <v/>
      </c>
      <c r="I369" t="str">
        <f t="shared" si="5"/>
        <v>SO-118835</v>
      </c>
      <c r="K369" s="11">
        <v>9</v>
      </c>
      <c r="L369" s="11">
        <v>-9</v>
      </c>
      <c r="M369" s="14">
        <v>12.15</v>
      </c>
      <c r="N369" s="14">
        <v>-109.35</v>
      </c>
      <c r="O369">
        <v>5.2</v>
      </c>
      <c r="P369" t="s">
        <v>3277</v>
      </c>
    </row>
    <row r="370" spans="1:16" x14ac:dyDescent="0.25">
      <c r="A370" t="s">
        <v>2310</v>
      </c>
      <c r="B370" s="1">
        <v>45714.041666666664</v>
      </c>
      <c r="C370" t="s">
        <v>3276</v>
      </c>
      <c r="D370" t="s">
        <v>968</v>
      </c>
      <c r="E370" t="s">
        <v>939</v>
      </c>
      <c r="G370" t="s">
        <v>2311</v>
      </c>
      <c r="H370" t="str" cm="1">
        <f t="array" ref="H370">IF(AND(G370="",
      C370="Receipt"),
      _xlfn.XLOOKUP(1,
      (purchase_order_lines_coldchain!A370:A1368 = F370) *
      (purchase_order_lines_coldchain!G370:G1368 = E370) *
      (purchase_order_lines_coldchain!D370:D1368 = D370),
      purchase_order_lines_coldchain!B$2:B$1000,
      _xlfn.XLOOKUP(F370,purchase_order_lines_coldchain!A$2:A1368,
      purchase_order_lines_coldchain!B$2:B1368)),
      "")</f>
        <v/>
      </c>
      <c r="I370" t="str">
        <f t="shared" si="5"/>
        <v>SO-152515</v>
      </c>
      <c r="K370" s="11">
        <v>12</v>
      </c>
      <c r="L370" s="11">
        <v>-12</v>
      </c>
      <c r="M370" s="14">
        <v>4.25</v>
      </c>
      <c r="N370" s="14">
        <v>-51</v>
      </c>
      <c r="O370">
        <v>0.8</v>
      </c>
      <c r="P370" t="s">
        <v>3277</v>
      </c>
    </row>
    <row r="371" spans="1:16" x14ac:dyDescent="0.25">
      <c r="A371" t="s">
        <v>2312</v>
      </c>
      <c r="B371" s="1">
        <v>45749.944444444445</v>
      </c>
      <c r="C371" t="s">
        <v>3276</v>
      </c>
      <c r="D371" t="s">
        <v>996</v>
      </c>
      <c r="E371" t="s">
        <v>675</v>
      </c>
      <c r="G371" t="s">
        <v>2313</v>
      </c>
      <c r="H371" t="str" cm="1">
        <f t="array" ref="H371">IF(AND(G371="",
      C371="Receipt"),
      _xlfn.XLOOKUP(1,
      (purchase_order_lines_coldchain!A371:A1369 = F371) *
      (purchase_order_lines_coldchain!G371:G1369 = E371) *
      (purchase_order_lines_coldchain!D371:D1369 = D371),
      purchase_order_lines_coldchain!B$2:B$1000,
      _xlfn.XLOOKUP(F371,purchase_order_lines_coldchain!A$2:A1369,
      purchase_order_lines_coldchain!B$2:B1369)),
      "")</f>
        <v/>
      </c>
      <c r="I371" t="str">
        <f t="shared" si="5"/>
        <v>SO-122661</v>
      </c>
      <c r="K371" s="11">
        <v>6</v>
      </c>
      <c r="L371" s="11">
        <v>-6</v>
      </c>
      <c r="M371" s="14">
        <v>6.57</v>
      </c>
      <c r="N371" s="14">
        <v>-39.42</v>
      </c>
      <c r="O371">
        <v>4.9000000000000004</v>
      </c>
      <c r="P371" t="s">
        <v>3277</v>
      </c>
    </row>
    <row r="372" spans="1:16" x14ac:dyDescent="0.25">
      <c r="A372" t="s">
        <v>2314</v>
      </c>
      <c r="B372" s="1">
        <v>45733.644444444442</v>
      </c>
      <c r="C372" t="s">
        <v>3278</v>
      </c>
      <c r="D372" t="s">
        <v>964</v>
      </c>
      <c r="E372" t="s">
        <v>681</v>
      </c>
      <c r="G372" t="s">
        <v>2315</v>
      </c>
      <c r="H372" t="str" cm="1">
        <f t="array" ref="H372">IF(AND(G372="",
      C372="Receipt"),
      _xlfn.XLOOKUP(1,
      (purchase_order_lines_coldchain!A372:A1370 = F372) *
      (purchase_order_lines_coldchain!G372:G1370 = E372) *
      (purchase_order_lines_coldchain!D372:D1370 = D372),
      purchase_order_lines_coldchain!B$2:B$1000,
      _xlfn.XLOOKUP(F372,purchase_order_lines_coldchain!A$2:A1370,
      purchase_order_lines_coldchain!B$2:B1370)),
      "")</f>
        <v/>
      </c>
      <c r="I372" t="str">
        <f t="shared" si="5"/>
        <v>SO-164647</v>
      </c>
      <c r="K372" s="11">
        <v>3</v>
      </c>
      <c r="L372" s="11">
        <v>-3</v>
      </c>
      <c r="M372" s="14">
        <v>4.38</v>
      </c>
      <c r="N372" s="14">
        <v>-13.14</v>
      </c>
      <c r="O372">
        <v>0.8</v>
      </c>
      <c r="P372" t="s">
        <v>3277</v>
      </c>
    </row>
    <row r="373" spans="1:16" x14ac:dyDescent="0.25">
      <c r="A373" t="s">
        <v>2316</v>
      </c>
      <c r="B373" s="1">
        <v>45742.713194444441</v>
      </c>
      <c r="C373" t="s">
        <v>3278</v>
      </c>
      <c r="D373" t="s">
        <v>999</v>
      </c>
      <c r="E373" t="s">
        <v>539</v>
      </c>
      <c r="G373" t="s">
        <v>2317</v>
      </c>
      <c r="H373" t="str" cm="1">
        <f t="array" ref="H373">IF(AND(G373="",
      C373="Receipt"),
      _xlfn.XLOOKUP(1,
      (purchase_order_lines_coldchain!A373:A1371 = F373) *
      (purchase_order_lines_coldchain!G373:G1371 = E373) *
      (purchase_order_lines_coldchain!D373:D1371 = D373),
      purchase_order_lines_coldchain!B$2:B$1000,
      _xlfn.XLOOKUP(F373,purchase_order_lines_coldchain!A$2:A1371,
      purchase_order_lines_coldchain!B$2:B1371)),
      "")</f>
        <v/>
      </c>
      <c r="I373" t="str">
        <f t="shared" si="5"/>
        <v>SO-164253</v>
      </c>
      <c r="K373" s="11">
        <v>2</v>
      </c>
      <c r="L373" s="11">
        <v>-2</v>
      </c>
      <c r="M373" s="14">
        <v>6.71</v>
      </c>
      <c r="N373" s="14">
        <v>-13.42</v>
      </c>
      <c r="O373">
        <v>8.1</v>
      </c>
      <c r="P373" t="s">
        <v>3277</v>
      </c>
    </row>
    <row r="374" spans="1:16" x14ac:dyDescent="0.25">
      <c r="A374" t="s">
        <v>2318</v>
      </c>
      <c r="B374" s="1">
        <v>45739.25</v>
      </c>
      <c r="C374" t="s">
        <v>3276</v>
      </c>
      <c r="D374" t="s">
        <v>987</v>
      </c>
      <c r="E374" t="s">
        <v>618</v>
      </c>
      <c r="G374" t="s">
        <v>1678</v>
      </c>
      <c r="H374" t="str" cm="1">
        <f t="array" ref="H374">IF(AND(G374="",
      C374="Receipt"),
      _xlfn.XLOOKUP(1,
      (purchase_order_lines_coldchain!A374:A1372 = F374) *
      (purchase_order_lines_coldchain!G374:G1372 = E374) *
      (purchase_order_lines_coldchain!D374:D1372 = D374),
      purchase_order_lines_coldchain!B$2:B$1000,
      _xlfn.XLOOKUP(F374,purchase_order_lines_coldchain!A$2:A1372,
      purchase_order_lines_coldchain!B$2:B1372)),
      "")</f>
        <v/>
      </c>
      <c r="I374" t="str">
        <f t="shared" si="5"/>
        <v/>
      </c>
      <c r="K374" s="11">
        <v>2</v>
      </c>
      <c r="L374" s="11">
        <v>-2</v>
      </c>
      <c r="M374" s="14">
        <v>10.01</v>
      </c>
      <c r="N374" s="14">
        <v>-20.02</v>
      </c>
      <c r="O374">
        <v>1.1000000000000001</v>
      </c>
      <c r="P374" t="s">
        <v>3277</v>
      </c>
    </row>
    <row r="375" spans="1:16" x14ac:dyDescent="0.25">
      <c r="A375" t="s">
        <v>2319</v>
      </c>
      <c r="B375" s="1">
        <v>45765.711111111108</v>
      </c>
      <c r="C375" t="s">
        <v>3276</v>
      </c>
      <c r="D375" t="s">
        <v>980</v>
      </c>
      <c r="E375" t="s">
        <v>452</v>
      </c>
      <c r="G375" t="s">
        <v>2320</v>
      </c>
      <c r="H375" t="str" cm="1">
        <f t="array" ref="H375">IF(AND(G375="",
      C375="Receipt"),
      _xlfn.XLOOKUP(1,
      (purchase_order_lines_coldchain!A375:A1373 = F375) *
      (purchase_order_lines_coldchain!G375:G1373 = E375) *
      (purchase_order_lines_coldchain!D375:D1373 = D375),
      purchase_order_lines_coldchain!B$2:B$1000,
      _xlfn.XLOOKUP(F375,purchase_order_lines_coldchain!A$2:A1373,
      purchase_order_lines_coldchain!B$2:B1373)),
      "")</f>
        <v/>
      </c>
      <c r="I375" t="str">
        <f t="shared" si="5"/>
        <v>SO-119810</v>
      </c>
      <c r="K375" s="11">
        <v>10</v>
      </c>
      <c r="L375" s="11">
        <v>-10</v>
      </c>
      <c r="M375" s="14">
        <v>12.39</v>
      </c>
      <c r="N375" s="14">
        <v>-123.9</v>
      </c>
      <c r="O375">
        <v>2</v>
      </c>
      <c r="P375" t="s">
        <v>3277</v>
      </c>
    </row>
    <row r="376" spans="1:16" x14ac:dyDescent="0.25">
      <c r="A376" t="s">
        <v>2321</v>
      </c>
      <c r="B376" s="1">
        <v>45756.65902777778</v>
      </c>
      <c r="C376" t="s">
        <v>3276</v>
      </c>
      <c r="D376" t="s">
        <v>990</v>
      </c>
      <c r="E376" t="s">
        <v>858</v>
      </c>
      <c r="G376" t="s">
        <v>2322</v>
      </c>
      <c r="H376" t="str" cm="1">
        <f t="array" ref="H376">IF(AND(G376="",
      C376="Receipt"),
      _xlfn.XLOOKUP(1,
      (purchase_order_lines_coldchain!A376:A1374 = F376) *
      (purchase_order_lines_coldchain!G376:G1374 = E376) *
      (purchase_order_lines_coldchain!D376:D1374 = D376),
      purchase_order_lines_coldchain!B$2:B$1000,
      _xlfn.XLOOKUP(F376,purchase_order_lines_coldchain!A$2:A1374,
      purchase_order_lines_coldchain!B$2:B1374)),
      "")</f>
        <v/>
      </c>
      <c r="I376" t="str">
        <f t="shared" si="5"/>
        <v>SO-184075</v>
      </c>
      <c r="K376" s="11">
        <v>4</v>
      </c>
      <c r="L376" s="11">
        <v>-4</v>
      </c>
      <c r="M376" s="14">
        <v>5.99</v>
      </c>
      <c r="N376" s="14">
        <v>-23.96</v>
      </c>
      <c r="O376">
        <v>-2.9</v>
      </c>
      <c r="P376" t="s">
        <v>3277</v>
      </c>
    </row>
    <row r="377" spans="1:16" x14ac:dyDescent="0.25">
      <c r="A377" t="s">
        <v>2323</v>
      </c>
      <c r="B377" s="1">
        <v>45707.15902777778</v>
      </c>
      <c r="C377" t="s">
        <v>3278</v>
      </c>
      <c r="D377" t="s">
        <v>999</v>
      </c>
      <c r="E377" t="s">
        <v>744</v>
      </c>
      <c r="G377" t="s">
        <v>2324</v>
      </c>
      <c r="H377" t="str" cm="1">
        <f t="array" ref="H377">IF(AND(G377="",
      C377="Receipt"),
      _xlfn.XLOOKUP(1,
      (purchase_order_lines_coldchain!A377:A1375 = F377) *
      (purchase_order_lines_coldchain!G377:G1375 = E377) *
      (purchase_order_lines_coldchain!D377:D1375 = D377),
      purchase_order_lines_coldchain!B$2:B$1000,
      _xlfn.XLOOKUP(F377,purchase_order_lines_coldchain!A$2:A1375,
      purchase_order_lines_coldchain!B$2:B1375)),
      "")</f>
        <v/>
      </c>
      <c r="I377" t="str">
        <f t="shared" si="5"/>
        <v>SO-117147</v>
      </c>
      <c r="K377" s="11">
        <v>9</v>
      </c>
      <c r="L377" s="11">
        <v>-9</v>
      </c>
      <c r="M377" s="14">
        <v>5.39</v>
      </c>
      <c r="N377" s="14">
        <v>-48.51</v>
      </c>
      <c r="O377">
        <v>7</v>
      </c>
      <c r="P377" t="s">
        <v>3277</v>
      </c>
    </row>
    <row r="378" spans="1:16" x14ac:dyDescent="0.25">
      <c r="A378" t="s">
        <v>2325</v>
      </c>
      <c r="B378" s="1">
        <v>45722.433333333334</v>
      </c>
      <c r="C378" t="s">
        <v>3278</v>
      </c>
      <c r="D378" t="s">
        <v>959</v>
      </c>
      <c r="E378" t="s">
        <v>708</v>
      </c>
      <c r="G378" t="s">
        <v>2326</v>
      </c>
      <c r="H378" t="str" cm="1">
        <f t="array" ref="H378">IF(AND(G378="",
      C378="Receipt"),
      _xlfn.XLOOKUP(1,
      (purchase_order_lines_coldchain!A378:A1376 = F378) *
      (purchase_order_lines_coldchain!G378:G1376 = E378) *
      (purchase_order_lines_coldchain!D378:D1376 = D378),
      purchase_order_lines_coldchain!B$2:B$1000,
      _xlfn.XLOOKUP(F378,purchase_order_lines_coldchain!A$2:A1376,
      purchase_order_lines_coldchain!B$2:B1376)),
      "")</f>
        <v/>
      </c>
      <c r="I378" t="str">
        <f t="shared" si="5"/>
        <v>SO-105559</v>
      </c>
      <c r="K378" s="11">
        <v>12</v>
      </c>
      <c r="L378" s="11">
        <v>-12</v>
      </c>
      <c r="M378" s="14">
        <v>10.130000000000001</v>
      </c>
      <c r="N378" s="14">
        <v>-121.56</v>
      </c>
      <c r="O378">
        <v>3.2</v>
      </c>
      <c r="P378" t="s">
        <v>3277</v>
      </c>
    </row>
    <row r="379" spans="1:16" x14ac:dyDescent="0.25">
      <c r="A379" t="s">
        <v>2327</v>
      </c>
      <c r="B379" s="1">
        <v>45710.973611111112</v>
      </c>
      <c r="C379" t="s">
        <v>3278</v>
      </c>
      <c r="D379" t="s">
        <v>987</v>
      </c>
      <c r="E379" t="s">
        <v>557</v>
      </c>
      <c r="G379" t="s">
        <v>2328</v>
      </c>
      <c r="H379" t="str" cm="1">
        <f t="array" ref="H379">IF(AND(G379="",
      C379="Receipt"),
      _xlfn.XLOOKUP(1,
      (purchase_order_lines_coldchain!A379:A1377 = F379) *
      (purchase_order_lines_coldchain!G379:G1377 = E379) *
      (purchase_order_lines_coldchain!D379:D1377 = D379),
      purchase_order_lines_coldchain!B$2:B$1000,
      _xlfn.XLOOKUP(F379,purchase_order_lines_coldchain!A$2:A1377,
      purchase_order_lines_coldchain!B$2:B1377)),
      "")</f>
        <v/>
      </c>
      <c r="I379" t="str">
        <f t="shared" si="5"/>
        <v>SO-154992</v>
      </c>
      <c r="K379" s="11">
        <v>11</v>
      </c>
      <c r="L379" s="11">
        <v>-11</v>
      </c>
      <c r="M379" s="14">
        <v>1.77</v>
      </c>
      <c r="N379" s="14">
        <v>-19.47</v>
      </c>
      <c r="O379">
        <v>4.9000000000000004</v>
      </c>
      <c r="P379" t="s">
        <v>3277</v>
      </c>
    </row>
    <row r="380" spans="1:16" x14ac:dyDescent="0.25">
      <c r="A380" t="s">
        <v>2329</v>
      </c>
      <c r="B380" s="1">
        <v>45777.078472222223</v>
      </c>
      <c r="C380" t="s">
        <v>3276</v>
      </c>
      <c r="D380" t="s">
        <v>987</v>
      </c>
      <c r="E380" t="s">
        <v>514</v>
      </c>
      <c r="G380" t="s">
        <v>2330</v>
      </c>
      <c r="H380" t="str" cm="1">
        <f t="array" ref="H380">IF(AND(G380="",
      C380="Receipt"),
      _xlfn.XLOOKUP(1,
      (purchase_order_lines_coldchain!A380:A1378 = F380) *
      (purchase_order_lines_coldchain!G380:G1378 = E380) *
      (purchase_order_lines_coldchain!D380:D1378 = D380),
      purchase_order_lines_coldchain!B$2:B$1000,
      _xlfn.XLOOKUP(F380,purchase_order_lines_coldchain!A$2:A1378,
      purchase_order_lines_coldchain!B$2:B1378)),
      "")</f>
        <v/>
      </c>
      <c r="I380" t="str">
        <f t="shared" si="5"/>
        <v>SO-151002</v>
      </c>
      <c r="K380" s="11">
        <v>10</v>
      </c>
      <c r="L380" s="11">
        <v>-10</v>
      </c>
      <c r="M380" s="14">
        <v>12.48</v>
      </c>
      <c r="N380" s="14">
        <v>-124.8</v>
      </c>
      <c r="O380">
        <v>6.7</v>
      </c>
      <c r="P380" t="s">
        <v>3277</v>
      </c>
    </row>
    <row r="381" spans="1:16" x14ac:dyDescent="0.25">
      <c r="A381" t="s">
        <v>2331</v>
      </c>
      <c r="B381" s="1">
        <v>45736.872916666667</v>
      </c>
      <c r="C381" t="s">
        <v>3278</v>
      </c>
      <c r="D381" t="s">
        <v>959</v>
      </c>
      <c r="E381" t="s">
        <v>843</v>
      </c>
      <c r="G381" t="s">
        <v>2332</v>
      </c>
      <c r="H381" t="str" cm="1">
        <f t="array" ref="H381">IF(AND(G381="",
      C381="Receipt"),
      _xlfn.XLOOKUP(1,
      (purchase_order_lines_coldchain!A381:A1379 = F381) *
      (purchase_order_lines_coldchain!G381:G1379 = E381) *
      (purchase_order_lines_coldchain!D381:D1379 = D381),
      purchase_order_lines_coldchain!B$2:B$1000,
      _xlfn.XLOOKUP(F381,purchase_order_lines_coldchain!A$2:A1379,
      purchase_order_lines_coldchain!B$2:B1379)),
      "")</f>
        <v/>
      </c>
      <c r="I381" t="str">
        <f t="shared" si="5"/>
        <v>SO-184531</v>
      </c>
      <c r="K381" s="11">
        <v>10</v>
      </c>
      <c r="L381" s="11">
        <v>-10</v>
      </c>
      <c r="M381" s="14">
        <v>8.1300000000000008</v>
      </c>
      <c r="N381" s="14">
        <v>-81.3</v>
      </c>
      <c r="O381">
        <v>1</v>
      </c>
      <c r="P381" t="s">
        <v>3277</v>
      </c>
    </row>
    <row r="382" spans="1:16" x14ac:dyDescent="0.25">
      <c r="A382" t="s">
        <v>2333</v>
      </c>
      <c r="B382" s="1">
        <v>45703.136111111111</v>
      </c>
      <c r="C382" t="s">
        <v>3278</v>
      </c>
      <c r="D382" t="s">
        <v>959</v>
      </c>
      <c r="E382" t="s">
        <v>810</v>
      </c>
      <c r="G382" t="s">
        <v>2334</v>
      </c>
      <c r="H382" t="str" cm="1">
        <f t="array" ref="H382">IF(AND(G382="",
      C382="Receipt"),
      _xlfn.XLOOKUP(1,
      (purchase_order_lines_coldchain!A382:A1380 = F382) *
      (purchase_order_lines_coldchain!G382:G1380 = E382) *
      (purchase_order_lines_coldchain!D382:D1380 = D382),
      purchase_order_lines_coldchain!B$2:B$1000,
      _xlfn.XLOOKUP(F382,purchase_order_lines_coldchain!A$2:A1380,
      purchase_order_lines_coldchain!B$2:B1380)),
      "")</f>
        <v/>
      </c>
      <c r="I382" t="str">
        <f t="shared" si="5"/>
        <v>SO-180174</v>
      </c>
      <c r="K382" s="11">
        <v>12</v>
      </c>
      <c r="L382" s="11">
        <v>-12</v>
      </c>
      <c r="M382" s="14">
        <v>11.96</v>
      </c>
      <c r="N382" s="14">
        <v>-143.52000000000001</v>
      </c>
      <c r="O382">
        <v>-2.1</v>
      </c>
      <c r="P382" t="s">
        <v>3277</v>
      </c>
    </row>
    <row r="383" spans="1:16" x14ac:dyDescent="0.25">
      <c r="A383" t="s">
        <v>2335</v>
      </c>
      <c r="B383" s="1">
        <v>45744.228472222225</v>
      </c>
      <c r="C383" t="s">
        <v>3276</v>
      </c>
      <c r="D383" t="s">
        <v>968</v>
      </c>
      <c r="E383" t="s">
        <v>771</v>
      </c>
      <c r="G383" t="s">
        <v>2336</v>
      </c>
      <c r="H383" t="str" cm="1">
        <f t="array" ref="H383">IF(AND(G383="",
      C383="Receipt"),
      _xlfn.XLOOKUP(1,
      (purchase_order_lines_coldchain!A383:A1381 = F383) *
      (purchase_order_lines_coldchain!G383:G1381 = E383) *
      (purchase_order_lines_coldchain!D383:D1381 = D383),
      purchase_order_lines_coldchain!B$2:B$1000,
      _xlfn.XLOOKUP(F383,purchase_order_lines_coldchain!A$2:A1381,
      purchase_order_lines_coldchain!B$2:B1381)),
      "")</f>
        <v/>
      </c>
      <c r="I383" t="str">
        <f t="shared" si="5"/>
        <v>SO-130547</v>
      </c>
      <c r="K383" s="11">
        <v>8</v>
      </c>
      <c r="L383" s="11">
        <v>-8</v>
      </c>
      <c r="M383" s="14">
        <v>3.82</v>
      </c>
      <c r="N383" s="14">
        <v>-30.56</v>
      </c>
      <c r="O383">
        <v>4.0999999999999996</v>
      </c>
      <c r="P383" t="s">
        <v>3277</v>
      </c>
    </row>
    <row r="384" spans="1:16" x14ac:dyDescent="0.25">
      <c r="A384" t="s">
        <v>2337</v>
      </c>
      <c r="B384" s="1">
        <v>45771.724305555559</v>
      </c>
      <c r="C384" t="s">
        <v>3278</v>
      </c>
      <c r="D384" t="s">
        <v>996</v>
      </c>
      <c r="E384" t="s">
        <v>554</v>
      </c>
      <c r="G384" t="s">
        <v>2338</v>
      </c>
      <c r="H384" t="str" cm="1">
        <f t="array" ref="H384">IF(AND(G384="",
      C384="Receipt"),
      _xlfn.XLOOKUP(1,
      (purchase_order_lines_coldchain!A384:A1382 = F384) *
      (purchase_order_lines_coldchain!G384:G1382 = E384) *
      (purchase_order_lines_coldchain!D384:D1382 = D384),
      purchase_order_lines_coldchain!B$2:B$1000,
      _xlfn.XLOOKUP(F384,purchase_order_lines_coldchain!A$2:A1382,
      purchase_order_lines_coldchain!B$2:B1382)),
      "")</f>
        <v/>
      </c>
      <c r="I384" t="str">
        <f t="shared" si="5"/>
        <v>SO-120513</v>
      </c>
      <c r="K384" s="11">
        <v>8</v>
      </c>
      <c r="L384" s="11">
        <v>-8</v>
      </c>
      <c r="M384" s="14">
        <v>16.690000000000001</v>
      </c>
      <c r="N384" s="14">
        <v>-133.52000000000001</v>
      </c>
      <c r="O384">
        <v>4.2</v>
      </c>
      <c r="P384" t="s">
        <v>3277</v>
      </c>
    </row>
    <row r="385" spans="1:16" x14ac:dyDescent="0.25">
      <c r="A385" t="s">
        <v>2339</v>
      </c>
      <c r="B385" s="1">
        <v>45722.543055555558</v>
      </c>
      <c r="C385" t="s">
        <v>3276</v>
      </c>
      <c r="D385" t="s">
        <v>987</v>
      </c>
      <c r="E385" t="s">
        <v>409</v>
      </c>
      <c r="G385" t="s">
        <v>2340</v>
      </c>
      <c r="H385" t="str" cm="1">
        <f t="array" ref="H385">IF(AND(G385="",
      C385="Receipt"),
      _xlfn.XLOOKUP(1,
      (purchase_order_lines_coldchain!A385:A1383 = F385) *
      (purchase_order_lines_coldchain!G385:G1383 = E385) *
      (purchase_order_lines_coldchain!D385:D1383 = D385),
      purchase_order_lines_coldchain!B$2:B$1000,
      _xlfn.XLOOKUP(F385,purchase_order_lines_coldchain!A$2:A1383,
      purchase_order_lines_coldchain!B$2:B1383)),
      "")</f>
        <v/>
      </c>
      <c r="I385" t="str">
        <f t="shared" si="5"/>
        <v>SO-169910</v>
      </c>
      <c r="K385" s="11">
        <v>5</v>
      </c>
      <c r="L385" s="11">
        <v>-5</v>
      </c>
      <c r="M385" s="14">
        <v>4.96</v>
      </c>
      <c r="N385" s="14">
        <v>-24.8</v>
      </c>
      <c r="O385">
        <v>4</v>
      </c>
      <c r="P385" t="s">
        <v>3277</v>
      </c>
    </row>
    <row r="386" spans="1:16" x14ac:dyDescent="0.25">
      <c r="A386" t="s">
        <v>2341</v>
      </c>
      <c r="B386" s="1">
        <v>45729.490972222222</v>
      </c>
      <c r="C386" t="s">
        <v>3276</v>
      </c>
      <c r="D386" t="s">
        <v>980</v>
      </c>
      <c r="E386" t="s">
        <v>597</v>
      </c>
      <c r="G386" t="s">
        <v>2342</v>
      </c>
      <c r="H386" t="str" cm="1">
        <f t="array" ref="H386">IF(AND(G386="",
      C386="Receipt"),
      _xlfn.XLOOKUP(1,
      (purchase_order_lines_coldchain!A386:A1384 = F386) *
      (purchase_order_lines_coldchain!G386:G1384 = E386) *
      (purchase_order_lines_coldchain!D386:D1384 = D386),
      purchase_order_lines_coldchain!B$2:B$1000,
      _xlfn.XLOOKUP(F386,purchase_order_lines_coldchain!A$2:A1384,
      purchase_order_lines_coldchain!B$2:B1384)),
      "")</f>
        <v/>
      </c>
      <c r="I386" t="str">
        <f t="shared" ref="I386:I449" si="6">G386 &amp; H386</f>
        <v>SO-197416</v>
      </c>
      <c r="K386" s="11">
        <v>6</v>
      </c>
      <c r="L386" s="11">
        <v>-6</v>
      </c>
      <c r="M386" s="14">
        <v>2.84</v>
      </c>
      <c r="N386" s="14">
        <v>-17.04</v>
      </c>
      <c r="O386">
        <v>4.4000000000000004</v>
      </c>
      <c r="P386" t="s">
        <v>3277</v>
      </c>
    </row>
    <row r="387" spans="1:16" x14ac:dyDescent="0.25">
      <c r="A387" t="s">
        <v>2343</v>
      </c>
      <c r="B387" s="1">
        <v>45707.612500000003</v>
      </c>
      <c r="C387" t="s">
        <v>3278</v>
      </c>
      <c r="D387" t="s">
        <v>959</v>
      </c>
      <c r="E387" t="s">
        <v>810</v>
      </c>
      <c r="G387" t="s">
        <v>2344</v>
      </c>
      <c r="H387" t="str" cm="1">
        <f t="array" ref="H387">IF(AND(G387="",
      C387="Receipt"),
      _xlfn.XLOOKUP(1,
      (purchase_order_lines_coldchain!A387:A1385 = F387) *
      (purchase_order_lines_coldchain!G387:G1385 = E387) *
      (purchase_order_lines_coldchain!D387:D1385 = D387),
      purchase_order_lines_coldchain!B$2:B$1000,
      _xlfn.XLOOKUP(F387,purchase_order_lines_coldchain!A$2:A1385,
      purchase_order_lines_coldchain!B$2:B1385)),
      "")</f>
        <v/>
      </c>
      <c r="I387" t="str">
        <f t="shared" si="6"/>
        <v>SO-150944</v>
      </c>
      <c r="K387" s="11">
        <v>4</v>
      </c>
      <c r="L387" s="11">
        <v>-4</v>
      </c>
      <c r="M387" s="14">
        <v>11.96</v>
      </c>
      <c r="N387" s="14">
        <v>-47.84</v>
      </c>
      <c r="O387">
        <v>5.2</v>
      </c>
      <c r="P387" t="s">
        <v>3277</v>
      </c>
    </row>
    <row r="388" spans="1:16" x14ac:dyDescent="0.25">
      <c r="A388" t="s">
        <v>2345</v>
      </c>
      <c r="B388" s="1">
        <v>45763.070833333331</v>
      </c>
      <c r="C388" t="s">
        <v>3276</v>
      </c>
      <c r="D388" t="s">
        <v>999</v>
      </c>
      <c r="E388" t="s">
        <v>822</v>
      </c>
      <c r="G388" t="s">
        <v>2346</v>
      </c>
      <c r="H388" t="str" cm="1">
        <f t="array" ref="H388">IF(AND(G388="",
      C388="Receipt"),
      _xlfn.XLOOKUP(1,
      (purchase_order_lines_coldchain!A388:A1386 = F388) *
      (purchase_order_lines_coldchain!G388:G1386 = E388) *
      (purchase_order_lines_coldchain!D388:D1386 = D388),
      purchase_order_lines_coldchain!B$2:B$1000,
      _xlfn.XLOOKUP(F388,purchase_order_lines_coldchain!A$2:A1386,
      purchase_order_lines_coldchain!B$2:B1386)),
      "")</f>
        <v/>
      </c>
      <c r="I388" t="str">
        <f t="shared" si="6"/>
        <v>SO-170552</v>
      </c>
      <c r="K388" s="11">
        <v>11</v>
      </c>
      <c r="L388" s="11">
        <v>-11</v>
      </c>
      <c r="M388" s="14">
        <v>9.2799999999999994</v>
      </c>
      <c r="N388" s="14">
        <v>-102.08</v>
      </c>
      <c r="O388">
        <v>1.2</v>
      </c>
      <c r="P388" t="s">
        <v>3277</v>
      </c>
    </row>
    <row r="389" spans="1:16" x14ac:dyDescent="0.25">
      <c r="A389" t="s">
        <v>2347</v>
      </c>
      <c r="B389" s="1">
        <v>45728.711111111108</v>
      </c>
      <c r="C389" t="s">
        <v>3276</v>
      </c>
      <c r="D389" t="s">
        <v>987</v>
      </c>
      <c r="E389" t="s">
        <v>600</v>
      </c>
      <c r="G389" t="s">
        <v>2348</v>
      </c>
      <c r="H389" t="str" cm="1">
        <f t="array" ref="H389">IF(AND(G389="",
      C389="Receipt"),
      _xlfn.XLOOKUP(1,
      (purchase_order_lines_coldchain!A389:A1387 = F389) *
      (purchase_order_lines_coldchain!G389:G1387 = E389) *
      (purchase_order_lines_coldchain!D389:D1387 = D389),
      purchase_order_lines_coldchain!B$2:B$1000,
      _xlfn.XLOOKUP(F389,purchase_order_lines_coldchain!A$2:A1387,
      purchase_order_lines_coldchain!B$2:B1387)),
      "")</f>
        <v/>
      </c>
      <c r="I389" t="str">
        <f t="shared" si="6"/>
        <v>SO-124140</v>
      </c>
      <c r="K389" s="11">
        <v>8</v>
      </c>
      <c r="L389" s="11">
        <v>-8</v>
      </c>
      <c r="M389" s="14">
        <v>16.88</v>
      </c>
      <c r="N389" s="14">
        <v>-135.04</v>
      </c>
      <c r="O389">
        <v>1.9</v>
      </c>
      <c r="P389" t="s">
        <v>3277</v>
      </c>
    </row>
    <row r="390" spans="1:16" x14ac:dyDescent="0.25">
      <c r="A390" t="s">
        <v>2349</v>
      </c>
      <c r="B390" s="1">
        <v>45696.552777777775</v>
      </c>
      <c r="C390" t="s">
        <v>3278</v>
      </c>
      <c r="D390" t="s">
        <v>980</v>
      </c>
      <c r="E390" t="s">
        <v>900</v>
      </c>
      <c r="G390" t="s">
        <v>2350</v>
      </c>
      <c r="H390" t="str" cm="1">
        <f t="array" ref="H390">IF(AND(G390="",
      C390="Receipt"),
      _xlfn.XLOOKUP(1,
      (purchase_order_lines_coldchain!A390:A1388 = F390) *
      (purchase_order_lines_coldchain!G390:G1388 = E390) *
      (purchase_order_lines_coldchain!D390:D1388 = D390),
      purchase_order_lines_coldchain!B$2:B$1000,
      _xlfn.XLOOKUP(F390,purchase_order_lines_coldchain!A$2:A1388,
      purchase_order_lines_coldchain!B$2:B1388)),
      "")</f>
        <v/>
      </c>
      <c r="I390" t="str">
        <f t="shared" si="6"/>
        <v>SO-189899</v>
      </c>
      <c r="K390" s="11">
        <v>12</v>
      </c>
      <c r="L390" s="11">
        <v>-12</v>
      </c>
      <c r="M390" s="14">
        <v>16.18</v>
      </c>
      <c r="N390" s="14">
        <v>-194.16</v>
      </c>
      <c r="O390">
        <v>4.9000000000000004</v>
      </c>
      <c r="P390" t="s">
        <v>3277</v>
      </c>
    </row>
    <row r="391" spans="1:16" x14ac:dyDescent="0.25">
      <c r="A391" t="s">
        <v>2351</v>
      </c>
      <c r="B391" s="1">
        <v>45705.87777777778</v>
      </c>
      <c r="C391" t="s">
        <v>3278</v>
      </c>
      <c r="D391" t="s">
        <v>980</v>
      </c>
      <c r="E391" t="s">
        <v>933</v>
      </c>
      <c r="G391" t="s">
        <v>2352</v>
      </c>
      <c r="H391" t="str" cm="1">
        <f t="array" ref="H391">IF(AND(G391="",
      C391="Receipt"),
      _xlfn.XLOOKUP(1,
      (purchase_order_lines_coldchain!A391:A1389 = F391) *
      (purchase_order_lines_coldchain!G391:G1389 = E391) *
      (purchase_order_lines_coldchain!D391:D1389 = D391),
      purchase_order_lines_coldchain!B$2:B$1000,
      _xlfn.XLOOKUP(F391,purchase_order_lines_coldchain!A$2:A1389,
      purchase_order_lines_coldchain!B$2:B1389)),
      "")</f>
        <v/>
      </c>
      <c r="I391" t="str">
        <f t="shared" si="6"/>
        <v>SO-172769</v>
      </c>
      <c r="K391" s="11">
        <v>10</v>
      </c>
      <c r="L391" s="11">
        <v>-10</v>
      </c>
      <c r="M391" s="14">
        <v>4.8600000000000003</v>
      </c>
      <c r="N391" s="14">
        <v>-48.6</v>
      </c>
      <c r="O391">
        <v>4.2</v>
      </c>
      <c r="P391" t="s">
        <v>3277</v>
      </c>
    </row>
    <row r="392" spans="1:16" x14ac:dyDescent="0.25">
      <c r="A392" t="s">
        <v>2353</v>
      </c>
      <c r="B392" s="1">
        <v>45747.288888888892</v>
      </c>
      <c r="C392" t="s">
        <v>3278</v>
      </c>
      <c r="D392" t="s">
        <v>987</v>
      </c>
      <c r="E392" t="s">
        <v>508</v>
      </c>
      <c r="G392" t="s">
        <v>2354</v>
      </c>
      <c r="H392" t="str" cm="1">
        <f t="array" ref="H392">IF(AND(G392="",
      C392="Receipt"),
      _xlfn.XLOOKUP(1,
      (purchase_order_lines_coldchain!A392:A1390 = F392) *
      (purchase_order_lines_coldchain!G392:G1390 = E392) *
      (purchase_order_lines_coldchain!D392:D1390 = D392),
      purchase_order_lines_coldchain!B$2:B$1000,
      _xlfn.XLOOKUP(F392,purchase_order_lines_coldchain!A$2:A1390,
      purchase_order_lines_coldchain!B$2:B1390)),
      "")</f>
        <v/>
      </c>
      <c r="I392" t="str">
        <f t="shared" si="6"/>
        <v>SO-148636</v>
      </c>
      <c r="K392" s="11">
        <v>1</v>
      </c>
      <c r="L392" s="11">
        <v>-1</v>
      </c>
      <c r="M392" s="14">
        <v>11.66</v>
      </c>
      <c r="N392" s="14">
        <v>-11.66</v>
      </c>
      <c r="O392">
        <v>0.7</v>
      </c>
      <c r="P392" t="s">
        <v>3277</v>
      </c>
    </row>
    <row r="393" spans="1:16" x14ac:dyDescent="0.25">
      <c r="A393" t="s">
        <v>2355</v>
      </c>
      <c r="B393" s="1">
        <v>45749.411111111112</v>
      </c>
      <c r="C393" t="s">
        <v>3278</v>
      </c>
      <c r="D393" t="s">
        <v>964</v>
      </c>
      <c r="E393" t="s">
        <v>567</v>
      </c>
      <c r="G393" t="s">
        <v>2356</v>
      </c>
      <c r="H393" t="str" cm="1">
        <f t="array" ref="H393">IF(AND(G393="",
      C393="Receipt"),
      _xlfn.XLOOKUP(1,
      (purchase_order_lines_coldchain!A393:A1391 = F393) *
      (purchase_order_lines_coldchain!G393:G1391 = E393) *
      (purchase_order_lines_coldchain!D393:D1391 = D393),
      purchase_order_lines_coldchain!B$2:B$1000,
      _xlfn.XLOOKUP(F393,purchase_order_lines_coldchain!A$2:A1391,
      purchase_order_lines_coldchain!B$2:B1391)),
      "")</f>
        <v/>
      </c>
      <c r="I393" t="str">
        <f t="shared" si="6"/>
        <v>SO-163461</v>
      </c>
      <c r="K393" s="11">
        <v>7</v>
      </c>
      <c r="L393" s="11">
        <v>-7</v>
      </c>
      <c r="M393" s="14">
        <v>1.66</v>
      </c>
      <c r="N393" s="14">
        <v>-11.62</v>
      </c>
      <c r="O393">
        <v>4.9000000000000004</v>
      </c>
      <c r="P393" t="s">
        <v>3277</v>
      </c>
    </row>
    <row r="394" spans="1:16" x14ac:dyDescent="0.25">
      <c r="A394" t="s">
        <v>2357</v>
      </c>
      <c r="B394" s="1">
        <v>45737.825694444444</v>
      </c>
      <c r="C394" t="s">
        <v>3278</v>
      </c>
      <c r="D394" t="s">
        <v>990</v>
      </c>
      <c r="E394" t="s">
        <v>696</v>
      </c>
      <c r="G394" t="s">
        <v>2358</v>
      </c>
      <c r="H394" t="str" cm="1">
        <f t="array" ref="H394">IF(AND(G394="",
      C394="Receipt"),
      _xlfn.XLOOKUP(1,
      (purchase_order_lines_coldchain!A394:A1392 = F394) *
      (purchase_order_lines_coldchain!G394:G1392 = E394) *
      (purchase_order_lines_coldchain!D394:D1392 = D394),
      purchase_order_lines_coldchain!B$2:B$1000,
      _xlfn.XLOOKUP(F394,purchase_order_lines_coldchain!A$2:A1392,
      purchase_order_lines_coldchain!B$2:B1392)),
      "")</f>
        <v/>
      </c>
      <c r="I394" t="str">
        <f t="shared" si="6"/>
        <v>SO-166964</v>
      </c>
      <c r="K394" s="11">
        <v>3</v>
      </c>
      <c r="L394" s="11">
        <v>-3</v>
      </c>
      <c r="M394" s="14">
        <v>4.99</v>
      </c>
      <c r="N394" s="14">
        <v>-14.97</v>
      </c>
      <c r="O394">
        <v>7.6</v>
      </c>
      <c r="P394" t="s">
        <v>3277</v>
      </c>
    </row>
    <row r="395" spans="1:16" x14ac:dyDescent="0.25">
      <c r="A395" t="s">
        <v>2359</v>
      </c>
      <c r="B395" s="1">
        <v>45723.54583333333</v>
      </c>
      <c r="C395" t="s">
        <v>3278</v>
      </c>
      <c r="D395" t="s">
        <v>976</v>
      </c>
      <c r="E395" t="s">
        <v>615</v>
      </c>
      <c r="G395" t="s">
        <v>2360</v>
      </c>
      <c r="H395" t="str" cm="1">
        <f t="array" ref="H395">IF(AND(G395="",
      C395="Receipt"),
      _xlfn.XLOOKUP(1,
      (purchase_order_lines_coldchain!A395:A1393 = F395) *
      (purchase_order_lines_coldchain!G395:G1393 = E395) *
      (purchase_order_lines_coldchain!D395:D1393 = D395),
      purchase_order_lines_coldchain!B$2:B$1000,
      _xlfn.XLOOKUP(F395,purchase_order_lines_coldchain!A$2:A1393,
      purchase_order_lines_coldchain!B$2:B1393)),
      "")</f>
        <v/>
      </c>
      <c r="I395" t="str">
        <f t="shared" si="6"/>
        <v>SO-164493</v>
      </c>
      <c r="K395" s="11">
        <v>2</v>
      </c>
      <c r="L395" s="11">
        <v>-2</v>
      </c>
      <c r="M395" s="14">
        <v>6.21</v>
      </c>
      <c r="N395" s="14">
        <v>-12.42</v>
      </c>
      <c r="O395">
        <v>3.1</v>
      </c>
      <c r="P395" t="s">
        <v>3277</v>
      </c>
    </row>
    <row r="396" spans="1:16" x14ac:dyDescent="0.25">
      <c r="A396" t="s">
        <v>2361</v>
      </c>
      <c r="B396" s="1">
        <v>45770.789583333331</v>
      </c>
      <c r="C396" t="s">
        <v>3278</v>
      </c>
      <c r="D396" t="s">
        <v>964</v>
      </c>
      <c r="E396" t="s">
        <v>696</v>
      </c>
      <c r="G396" t="s">
        <v>2362</v>
      </c>
      <c r="H396" t="str" cm="1">
        <f t="array" ref="H396">IF(AND(G396="",
      C396="Receipt"),
      _xlfn.XLOOKUP(1,
      (purchase_order_lines_coldchain!A396:A1394 = F396) *
      (purchase_order_lines_coldchain!G396:G1394 = E396) *
      (purchase_order_lines_coldchain!D396:D1394 = D396),
      purchase_order_lines_coldchain!B$2:B$1000,
      _xlfn.XLOOKUP(F396,purchase_order_lines_coldchain!A$2:A1394,
      purchase_order_lines_coldchain!B$2:B1394)),
      "")</f>
        <v/>
      </c>
      <c r="I396" t="str">
        <f t="shared" si="6"/>
        <v>SO-162004</v>
      </c>
      <c r="K396" s="11">
        <v>3</v>
      </c>
      <c r="L396" s="11">
        <v>-3</v>
      </c>
      <c r="M396" s="14">
        <v>4.99</v>
      </c>
      <c r="N396" s="14">
        <v>-14.97</v>
      </c>
      <c r="O396">
        <v>3</v>
      </c>
      <c r="P396" t="s">
        <v>3277</v>
      </c>
    </row>
    <row r="397" spans="1:16" x14ac:dyDescent="0.25">
      <c r="A397" t="s">
        <v>2363</v>
      </c>
      <c r="B397" s="1">
        <v>45738.405555555553</v>
      </c>
      <c r="C397" t="s">
        <v>3276</v>
      </c>
      <c r="D397" t="s">
        <v>980</v>
      </c>
      <c r="E397" t="s">
        <v>720</v>
      </c>
      <c r="G397" t="s">
        <v>2364</v>
      </c>
      <c r="H397" t="str" cm="1">
        <f t="array" ref="H397">IF(AND(G397="",
      C397="Receipt"),
      _xlfn.XLOOKUP(1,
      (purchase_order_lines_coldchain!A397:A1395 = F397) *
      (purchase_order_lines_coldchain!G397:G1395 = E397) *
      (purchase_order_lines_coldchain!D397:D1395 = D397),
      purchase_order_lines_coldchain!B$2:B$1000,
      _xlfn.XLOOKUP(F397,purchase_order_lines_coldchain!A$2:A1395,
      purchase_order_lines_coldchain!B$2:B1395)),
      "")</f>
        <v/>
      </c>
      <c r="I397" t="str">
        <f t="shared" si="6"/>
        <v>SO-107313</v>
      </c>
      <c r="K397" s="11">
        <v>10</v>
      </c>
      <c r="L397" s="11">
        <v>-10</v>
      </c>
      <c r="M397" s="14">
        <v>8.34</v>
      </c>
      <c r="N397" s="14">
        <v>-83.4</v>
      </c>
      <c r="O397">
        <v>0.7</v>
      </c>
      <c r="P397" t="s">
        <v>3277</v>
      </c>
    </row>
    <row r="398" spans="1:16" x14ac:dyDescent="0.25">
      <c r="A398" t="s">
        <v>2365</v>
      </c>
      <c r="B398" s="1">
        <v>45727.42291666667</v>
      </c>
      <c r="C398" t="s">
        <v>3276</v>
      </c>
      <c r="D398" t="s">
        <v>959</v>
      </c>
      <c r="E398" t="s">
        <v>648</v>
      </c>
      <c r="G398" t="s">
        <v>2366</v>
      </c>
      <c r="H398" t="str" cm="1">
        <f t="array" ref="H398">IF(AND(G398="",
      C398="Receipt"),
      _xlfn.XLOOKUP(1,
      (purchase_order_lines_coldchain!A398:A1396 = F398) *
      (purchase_order_lines_coldchain!G398:G1396 = E398) *
      (purchase_order_lines_coldchain!D398:D1396 = D398),
      purchase_order_lines_coldchain!B$2:B$1000,
      _xlfn.XLOOKUP(F398,purchase_order_lines_coldchain!A$2:A1396,
      purchase_order_lines_coldchain!B$2:B1396)),
      "")</f>
        <v/>
      </c>
      <c r="I398" t="str">
        <f t="shared" si="6"/>
        <v>SO-157570</v>
      </c>
      <c r="K398" s="11">
        <v>8</v>
      </c>
      <c r="L398" s="11">
        <v>-8</v>
      </c>
      <c r="M398" s="14">
        <v>9.6999999999999993</v>
      </c>
      <c r="N398" s="14">
        <v>-77.599999999999994</v>
      </c>
      <c r="O398">
        <v>-1</v>
      </c>
      <c r="P398" t="s">
        <v>3277</v>
      </c>
    </row>
    <row r="399" spans="1:16" x14ac:dyDescent="0.25">
      <c r="A399" t="s">
        <v>2367</v>
      </c>
      <c r="B399" s="1">
        <v>45695.954861111109</v>
      </c>
      <c r="C399" t="s">
        <v>3278</v>
      </c>
      <c r="D399" t="s">
        <v>976</v>
      </c>
      <c r="E399" t="s">
        <v>915</v>
      </c>
      <c r="G399" t="s">
        <v>2368</v>
      </c>
      <c r="H399" t="str" cm="1">
        <f t="array" ref="H399">IF(AND(G399="",
      C399="Receipt"),
      _xlfn.XLOOKUP(1,
      (purchase_order_lines_coldchain!A399:A1397 = F399) *
      (purchase_order_lines_coldchain!G399:G1397 = E399) *
      (purchase_order_lines_coldchain!D399:D1397 = D399),
      purchase_order_lines_coldchain!B$2:B$1000,
      _xlfn.XLOOKUP(F399,purchase_order_lines_coldchain!A$2:A1397,
      purchase_order_lines_coldchain!B$2:B1397)),
      "")</f>
        <v/>
      </c>
      <c r="I399" t="str">
        <f t="shared" si="6"/>
        <v>SO-195578</v>
      </c>
      <c r="K399" s="11">
        <v>12</v>
      </c>
      <c r="L399" s="11">
        <v>-12</v>
      </c>
      <c r="M399" s="14">
        <v>10.3</v>
      </c>
      <c r="N399" s="14">
        <v>-123.6</v>
      </c>
      <c r="O399">
        <v>4.4000000000000004</v>
      </c>
      <c r="P399" t="s">
        <v>3277</v>
      </c>
    </row>
    <row r="400" spans="1:16" x14ac:dyDescent="0.25">
      <c r="A400" t="s">
        <v>2369</v>
      </c>
      <c r="B400" s="1">
        <v>45702.815972222219</v>
      </c>
      <c r="C400" t="s">
        <v>3278</v>
      </c>
      <c r="D400" t="s">
        <v>968</v>
      </c>
      <c r="E400" t="s">
        <v>906</v>
      </c>
      <c r="G400" t="s">
        <v>2370</v>
      </c>
      <c r="H400" t="str" cm="1">
        <f t="array" ref="H400">IF(AND(G400="",
      C400="Receipt"),
      _xlfn.XLOOKUP(1,
      (purchase_order_lines_coldchain!A400:A1398 = F400) *
      (purchase_order_lines_coldchain!G400:G1398 = E400) *
      (purchase_order_lines_coldchain!D400:D1398 = D400),
      purchase_order_lines_coldchain!B$2:B$1000,
      _xlfn.XLOOKUP(F400,purchase_order_lines_coldchain!A$2:A1398,
      purchase_order_lines_coldchain!B$2:B1398)),
      "")</f>
        <v/>
      </c>
      <c r="I400" t="str">
        <f t="shared" si="6"/>
        <v>SO-118463</v>
      </c>
      <c r="K400" s="11">
        <v>7</v>
      </c>
      <c r="L400" s="11">
        <v>-7</v>
      </c>
      <c r="M400" s="14">
        <v>6.14</v>
      </c>
      <c r="N400" s="14">
        <v>-42.98</v>
      </c>
      <c r="O400">
        <v>1.7</v>
      </c>
      <c r="P400" t="s">
        <v>3277</v>
      </c>
    </row>
    <row r="401" spans="1:16" x14ac:dyDescent="0.25">
      <c r="A401" t="s">
        <v>2371</v>
      </c>
      <c r="B401" s="1">
        <v>45708.656944444447</v>
      </c>
      <c r="C401" t="s">
        <v>3278</v>
      </c>
      <c r="D401" t="s">
        <v>980</v>
      </c>
      <c r="E401" t="s">
        <v>816</v>
      </c>
      <c r="G401" t="s">
        <v>2372</v>
      </c>
      <c r="H401" t="str" cm="1">
        <f t="array" ref="H401">IF(AND(G401="",
      C401="Receipt"),
      _xlfn.XLOOKUP(1,
      (purchase_order_lines_coldchain!A401:A1399 = F401) *
      (purchase_order_lines_coldchain!G401:G1399 = E401) *
      (purchase_order_lines_coldchain!D401:D1399 = D401),
      purchase_order_lines_coldchain!B$2:B$1000,
      _xlfn.XLOOKUP(F401,purchase_order_lines_coldchain!A$2:A1399,
      purchase_order_lines_coldchain!B$2:B1399)),
      "")</f>
        <v/>
      </c>
      <c r="I401" t="str">
        <f t="shared" si="6"/>
        <v>SO-120348</v>
      </c>
      <c r="K401" s="11">
        <v>12</v>
      </c>
      <c r="L401" s="11">
        <v>-12</v>
      </c>
      <c r="M401" s="14">
        <v>11.03</v>
      </c>
      <c r="N401" s="14">
        <v>-132.36000000000001</v>
      </c>
      <c r="O401">
        <v>5.3</v>
      </c>
      <c r="P401" t="s">
        <v>3277</v>
      </c>
    </row>
    <row r="402" spans="1:16" x14ac:dyDescent="0.25">
      <c r="A402" t="s">
        <v>2373</v>
      </c>
      <c r="B402" s="1">
        <v>45697.267361111109</v>
      </c>
      <c r="C402" t="s">
        <v>3278</v>
      </c>
      <c r="D402" t="s">
        <v>987</v>
      </c>
      <c r="E402" t="s">
        <v>933</v>
      </c>
      <c r="G402" t="s">
        <v>2374</v>
      </c>
      <c r="H402" t="str" cm="1">
        <f t="array" ref="H402">IF(AND(G402="",
      C402="Receipt"),
      _xlfn.XLOOKUP(1,
      (purchase_order_lines_coldchain!A402:A1400 = F402) *
      (purchase_order_lines_coldchain!G402:G1400 = E402) *
      (purchase_order_lines_coldchain!D402:D1400 = D402),
      purchase_order_lines_coldchain!B$2:B$1000,
      _xlfn.XLOOKUP(F402,purchase_order_lines_coldchain!A$2:A1400,
      purchase_order_lines_coldchain!B$2:B1400)),
      "")</f>
        <v/>
      </c>
      <c r="I402" t="str">
        <f t="shared" si="6"/>
        <v>SO-197417</v>
      </c>
      <c r="K402" s="11">
        <v>12</v>
      </c>
      <c r="L402" s="11">
        <v>-12</v>
      </c>
      <c r="M402" s="14">
        <v>4.8600000000000003</v>
      </c>
      <c r="N402" s="14">
        <v>-58.32</v>
      </c>
      <c r="O402">
        <v>0.1</v>
      </c>
      <c r="P402" t="s">
        <v>3277</v>
      </c>
    </row>
    <row r="403" spans="1:16" x14ac:dyDescent="0.25">
      <c r="A403" t="s">
        <v>2375</v>
      </c>
      <c r="B403" s="1">
        <v>45694.14166666667</v>
      </c>
      <c r="C403" t="s">
        <v>3278</v>
      </c>
      <c r="D403" t="s">
        <v>972</v>
      </c>
      <c r="E403" t="s">
        <v>463</v>
      </c>
      <c r="G403" t="s">
        <v>2376</v>
      </c>
      <c r="H403" t="str" cm="1">
        <f t="array" ref="H403">IF(AND(G403="",
      C403="Receipt"),
      _xlfn.XLOOKUP(1,
      (purchase_order_lines_coldchain!A403:A1401 = F403) *
      (purchase_order_lines_coldchain!G403:G1401 = E403) *
      (purchase_order_lines_coldchain!D403:D1401 = D403),
      purchase_order_lines_coldchain!B$2:B$1000,
      _xlfn.XLOOKUP(F403,purchase_order_lines_coldchain!A$2:A1401,
      purchase_order_lines_coldchain!B$2:B1401)),
      "")</f>
        <v/>
      </c>
      <c r="I403" t="str">
        <f t="shared" si="6"/>
        <v>SO-138523</v>
      </c>
      <c r="K403" s="11">
        <v>5</v>
      </c>
      <c r="L403" s="11">
        <v>-5</v>
      </c>
      <c r="M403" s="14">
        <v>8.31</v>
      </c>
      <c r="N403" s="14">
        <v>-41.55</v>
      </c>
      <c r="O403">
        <v>-1.7</v>
      </c>
      <c r="P403" t="s">
        <v>3277</v>
      </c>
    </row>
    <row r="404" spans="1:16" x14ac:dyDescent="0.25">
      <c r="A404" t="s">
        <v>2377</v>
      </c>
      <c r="B404" s="1">
        <v>45766.706250000003</v>
      </c>
      <c r="C404" t="s">
        <v>3278</v>
      </c>
      <c r="D404" t="s">
        <v>959</v>
      </c>
      <c r="E404" t="s">
        <v>499</v>
      </c>
      <c r="G404" t="s">
        <v>2378</v>
      </c>
      <c r="H404" t="str" cm="1">
        <f t="array" ref="H404">IF(AND(G404="",
      C404="Receipt"),
      _xlfn.XLOOKUP(1,
      (purchase_order_lines_coldchain!A404:A1402 = F404) *
      (purchase_order_lines_coldchain!G404:G1402 = E404) *
      (purchase_order_lines_coldchain!D404:D1402 = D404),
      purchase_order_lines_coldchain!B$2:B$1000,
      _xlfn.XLOOKUP(F404,purchase_order_lines_coldchain!A$2:A1402,
      purchase_order_lines_coldchain!B$2:B1402)),
      "")</f>
        <v/>
      </c>
      <c r="I404" t="str">
        <f t="shared" si="6"/>
        <v>SO-131783</v>
      </c>
      <c r="K404" s="11">
        <v>12</v>
      </c>
      <c r="L404" s="11">
        <v>-12</v>
      </c>
      <c r="M404" s="14">
        <v>2.2999999999999998</v>
      </c>
      <c r="N404" s="14">
        <v>-27.6</v>
      </c>
      <c r="O404">
        <v>0.2</v>
      </c>
      <c r="P404" t="s">
        <v>3277</v>
      </c>
    </row>
    <row r="405" spans="1:16" x14ac:dyDescent="0.25">
      <c r="A405" t="s">
        <v>2379</v>
      </c>
      <c r="B405" s="1">
        <v>45735.224999999999</v>
      </c>
      <c r="C405" t="s">
        <v>3278</v>
      </c>
      <c r="D405" t="s">
        <v>999</v>
      </c>
      <c r="E405" t="s">
        <v>645</v>
      </c>
      <c r="G405" t="s">
        <v>2380</v>
      </c>
      <c r="H405" t="str" cm="1">
        <f t="array" ref="H405">IF(AND(G405="",
      C405="Receipt"),
      _xlfn.XLOOKUP(1,
      (purchase_order_lines_coldchain!A405:A1403 = F405) *
      (purchase_order_lines_coldchain!G405:G1403 = E405) *
      (purchase_order_lines_coldchain!D405:D1403 = D405),
      purchase_order_lines_coldchain!B$2:B$1000,
      _xlfn.XLOOKUP(F405,purchase_order_lines_coldchain!A$2:A1403,
      purchase_order_lines_coldchain!B$2:B1403)),
      "")</f>
        <v/>
      </c>
      <c r="I405" t="str">
        <f t="shared" si="6"/>
        <v>SO-153557</v>
      </c>
      <c r="K405" s="11">
        <v>4</v>
      </c>
      <c r="L405" s="11">
        <v>-4</v>
      </c>
      <c r="M405" s="14">
        <v>6.61</v>
      </c>
      <c r="N405" s="14">
        <v>-26.44</v>
      </c>
      <c r="O405">
        <v>6.7</v>
      </c>
      <c r="P405" t="s">
        <v>3277</v>
      </c>
    </row>
    <row r="406" spans="1:16" x14ac:dyDescent="0.25">
      <c r="A406" t="s">
        <v>2381</v>
      </c>
      <c r="B406" s="1">
        <v>45724.022916666669</v>
      </c>
      <c r="C406" t="s">
        <v>3276</v>
      </c>
      <c r="D406" t="s">
        <v>999</v>
      </c>
      <c r="E406" t="s">
        <v>780</v>
      </c>
      <c r="G406" t="s">
        <v>2382</v>
      </c>
      <c r="H406" t="str" cm="1">
        <f t="array" ref="H406">IF(AND(G406="",
      C406="Receipt"),
      _xlfn.XLOOKUP(1,
      (purchase_order_lines_coldchain!A406:A1404 = F406) *
      (purchase_order_lines_coldchain!G406:G1404 = E406) *
      (purchase_order_lines_coldchain!D406:D1404 = D406),
      purchase_order_lines_coldchain!B$2:B$1000,
      _xlfn.XLOOKUP(F406,purchase_order_lines_coldchain!A$2:A1404,
      purchase_order_lines_coldchain!B$2:B1404)),
      "")</f>
        <v/>
      </c>
      <c r="I406" t="str">
        <f t="shared" si="6"/>
        <v>SO-197317</v>
      </c>
      <c r="K406" s="11">
        <v>7</v>
      </c>
      <c r="L406" s="11">
        <v>-7</v>
      </c>
      <c r="M406" s="14">
        <v>15.68</v>
      </c>
      <c r="N406" s="14">
        <v>-109.76</v>
      </c>
      <c r="O406">
        <v>-10.9</v>
      </c>
      <c r="P406" t="s">
        <v>3277</v>
      </c>
    </row>
    <row r="407" spans="1:16" x14ac:dyDescent="0.25">
      <c r="A407" t="s">
        <v>2383</v>
      </c>
      <c r="B407" s="1">
        <v>45705.947916666664</v>
      </c>
      <c r="C407" t="s">
        <v>3278</v>
      </c>
      <c r="D407" t="s">
        <v>964</v>
      </c>
      <c r="E407" t="s">
        <v>813</v>
      </c>
      <c r="G407" t="s">
        <v>2384</v>
      </c>
      <c r="H407" t="str" cm="1">
        <f t="array" ref="H407">IF(AND(G407="",
      C407="Receipt"),
      _xlfn.XLOOKUP(1,
      (purchase_order_lines_coldchain!A407:A1405 = F407) *
      (purchase_order_lines_coldchain!G407:G1405 = E407) *
      (purchase_order_lines_coldchain!D407:D1405 = D407),
      purchase_order_lines_coldchain!B$2:B$1000,
      _xlfn.XLOOKUP(F407,purchase_order_lines_coldchain!A$2:A1405,
      purchase_order_lines_coldchain!B$2:B1405)),
      "")</f>
        <v/>
      </c>
      <c r="I407" t="str">
        <f t="shared" si="6"/>
        <v>SO-179186</v>
      </c>
      <c r="K407" s="11">
        <v>11</v>
      </c>
      <c r="L407" s="11">
        <v>-11</v>
      </c>
      <c r="M407" s="14">
        <v>5.94</v>
      </c>
      <c r="N407" s="14">
        <v>-65.34</v>
      </c>
      <c r="O407">
        <v>7.3</v>
      </c>
      <c r="P407" t="s">
        <v>3277</v>
      </c>
    </row>
    <row r="408" spans="1:16" x14ac:dyDescent="0.25">
      <c r="A408" t="s">
        <v>2385</v>
      </c>
      <c r="B408" s="1">
        <v>45700.974999999999</v>
      </c>
      <c r="C408" t="s">
        <v>3276</v>
      </c>
      <c r="D408" t="s">
        <v>987</v>
      </c>
      <c r="E408" t="s">
        <v>600</v>
      </c>
      <c r="G408" t="s">
        <v>2386</v>
      </c>
      <c r="H408" t="str" cm="1">
        <f t="array" ref="H408">IF(AND(G408="",
      C408="Receipt"),
      _xlfn.XLOOKUP(1,
      (purchase_order_lines_coldchain!A408:A1406 = F408) *
      (purchase_order_lines_coldchain!G408:G1406 = E408) *
      (purchase_order_lines_coldchain!D408:D1406 = D408),
      purchase_order_lines_coldchain!B$2:B$1000,
      _xlfn.XLOOKUP(F408,purchase_order_lines_coldchain!A$2:A1406,
      purchase_order_lines_coldchain!B$2:B1406)),
      "")</f>
        <v/>
      </c>
      <c r="I408" t="str">
        <f t="shared" si="6"/>
        <v>SO-175726</v>
      </c>
      <c r="K408" s="11">
        <v>5</v>
      </c>
      <c r="L408" s="11">
        <v>-5</v>
      </c>
      <c r="M408" s="14">
        <v>16.88</v>
      </c>
      <c r="N408" s="14">
        <v>-84.4</v>
      </c>
      <c r="O408">
        <v>4</v>
      </c>
      <c r="P408" t="s">
        <v>3277</v>
      </c>
    </row>
    <row r="409" spans="1:16" x14ac:dyDescent="0.25">
      <c r="A409" t="s">
        <v>2387</v>
      </c>
      <c r="B409" s="1">
        <v>45721.50277777778</v>
      </c>
      <c r="C409" t="s">
        <v>3278</v>
      </c>
      <c r="D409" t="s">
        <v>999</v>
      </c>
      <c r="E409" t="s">
        <v>551</v>
      </c>
      <c r="G409" t="s">
        <v>2388</v>
      </c>
      <c r="H409" t="str" cm="1">
        <f t="array" ref="H409">IF(AND(G409="",
      C409="Receipt"),
      _xlfn.XLOOKUP(1,
      (purchase_order_lines_coldchain!A409:A1407 = F409) *
      (purchase_order_lines_coldchain!G409:G1407 = E409) *
      (purchase_order_lines_coldchain!D409:D1407 = D409),
      purchase_order_lines_coldchain!B$2:B$1000,
      _xlfn.XLOOKUP(F409,purchase_order_lines_coldchain!A$2:A1407,
      purchase_order_lines_coldchain!B$2:B1407)),
      "")</f>
        <v/>
      </c>
      <c r="I409" t="str">
        <f t="shared" si="6"/>
        <v>SO-148720</v>
      </c>
      <c r="K409" s="11">
        <v>1</v>
      </c>
      <c r="L409" s="11">
        <v>-1</v>
      </c>
      <c r="M409" s="14">
        <v>17.78</v>
      </c>
      <c r="N409" s="14">
        <v>-17.78</v>
      </c>
      <c r="O409">
        <v>3.9</v>
      </c>
      <c r="P409" t="s">
        <v>3277</v>
      </c>
    </row>
    <row r="410" spans="1:16" x14ac:dyDescent="0.25">
      <c r="A410" t="s">
        <v>2389</v>
      </c>
      <c r="B410" s="1">
        <v>45740.724305555559</v>
      </c>
      <c r="C410" t="s">
        <v>3278</v>
      </c>
      <c r="D410" t="s">
        <v>990</v>
      </c>
      <c r="E410" t="s">
        <v>894</v>
      </c>
      <c r="G410" t="s">
        <v>2390</v>
      </c>
      <c r="H410" t="str" cm="1">
        <f t="array" ref="H410">IF(AND(G410="",
      C410="Receipt"),
      _xlfn.XLOOKUP(1,
      (purchase_order_lines_coldchain!A410:A1408 = F410) *
      (purchase_order_lines_coldchain!G410:G1408 = E410) *
      (purchase_order_lines_coldchain!D410:D1408 = D410),
      purchase_order_lines_coldchain!B$2:B$1000,
      _xlfn.XLOOKUP(F410,purchase_order_lines_coldchain!A$2:A1408,
      purchase_order_lines_coldchain!B$2:B1408)),
      "")</f>
        <v/>
      </c>
      <c r="I410" t="str">
        <f t="shared" si="6"/>
        <v>SO-100422</v>
      </c>
      <c r="K410" s="11">
        <v>9</v>
      </c>
      <c r="L410" s="11">
        <v>-9</v>
      </c>
      <c r="M410" s="14">
        <v>8.67</v>
      </c>
      <c r="N410" s="14">
        <v>-78.03</v>
      </c>
      <c r="O410">
        <v>5.5</v>
      </c>
      <c r="P410" t="s">
        <v>3277</v>
      </c>
    </row>
    <row r="411" spans="1:16" x14ac:dyDescent="0.25">
      <c r="A411" t="s">
        <v>2391</v>
      </c>
      <c r="B411" s="1">
        <v>45730.64166666667</v>
      </c>
      <c r="C411" t="s">
        <v>3278</v>
      </c>
      <c r="D411" t="s">
        <v>972</v>
      </c>
      <c r="E411" t="s">
        <v>807</v>
      </c>
      <c r="G411" t="s">
        <v>2392</v>
      </c>
      <c r="H411" t="str" cm="1">
        <f t="array" ref="H411">IF(AND(G411="",
      C411="Receipt"),
      _xlfn.XLOOKUP(1,
      (purchase_order_lines_coldchain!A411:A1409 = F411) *
      (purchase_order_lines_coldchain!G411:G1409 = E411) *
      (purchase_order_lines_coldchain!D411:D1409 = D411),
      purchase_order_lines_coldchain!B$2:B$1000,
      _xlfn.XLOOKUP(F411,purchase_order_lines_coldchain!A$2:A1409,
      purchase_order_lines_coldchain!B$2:B1409)),
      "")</f>
        <v/>
      </c>
      <c r="I411" t="str">
        <f t="shared" si="6"/>
        <v>SO-144187</v>
      </c>
      <c r="K411" s="11">
        <v>8</v>
      </c>
      <c r="L411" s="11">
        <v>-8</v>
      </c>
      <c r="M411" s="14">
        <v>13.57</v>
      </c>
      <c r="N411" s="14">
        <v>-108.56</v>
      </c>
      <c r="O411">
        <v>-0.3</v>
      </c>
      <c r="P411" t="s">
        <v>3277</v>
      </c>
    </row>
    <row r="412" spans="1:16" x14ac:dyDescent="0.25">
      <c r="A412" t="s">
        <v>2393</v>
      </c>
      <c r="B412" s="1">
        <v>45710.977777777778</v>
      </c>
      <c r="C412" t="s">
        <v>3278</v>
      </c>
      <c r="D412" t="s">
        <v>996</v>
      </c>
      <c r="E412" t="s">
        <v>554</v>
      </c>
      <c r="G412" t="s">
        <v>2394</v>
      </c>
      <c r="H412" t="str" cm="1">
        <f t="array" ref="H412">IF(AND(G412="",
      C412="Receipt"),
      _xlfn.XLOOKUP(1,
      (purchase_order_lines_coldchain!A412:A1410 = F412) *
      (purchase_order_lines_coldchain!G412:G1410 = E412) *
      (purchase_order_lines_coldchain!D412:D1410 = D412),
      purchase_order_lines_coldchain!B$2:B$1000,
      _xlfn.XLOOKUP(F412,purchase_order_lines_coldchain!A$2:A1410,
      purchase_order_lines_coldchain!B$2:B1410)),
      "")</f>
        <v/>
      </c>
      <c r="I412" t="str">
        <f t="shared" si="6"/>
        <v>SO-125841</v>
      </c>
      <c r="K412" s="11">
        <v>10</v>
      </c>
      <c r="L412" s="11">
        <v>-10</v>
      </c>
      <c r="M412" s="14">
        <v>16.690000000000001</v>
      </c>
      <c r="N412" s="14">
        <v>-166.9</v>
      </c>
      <c r="O412">
        <v>5.8</v>
      </c>
      <c r="P412" t="s">
        <v>3277</v>
      </c>
    </row>
    <row r="413" spans="1:16" x14ac:dyDescent="0.25">
      <c r="A413" t="s">
        <v>2395</v>
      </c>
      <c r="B413" s="1">
        <v>45703.84097222222</v>
      </c>
      <c r="C413" t="s">
        <v>3276</v>
      </c>
      <c r="D413" t="s">
        <v>980</v>
      </c>
      <c r="E413" t="s">
        <v>768</v>
      </c>
      <c r="G413" t="s">
        <v>2396</v>
      </c>
      <c r="H413" t="str" cm="1">
        <f t="array" ref="H413">IF(AND(G413="",
      C413="Receipt"),
      _xlfn.XLOOKUP(1,
      (purchase_order_lines_coldchain!A413:A1411 = F413) *
      (purchase_order_lines_coldchain!G413:G1411 = E413) *
      (purchase_order_lines_coldchain!D413:D1411 = D413),
      purchase_order_lines_coldchain!B$2:B$1000,
      _xlfn.XLOOKUP(F413,purchase_order_lines_coldchain!A$2:A1411,
      purchase_order_lines_coldchain!B$2:B1411)),
      "")</f>
        <v/>
      </c>
      <c r="I413" t="str">
        <f t="shared" si="6"/>
        <v>SO-173610</v>
      </c>
      <c r="K413" s="11">
        <v>6</v>
      </c>
      <c r="L413" s="11">
        <v>-6</v>
      </c>
      <c r="M413" s="14">
        <v>11</v>
      </c>
      <c r="N413" s="14">
        <v>-66</v>
      </c>
      <c r="O413">
        <v>6.8</v>
      </c>
      <c r="P413" t="s">
        <v>3277</v>
      </c>
    </row>
    <row r="414" spans="1:16" x14ac:dyDescent="0.25">
      <c r="A414" t="s">
        <v>2397</v>
      </c>
      <c r="B414" s="1">
        <v>45768.320833333331</v>
      </c>
      <c r="C414" t="s">
        <v>3278</v>
      </c>
      <c r="D414" t="s">
        <v>968</v>
      </c>
      <c r="E414" t="s">
        <v>924</v>
      </c>
      <c r="G414" t="s">
        <v>2398</v>
      </c>
      <c r="H414" t="str" cm="1">
        <f t="array" ref="H414">IF(AND(G414="",
      C414="Receipt"),
      _xlfn.XLOOKUP(1,
      (purchase_order_lines_coldchain!A414:A1412 = F414) *
      (purchase_order_lines_coldchain!G414:G1412 = E414) *
      (purchase_order_lines_coldchain!D414:D1412 = D414),
      purchase_order_lines_coldchain!B$2:B$1000,
      _xlfn.XLOOKUP(F414,purchase_order_lines_coldchain!A$2:A1412,
      purchase_order_lines_coldchain!B$2:B1412)),
      "")</f>
        <v/>
      </c>
      <c r="I414" t="str">
        <f t="shared" si="6"/>
        <v>SO-183229</v>
      </c>
      <c r="K414" s="11">
        <v>11</v>
      </c>
      <c r="L414" s="11">
        <v>-11</v>
      </c>
      <c r="M414" s="14">
        <v>4.3499999999999996</v>
      </c>
      <c r="N414" s="14">
        <v>-47.85</v>
      </c>
      <c r="O414">
        <v>0</v>
      </c>
      <c r="P414" t="s">
        <v>3277</v>
      </c>
    </row>
    <row r="415" spans="1:16" x14ac:dyDescent="0.25">
      <c r="A415" t="s">
        <v>2399</v>
      </c>
      <c r="B415" s="1">
        <v>45759.695833333331</v>
      </c>
      <c r="C415" t="s">
        <v>3278</v>
      </c>
      <c r="D415" t="s">
        <v>996</v>
      </c>
      <c r="E415" t="s">
        <v>603</v>
      </c>
      <c r="G415" t="s">
        <v>2400</v>
      </c>
      <c r="H415" t="str" cm="1">
        <f t="array" ref="H415">IF(AND(G415="",
      C415="Receipt"),
      _xlfn.XLOOKUP(1,
      (purchase_order_lines_coldchain!A415:A1413 = F415) *
      (purchase_order_lines_coldchain!G415:G1413 = E415) *
      (purchase_order_lines_coldchain!D415:D1413 = D415),
      purchase_order_lines_coldchain!B$2:B$1000,
      _xlfn.XLOOKUP(F415,purchase_order_lines_coldchain!A$2:A1413,
      purchase_order_lines_coldchain!B$2:B1413)),
      "")</f>
        <v/>
      </c>
      <c r="I415" t="str">
        <f t="shared" si="6"/>
        <v>SO-167411</v>
      </c>
      <c r="K415" s="11">
        <v>7</v>
      </c>
      <c r="L415" s="11">
        <v>-7</v>
      </c>
      <c r="M415" s="14">
        <v>4.82</v>
      </c>
      <c r="N415" s="14">
        <v>-33.74</v>
      </c>
      <c r="O415">
        <v>1.1000000000000001</v>
      </c>
      <c r="P415" t="s">
        <v>3277</v>
      </c>
    </row>
    <row r="416" spans="1:16" x14ac:dyDescent="0.25">
      <c r="A416" t="s">
        <v>2401</v>
      </c>
      <c r="B416" s="1">
        <v>45769.561805555553</v>
      </c>
      <c r="C416" t="s">
        <v>3276</v>
      </c>
      <c r="D416" t="s">
        <v>959</v>
      </c>
      <c r="E416" t="s">
        <v>699</v>
      </c>
      <c r="G416" t="s">
        <v>2402</v>
      </c>
      <c r="H416" t="str" cm="1">
        <f t="array" ref="H416">IF(AND(G416="",
      C416="Receipt"),
      _xlfn.XLOOKUP(1,
      (purchase_order_lines_coldchain!A416:A1414 = F416) *
      (purchase_order_lines_coldchain!G416:G1414 = E416) *
      (purchase_order_lines_coldchain!D416:D1414 = D416),
      purchase_order_lines_coldchain!B$2:B$1000,
      _xlfn.XLOOKUP(F416,purchase_order_lines_coldchain!A$2:A1414,
      purchase_order_lines_coldchain!B$2:B1414)),
      "")</f>
        <v/>
      </c>
      <c r="I416" t="str">
        <f t="shared" si="6"/>
        <v>SO-194856</v>
      </c>
      <c r="K416" s="11">
        <v>2</v>
      </c>
      <c r="L416" s="11">
        <v>-2</v>
      </c>
      <c r="M416" s="14">
        <v>1.8</v>
      </c>
      <c r="N416" s="14">
        <v>-3.6</v>
      </c>
      <c r="O416">
        <v>6.9</v>
      </c>
      <c r="P416" t="s">
        <v>3277</v>
      </c>
    </row>
    <row r="417" spans="1:16" x14ac:dyDescent="0.25">
      <c r="A417" t="s">
        <v>2403</v>
      </c>
      <c r="B417" s="1">
        <v>45775.281944444447</v>
      </c>
      <c r="C417" t="s">
        <v>3276</v>
      </c>
      <c r="D417" t="s">
        <v>968</v>
      </c>
      <c r="E417" t="s">
        <v>530</v>
      </c>
      <c r="G417" t="s">
        <v>2404</v>
      </c>
      <c r="H417" t="str" cm="1">
        <f t="array" ref="H417">IF(AND(G417="",
      C417="Receipt"),
      _xlfn.XLOOKUP(1,
      (purchase_order_lines_coldchain!A417:A1415 = F417) *
      (purchase_order_lines_coldchain!G417:G1415 = E417) *
      (purchase_order_lines_coldchain!D417:D1415 = D417),
      purchase_order_lines_coldchain!B$2:B$1000,
      _xlfn.XLOOKUP(F417,purchase_order_lines_coldchain!A$2:A1415,
      purchase_order_lines_coldchain!B$2:B1415)),
      "")</f>
        <v/>
      </c>
      <c r="I417" t="str">
        <f t="shared" si="6"/>
        <v>SO-121093</v>
      </c>
      <c r="K417" s="11">
        <v>5</v>
      </c>
      <c r="L417" s="11">
        <v>-5</v>
      </c>
      <c r="M417" s="14">
        <v>13.86</v>
      </c>
      <c r="N417" s="14">
        <v>-69.3</v>
      </c>
      <c r="O417">
        <v>5</v>
      </c>
      <c r="P417" t="s">
        <v>3277</v>
      </c>
    </row>
    <row r="418" spans="1:16" x14ac:dyDescent="0.25">
      <c r="A418" t="s">
        <v>2405</v>
      </c>
      <c r="B418" s="1">
        <v>45695.944444444445</v>
      </c>
      <c r="C418" t="s">
        <v>3278</v>
      </c>
      <c r="D418" t="s">
        <v>990</v>
      </c>
      <c r="E418" t="s">
        <v>837</v>
      </c>
      <c r="G418" t="s">
        <v>2406</v>
      </c>
      <c r="H418" t="str" cm="1">
        <f t="array" ref="H418">IF(AND(G418="",
      C418="Receipt"),
      _xlfn.XLOOKUP(1,
      (purchase_order_lines_coldchain!A418:A1416 = F418) *
      (purchase_order_lines_coldchain!G418:G1416 = E418) *
      (purchase_order_lines_coldchain!D418:D1416 = D418),
      purchase_order_lines_coldchain!B$2:B$1000,
      _xlfn.XLOOKUP(F418,purchase_order_lines_coldchain!A$2:A1416,
      purchase_order_lines_coldchain!B$2:B1416)),
      "")</f>
        <v/>
      </c>
      <c r="I418" t="str">
        <f t="shared" si="6"/>
        <v>SO-198222</v>
      </c>
      <c r="K418" s="11">
        <v>10</v>
      </c>
      <c r="L418" s="11">
        <v>-10</v>
      </c>
      <c r="M418" s="14">
        <v>13.41</v>
      </c>
      <c r="N418" s="14">
        <v>-134.1</v>
      </c>
      <c r="O418">
        <v>3.3</v>
      </c>
      <c r="P418" t="s">
        <v>3277</v>
      </c>
    </row>
    <row r="419" spans="1:16" x14ac:dyDescent="0.25">
      <c r="A419" t="s">
        <v>2407</v>
      </c>
      <c r="B419" s="1">
        <v>45767.834027777775</v>
      </c>
      <c r="C419" t="s">
        <v>3278</v>
      </c>
      <c r="D419" t="s">
        <v>959</v>
      </c>
      <c r="E419" t="s">
        <v>606</v>
      </c>
      <c r="G419" t="s">
        <v>2408</v>
      </c>
      <c r="H419" t="str" cm="1">
        <f t="array" ref="H419">IF(AND(G419="",
      C419="Receipt"),
      _xlfn.XLOOKUP(1,
      (purchase_order_lines_coldchain!A419:A1417 = F419) *
      (purchase_order_lines_coldchain!G419:G1417 = E419) *
      (purchase_order_lines_coldchain!D419:D1417 = D419),
      purchase_order_lines_coldchain!B$2:B$1000,
      _xlfn.XLOOKUP(F419,purchase_order_lines_coldchain!A$2:A1417,
      purchase_order_lines_coldchain!B$2:B1417)),
      "")</f>
        <v/>
      </c>
      <c r="I419" t="str">
        <f t="shared" si="6"/>
        <v>SO-173737</v>
      </c>
      <c r="K419" s="11">
        <v>10</v>
      </c>
      <c r="L419" s="11">
        <v>-10</v>
      </c>
      <c r="M419" s="14">
        <v>2.4700000000000002</v>
      </c>
      <c r="N419" s="14">
        <v>-24.7</v>
      </c>
      <c r="O419">
        <v>3.6</v>
      </c>
      <c r="P419" t="s">
        <v>3277</v>
      </c>
    </row>
    <row r="420" spans="1:16" x14ac:dyDescent="0.25">
      <c r="A420" t="s">
        <v>2409</v>
      </c>
      <c r="B420" s="1">
        <v>45704.751388888886</v>
      </c>
      <c r="C420" t="s">
        <v>3278</v>
      </c>
      <c r="D420" t="s">
        <v>964</v>
      </c>
      <c r="E420" t="s">
        <v>888</v>
      </c>
      <c r="G420" t="s">
        <v>2410</v>
      </c>
      <c r="H420" t="str" cm="1">
        <f t="array" ref="H420">IF(AND(G420="",
      C420="Receipt"),
      _xlfn.XLOOKUP(1,
      (purchase_order_lines_coldchain!A420:A1418 = F420) *
      (purchase_order_lines_coldchain!G420:G1418 = E420) *
      (purchase_order_lines_coldchain!D420:D1418 = D420),
      purchase_order_lines_coldchain!B$2:B$1000,
      _xlfn.XLOOKUP(F420,purchase_order_lines_coldchain!A$2:A1418,
      purchase_order_lines_coldchain!B$2:B1418)),
      "")</f>
        <v/>
      </c>
      <c r="I420" t="str">
        <f t="shared" si="6"/>
        <v>SO-170140</v>
      </c>
      <c r="K420" s="11">
        <v>10</v>
      </c>
      <c r="L420" s="11">
        <v>-10</v>
      </c>
      <c r="M420" s="14">
        <v>3.81</v>
      </c>
      <c r="N420" s="14">
        <v>-38.1</v>
      </c>
      <c r="O420">
        <v>5</v>
      </c>
      <c r="P420" t="s">
        <v>3277</v>
      </c>
    </row>
    <row r="421" spans="1:16" x14ac:dyDescent="0.25">
      <c r="A421" t="s">
        <v>2411</v>
      </c>
      <c r="B421" s="1">
        <v>45725.412499999999</v>
      </c>
      <c r="C421" t="s">
        <v>3276</v>
      </c>
      <c r="D421" t="s">
        <v>959</v>
      </c>
      <c r="E421" t="s">
        <v>530</v>
      </c>
      <c r="G421" t="s">
        <v>1678</v>
      </c>
      <c r="H421" t="str" cm="1">
        <f t="array" ref="H421">IF(AND(G421="",
      C421="Receipt"),
      _xlfn.XLOOKUP(1,
      (purchase_order_lines_coldchain!A421:A1419 = F421) *
      (purchase_order_lines_coldchain!G421:G1419 = E421) *
      (purchase_order_lines_coldchain!D421:D1419 = D421),
      purchase_order_lines_coldchain!B$2:B$1000,
      _xlfn.XLOOKUP(F421,purchase_order_lines_coldchain!A$2:A1419,
      purchase_order_lines_coldchain!B$2:B1419)),
      "")</f>
        <v/>
      </c>
      <c r="I421" t="str">
        <f t="shared" si="6"/>
        <v/>
      </c>
      <c r="K421" s="11">
        <v>7</v>
      </c>
      <c r="L421" s="11">
        <v>-7</v>
      </c>
      <c r="M421" s="14">
        <v>13.86</v>
      </c>
      <c r="N421" s="14">
        <v>-97.02</v>
      </c>
      <c r="O421">
        <v>5.0999999999999996</v>
      </c>
      <c r="P421" t="s">
        <v>3277</v>
      </c>
    </row>
    <row r="422" spans="1:16" x14ac:dyDescent="0.25">
      <c r="A422" t="s">
        <v>2412</v>
      </c>
      <c r="B422" s="1">
        <v>45717.818749999999</v>
      </c>
      <c r="C422" t="s">
        <v>3278</v>
      </c>
      <c r="D422" t="s">
        <v>972</v>
      </c>
      <c r="E422" t="s">
        <v>417</v>
      </c>
      <c r="G422" t="s">
        <v>2413</v>
      </c>
      <c r="H422" t="str" cm="1">
        <f t="array" ref="H422">IF(AND(G422="",
      C422="Receipt"),
      _xlfn.XLOOKUP(1,
      (purchase_order_lines_coldchain!A422:A1420 = F422) *
      (purchase_order_lines_coldchain!G422:G1420 = E422) *
      (purchase_order_lines_coldchain!D422:D1420 = D422),
      purchase_order_lines_coldchain!B$2:B$1000,
      _xlfn.XLOOKUP(F422,purchase_order_lines_coldchain!A$2:A1420,
      purchase_order_lines_coldchain!B$2:B1420)),
      "")</f>
        <v/>
      </c>
      <c r="I422" t="str">
        <f t="shared" si="6"/>
        <v>SO-117734</v>
      </c>
      <c r="K422" s="11">
        <v>10</v>
      </c>
      <c r="L422" s="11">
        <v>-10</v>
      </c>
      <c r="M422" s="14">
        <v>8.14</v>
      </c>
      <c r="N422" s="14">
        <v>-81.400000000000006</v>
      </c>
      <c r="O422">
        <v>2</v>
      </c>
      <c r="P422" t="s">
        <v>3277</v>
      </c>
    </row>
    <row r="423" spans="1:16" x14ac:dyDescent="0.25">
      <c r="A423" t="s">
        <v>2414</v>
      </c>
      <c r="B423" s="1">
        <v>45745.787499999999</v>
      </c>
      <c r="C423" t="s">
        <v>3278</v>
      </c>
      <c r="D423" t="s">
        <v>990</v>
      </c>
      <c r="E423" t="s">
        <v>417</v>
      </c>
      <c r="G423" t="s">
        <v>2415</v>
      </c>
      <c r="H423" t="str" cm="1">
        <f t="array" ref="H423">IF(AND(G423="",
      C423="Receipt"),
      _xlfn.XLOOKUP(1,
      (purchase_order_lines_coldchain!A423:A1421 = F423) *
      (purchase_order_lines_coldchain!G423:G1421 = E423) *
      (purchase_order_lines_coldchain!D423:D1421 = D423),
      purchase_order_lines_coldchain!B$2:B$1000,
      _xlfn.XLOOKUP(F423,purchase_order_lines_coldchain!A$2:A1421,
      purchase_order_lines_coldchain!B$2:B1421)),
      "")</f>
        <v/>
      </c>
      <c r="I423" t="str">
        <f t="shared" si="6"/>
        <v>SO-193919</v>
      </c>
      <c r="K423" s="11">
        <v>7</v>
      </c>
      <c r="L423" s="11">
        <v>-7</v>
      </c>
      <c r="M423" s="14">
        <v>8.14</v>
      </c>
      <c r="N423" s="14">
        <v>-56.98</v>
      </c>
      <c r="O423">
        <v>6.3</v>
      </c>
      <c r="P423" t="s">
        <v>3277</v>
      </c>
    </row>
    <row r="424" spans="1:16" x14ac:dyDescent="0.25">
      <c r="A424" t="s">
        <v>2416</v>
      </c>
      <c r="B424" s="1">
        <v>45743.429861111108</v>
      </c>
      <c r="C424" t="s">
        <v>3278</v>
      </c>
      <c r="D424" t="s">
        <v>959</v>
      </c>
      <c r="E424" t="s">
        <v>888</v>
      </c>
      <c r="G424" t="s">
        <v>2417</v>
      </c>
      <c r="H424" t="str" cm="1">
        <f t="array" ref="H424">IF(AND(G424="",
      C424="Receipt"),
      _xlfn.XLOOKUP(1,
      (purchase_order_lines_coldchain!A424:A1422 = F424) *
      (purchase_order_lines_coldchain!G424:G1422 = E424) *
      (purchase_order_lines_coldchain!D424:D1422 = D424),
      purchase_order_lines_coldchain!B$2:B$1000,
      _xlfn.XLOOKUP(F424,purchase_order_lines_coldchain!A$2:A1422,
      purchase_order_lines_coldchain!B$2:B1422)),
      "")</f>
        <v/>
      </c>
      <c r="I424" t="str">
        <f t="shared" si="6"/>
        <v>SO-197525</v>
      </c>
      <c r="K424" s="11">
        <v>8</v>
      </c>
      <c r="L424" s="11">
        <v>-8</v>
      </c>
      <c r="M424" s="14">
        <v>3.81</v>
      </c>
      <c r="N424" s="14">
        <v>-30.48</v>
      </c>
      <c r="O424">
        <v>4.5</v>
      </c>
      <c r="P424" t="s">
        <v>3277</v>
      </c>
    </row>
    <row r="425" spans="1:16" x14ac:dyDescent="0.25">
      <c r="A425" t="s">
        <v>2418</v>
      </c>
      <c r="B425" s="1">
        <v>45714.745833333334</v>
      </c>
      <c r="C425" t="s">
        <v>3278</v>
      </c>
      <c r="D425" t="s">
        <v>999</v>
      </c>
      <c r="E425" t="s">
        <v>888</v>
      </c>
      <c r="G425" t="s">
        <v>2419</v>
      </c>
      <c r="H425" t="str" cm="1">
        <f t="array" ref="H425">IF(AND(G425="",
      C425="Receipt"),
      _xlfn.XLOOKUP(1,
      (purchase_order_lines_coldchain!A425:A1423 = F425) *
      (purchase_order_lines_coldchain!G425:G1423 = E425) *
      (purchase_order_lines_coldchain!D425:D1423 = D425),
      purchase_order_lines_coldchain!B$2:B$1000,
      _xlfn.XLOOKUP(F425,purchase_order_lines_coldchain!A$2:A1423,
      purchase_order_lines_coldchain!B$2:B1423)),
      "")</f>
        <v/>
      </c>
      <c r="I425" t="str">
        <f t="shared" si="6"/>
        <v>SO-124711</v>
      </c>
      <c r="K425" s="11">
        <v>9</v>
      </c>
      <c r="L425" s="11">
        <v>-9</v>
      </c>
      <c r="M425" s="14">
        <v>3.81</v>
      </c>
      <c r="N425" s="14">
        <v>-34.29</v>
      </c>
      <c r="O425">
        <v>1.3</v>
      </c>
      <c r="P425" t="s">
        <v>3277</v>
      </c>
    </row>
    <row r="426" spans="1:16" x14ac:dyDescent="0.25">
      <c r="A426" t="s">
        <v>2420</v>
      </c>
      <c r="B426" s="1">
        <v>45714.193055555559</v>
      </c>
      <c r="C426" t="s">
        <v>3278</v>
      </c>
      <c r="D426" t="s">
        <v>990</v>
      </c>
      <c r="E426" t="s">
        <v>591</v>
      </c>
      <c r="G426" t="s">
        <v>2421</v>
      </c>
      <c r="H426" t="str" cm="1">
        <f t="array" ref="H426">IF(AND(G426="",
      C426="Receipt"),
      _xlfn.XLOOKUP(1,
      (purchase_order_lines_coldchain!A426:A1424 = F426) *
      (purchase_order_lines_coldchain!G426:G1424 = E426) *
      (purchase_order_lines_coldchain!D426:D1424 = D426),
      purchase_order_lines_coldchain!B$2:B$1000,
      _xlfn.XLOOKUP(F426,purchase_order_lines_coldchain!A$2:A1424,
      purchase_order_lines_coldchain!B$2:B1424)),
      "")</f>
        <v/>
      </c>
      <c r="I426" t="str">
        <f t="shared" si="6"/>
        <v>SO-124580</v>
      </c>
      <c r="K426" s="11">
        <v>3</v>
      </c>
      <c r="L426" s="11">
        <v>-3</v>
      </c>
      <c r="M426" s="14">
        <v>16.079999999999998</v>
      </c>
      <c r="N426" s="14">
        <v>-48.24</v>
      </c>
      <c r="O426">
        <v>4.3</v>
      </c>
      <c r="P426" t="s">
        <v>3277</v>
      </c>
    </row>
    <row r="427" spans="1:16" x14ac:dyDescent="0.25">
      <c r="A427" t="s">
        <v>2422</v>
      </c>
      <c r="B427" s="1">
        <v>45769.397916666669</v>
      </c>
      <c r="C427" t="s">
        <v>3276</v>
      </c>
      <c r="D427" t="s">
        <v>968</v>
      </c>
      <c r="E427" t="s">
        <v>526</v>
      </c>
      <c r="G427" t="s">
        <v>2423</v>
      </c>
      <c r="H427" t="str" cm="1">
        <f t="array" ref="H427">IF(AND(G427="",
      C427="Receipt"),
      _xlfn.XLOOKUP(1,
      (purchase_order_lines_coldchain!A427:A1425 = F427) *
      (purchase_order_lines_coldchain!G427:G1425 = E427) *
      (purchase_order_lines_coldchain!D427:D1425 = D427),
      purchase_order_lines_coldchain!B$2:B$1000,
      _xlfn.XLOOKUP(F427,purchase_order_lines_coldchain!A$2:A1425,
      purchase_order_lines_coldchain!B$2:B1425)),
      "")</f>
        <v/>
      </c>
      <c r="I427" t="str">
        <f t="shared" si="6"/>
        <v>SO-142380</v>
      </c>
      <c r="K427" s="11">
        <v>10</v>
      </c>
      <c r="L427" s="11">
        <v>-10</v>
      </c>
      <c r="M427" s="14">
        <v>11.73</v>
      </c>
      <c r="N427" s="14">
        <v>-117.3</v>
      </c>
      <c r="O427">
        <v>0.6</v>
      </c>
      <c r="P427" t="s">
        <v>3277</v>
      </c>
    </row>
    <row r="428" spans="1:16" x14ac:dyDescent="0.25">
      <c r="A428" t="s">
        <v>2424</v>
      </c>
      <c r="B428" s="1">
        <v>45744.100694444445</v>
      </c>
      <c r="C428" t="s">
        <v>3276</v>
      </c>
      <c r="D428" t="s">
        <v>996</v>
      </c>
      <c r="E428" t="s">
        <v>639</v>
      </c>
      <c r="G428" t="s">
        <v>2425</v>
      </c>
      <c r="H428" t="str" cm="1">
        <f t="array" ref="H428">IF(AND(G428="",
      C428="Receipt"),
      _xlfn.XLOOKUP(1,
      (purchase_order_lines_coldchain!A428:A1426 = F428) *
      (purchase_order_lines_coldchain!G428:G1426 = E428) *
      (purchase_order_lines_coldchain!D428:D1426 = D428),
      purchase_order_lines_coldchain!B$2:B$1000,
      _xlfn.XLOOKUP(F428,purchase_order_lines_coldchain!A$2:A1426,
      purchase_order_lines_coldchain!B$2:B1426)),
      "")</f>
        <v/>
      </c>
      <c r="I428" t="str">
        <f t="shared" si="6"/>
        <v>SO-163544</v>
      </c>
      <c r="K428" s="11">
        <v>12</v>
      </c>
      <c r="L428" s="11">
        <v>-12</v>
      </c>
      <c r="M428" s="14">
        <v>14.38</v>
      </c>
      <c r="N428" s="14">
        <v>-172.56</v>
      </c>
      <c r="O428">
        <v>7.2</v>
      </c>
      <c r="P428" t="s">
        <v>3277</v>
      </c>
    </row>
    <row r="429" spans="1:16" x14ac:dyDescent="0.25">
      <c r="A429" t="s">
        <v>2426</v>
      </c>
      <c r="B429" s="1">
        <v>45772.397916666669</v>
      </c>
      <c r="C429" t="s">
        <v>3276</v>
      </c>
      <c r="D429" t="s">
        <v>976</v>
      </c>
      <c r="E429" t="s">
        <v>846</v>
      </c>
      <c r="G429" t="s">
        <v>2427</v>
      </c>
      <c r="H429" t="str" cm="1">
        <f t="array" ref="H429">IF(AND(G429="",
      C429="Receipt"),
      _xlfn.XLOOKUP(1,
      (purchase_order_lines_coldchain!A429:A1427 = F429) *
      (purchase_order_lines_coldchain!G429:G1427 = E429) *
      (purchase_order_lines_coldchain!D429:D1427 = D429),
      purchase_order_lines_coldchain!B$2:B$1000,
      _xlfn.XLOOKUP(F429,purchase_order_lines_coldchain!A$2:A1427,
      purchase_order_lines_coldchain!B$2:B1427)),
      "")</f>
        <v/>
      </c>
      <c r="I429" t="str">
        <f t="shared" si="6"/>
        <v>SO-144786</v>
      </c>
      <c r="K429" s="11">
        <v>4</v>
      </c>
      <c r="L429" s="11">
        <v>-4</v>
      </c>
      <c r="M429" s="14">
        <v>15.39</v>
      </c>
      <c r="N429" s="14">
        <v>-61.56</v>
      </c>
      <c r="O429">
        <v>3.5</v>
      </c>
      <c r="P429" t="s">
        <v>3277</v>
      </c>
    </row>
    <row r="430" spans="1:16" x14ac:dyDescent="0.25">
      <c r="A430" t="s">
        <v>2428</v>
      </c>
      <c r="B430" s="1">
        <v>45758.900694444441</v>
      </c>
      <c r="C430" t="s">
        <v>3278</v>
      </c>
      <c r="D430" t="s">
        <v>972</v>
      </c>
      <c r="E430" t="s">
        <v>440</v>
      </c>
      <c r="G430" t="s">
        <v>2429</v>
      </c>
      <c r="H430" t="str" cm="1">
        <f t="array" ref="H430">IF(AND(G430="",
      C430="Receipt"),
      _xlfn.XLOOKUP(1,
      (purchase_order_lines_coldchain!A430:A1428 = F430) *
      (purchase_order_lines_coldchain!G430:G1428 = E430) *
      (purchase_order_lines_coldchain!D430:D1428 = D430),
      purchase_order_lines_coldchain!B$2:B$1000,
      _xlfn.XLOOKUP(F430,purchase_order_lines_coldchain!A$2:A1428,
      purchase_order_lines_coldchain!B$2:B1428)),
      "")</f>
        <v/>
      </c>
      <c r="I430" t="str">
        <f t="shared" si="6"/>
        <v>SO-155084</v>
      </c>
      <c r="K430" s="11">
        <v>9</v>
      </c>
      <c r="L430" s="11">
        <v>-9</v>
      </c>
      <c r="M430" s="14">
        <v>6.07</v>
      </c>
      <c r="N430" s="14">
        <v>-54.63</v>
      </c>
      <c r="O430">
        <v>0.5</v>
      </c>
      <c r="P430" t="s">
        <v>3277</v>
      </c>
    </row>
    <row r="431" spans="1:16" x14ac:dyDescent="0.25">
      <c r="A431" t="s">
        <v>2430</v>
      </c>
      <c r="B431" s="1">
        <v>45702.919444444444</v>
      </c>
      <c r="C431" t="s">
        <v>3278</v>
      </c>
      <c r="D431" t="s">
        <v>972</v>
      </c>
      <c r="E431" t="s">
        <v>828</v>
      </c>
      <c r="G431" t="s">
        <v>2431</v>
      </c>
      <c r="H431" t="str" cm="1">
        <f t="array" ref="H431">IF(AND(G431="",
      C431="Receipt"),
      _xlfn.XLOOKUP(1,
      (purchase_order_lines_coldchain!A431:A1429 = F431) *
      (purchase_order_lines_coldchain!G431:G1429 = E431) *
      (purchase_order_lines_coldchain!D431:D1429 = D431),
      purchase_order_lines_coldchain!B$2:B$1000,
      _xlfn.XLOOKUP(F431,purchase_order_lines_coldchain!A$2:A1429,
      purchase_order_lines_coldchain!B$2:B1429)),
      "")</f>
        <v/>
      </c>
      <c r="I431" t="str">
        <f t="shared" si="6"/>
        <v>SO-128932</v>
      </c>
      <c r="K431" s="11">
        <v>7</v>
      </c>
      <c r="L431" s="11">
        <v>-7</v>
      </c>
      <c r="M431" s="14">
        <v>10.050000000000001</v>
      </c>
      <c r="N431" s="14">
        <v>-70.349999999999994</v>
      </c>
      <c r="O431">
        <v>1.8</v>
      </c>
      <c r="P431" t="s">
        <v>3277</v>
      </c>
    </row>
    <row r="432" spans="1:16" x14ac:dyDescent="0.25">
      <c r="A432" t="s">
        <v>2432</v>
      </c>
      <c r="B432" s="1">
        <v>45716.097222222219</v>
      </c>
      <c r="C432" t="s">
        <v>3276</v>
      </c>
      <c r="D432" t="s">
        <v>964</v>
      </c>
      <c r="E432" t="s">
        <v>801</v>
      </c>
      <c r="G432" t="s">
        <v>2433</v>
      </c>
      <c r="H432" t="str" cm="1">
        <f t="array" ref="H432">IF(AND(G432="",
      C432="Receipt"),
      _xlfn.XLOOKUP(1,
      (purchase_order_lines_coldchain!A432:A1430 = F432) *
      (purchase_order_lines_coldchain!G432:G1430 = E432) *
      (purchase_order_lines_coldchain!D432:D1430 = D432),
      purchase_order_lines_coldchain!B$2:B$1000,
      _xlfn.XLOOKUP(F432,purchase_order_lines_coldchain!A$2:A1430,
      purchase_order_lines_coldchain!B$2:B1430)),
      "")</f>
        <v/>
      </c>
      <c r="I432" t="str">
        <f t="shared" si="6"/>
        <v>SO-172834</v>
      </c>
      <c r="K432" s="11">
        <v>12</v>
      </c>
      <c r="L432" s="11">
        <v>-12</v>
      </c>
      <c r="M432" s="14">
        <v>5.67</v>
      </c>
      <c r="N432" s="14">
        <v>-68.040000000000006</v>
      </c>
      <c r="O432">
        <v>5.6</v>
      </c>
      <c r="P432" t="s">
        <v>3277</v>
      </c>
    </row>
    <row r="433" spans="1:16" x14ac:dyDescent="0.25">
      <c r="A433" t="s">
        <v>2434</v>
      </c>
      <c r="B433" s="1">
        <v>45696.746527777781</v>
      </c>
      <c r="C433" t="s">
        <v>3278</v>
      </c>
      <c r="D433" t="s">
        <v>996</v>
      </c>
      <c r="E433" t="s">
        <v>603</v>
      </c>
      <c r="G433" t="s">
        <v>2435</v>
      </c>
      <c r="H433" t="str" cm="1">
        <f t="array" ref="H433">IF(AND(G433="",
      C433="Receipt"),
      _xlfn.XLOOKUP(1,
      (purchase_order_lines_coldchain!A433:A1431 = F433) *
      (purchase_order_lines_coldchain!G433:G1431 = E433) *
      (purchase_order_lines_coldchain!D433:D1431 = D433),
      purchase_order_lines_coldchain!B$2:B$1000,
      _xlfn.XLOOKUP(F433,purchase_order_lines_coldchain!A$2:A1431,
      purchase_order_lines_coldchain!B$2:B1431)),
      "")</f>
        <v/>
      </c>
      <c r="I433" t="str">
        <f t="shared" si="6"/>
        <v>SO-107567</v>
      </c>
      <c r="K433" s="11">
        <v>1</v>
      </c>
      <c r="L433" s="11">
        <v>-1</v>
      </c>
      <c r="M433" s="14">
        <v>4.82</v>
      </c>
      <c r="N433" s="14">
        <v>-4.82</v>
      </c>
      <c r="O433">
        <v>4.8</v>
      </c>
      <c r="P433" t="s">
        <v>3277</v>
      </c>
    </row>
    <row r="434" spans="1:16" x14ac:dyDescent="0.25">
      <c r="A434" t="s">
        <v>2436</v>
      </c>
      <c r="B434" s="1">
        <v>45744.522222222222</v>
      </c>
      <c r="C434" t="s">
        <v>3278</v>
      </c>
      <c r="D434" t="s">
        <v>990</v>
      </c>
      <c r="E434" t="s">
        <v>696</v>
      </c>
      <c r="G434" t="s">
        <v>2437</v>
      </c>
      <c r="H434" t="str" cm="1">
        <f t="array" ref="H434">IF(AND(G434="",
      C434="Receipt"),
      _xlfn.XLOOKUP(1,
      (purchase_order_lines_coldchain!A434:A1432 = F434) *
      (purchase_order_lines_coldchain!G434:G1432 = E434) *
      (purchase_order_lines_coldchain!D434:D1432 = D434),
      purchase_order_lines_coldchain!B$2:B$1000,
      _xlfn.XLOOKUP(F434,purchase_order_lines_coldchain!A$2:A1432,
      purchase_order_lines_coldchain!B$2:B1432)),
      "")</f>
        <v/>
      </c>
      <c r="I434" t="str">
        <f t="shared" si="6"/>
        <v>SO-112381</v>
      </c>
      <c r="K434" s="11">
        <v>4</v>
      </c>
      <c r="L434" s="11">
        <v>-4</v>
      </c>
      <c r="M434" s="14">
        <v>4.99</v>
      </c>
      <c r="N434" s="14">
        <v>-19.96</v>
      </c>
      <c r="O434">
        <v>9.1</v>
      </c>
      <c r="P434" t="s">
        <v>3277</v>
      </c>
    </row>
    <row r="435" spans="1:16" x14ac:dyDescent="0.25">
      <c r="A435" t="s">
        <v>2438</v>
      </c>
      <c r="B435" s="1">
        <v>45739.283333333333</v>
      </c>
      <c r="C435" t="s">
        <v>3276</v>
      </c>
      <c r="D435" t="s">
        <v>996</v>
      </c>
      <c r="E435" t="s">
        <v>882</v>
      </c>
      <c r="G435" t="s">
        <v>2439</v>
      </c>
      <c r="H435" t="str" cm="1">
        <f t="array" ref="H435">IF(AND(G435="",
      C435="Receipt"),
      _xlfn.XLOOKUP(1,
      (purchase_order_lines_coldchain!A435:A1433 = F435) *
      (purchase_order_lines_coldchain!G435:G1433 = E435) *
      (purchase_order_lines_coldchain!D435:D1433 = D435),
      purchase_order_lines_coldchain!B$2:B$1000,
      _xlfn.XLOOKUP(F435,purchase_order_lines_coldchain!A$2:A1433,
      purchase_order_lines_coldchain!B$2:B1433)),
      "")</f>
        <v/>
      </c>
      <c r="I435" t="str">
        <f t="shared" si="6"/>
        <v>SO-144796</v>
      </c>
      <c r="K435" s="11">
        <v>5</v>
      </c>
      <c r="L435" s="11">
        <v>-5</v>
      </c>
      <c r="M435" s="14">
        <v>3.49</v>
      </c>
      <c r="N435" s="14">
        <v>-17.45</v>
      </c>
      <c r="O435">
        <v>4.8</v>
      </c>
      <c r="P435" t="s">
        <v>3277</v>
      </c>
    </row>
    <row r="436" spans="1:16" x14ac:dyDescent="0.25">
      <c r="A436" t="s">
        <v>2440</v>
      </c>
      <c r="B436" s="1">
        <v>45766.579861111109</v>
      </c>
      <c r="C436" t="s">
        <v>3278</v>
      </c>
      <c r="D436" t="s">
        <v>964</v>
      </c>
      <c r="E436" t="s">
        <v>639</v>
      </c>
      <c r="G436" t="s">
        <v>2441</v>
      </c>
      <c r="H436" t="str" cm="1">
        <f t="array" ref="H436">IF(AND(G436="",
      C436="Receipt"),
      _xlfn.XLOOKUP(1,
      (purchase_order_lines_coldchain!A436:A1434 = F436) *
      (purchase_order_lines_coldchain!G436:G1434 = E436) *
      (purchase_order_lines_coldchain!D436:D1434 = D436),
      purchase_order_lines_coldchain!B$2:B$1000,
      _xlfn.XLOOKUP(F436,purchase_order_lines_coldchain!A$2:A1434,
      purchase_order_lines_coldchain!B$2:B1434)),
      "")</f>
        <v/>
      </c>
      <c r="I436" t="str">
        <f t="shared" si="6"/>
        <v>SO-181086</v>
      </c>
      <c r="K436" s="11">
        <v>7</v>
      </c>
      <c r="L436" s="11">
        <v>-7</v>
      </c>
      <c r="M436" s="14">
        <v>14.38</v>
      </c>
      <c r="N436" s="14">
        <v>-100.66</v>
      </c>
      <c r="O436">
        <v>2.9</v>
      </c>
      <c r="P436" t="s">
        <v>3277</v>
      </c>
    </row>
    <row r="437" spans="1:16" x14ac:dyDescent="0.25">
      <c r="A437" t="s">
        <v>2442</v>
      </c>
      <c r="B437" s="1">
        <v>45732.373611111114</v>
      </c>
      <c r="C437" t="s">
        <v>3278</v>
      </c>
      <c r="D437" t="s">
        <v>972</v>
      </c>
      <c r="E437" t="s">
        <v>554</v>
      </c>
      <c r="G437" t="s">
        <v>2443</v>
      </c>
      <c r="H437" t="str" cm="1">
        <f t="array" ref="H437">IF(AND(G437="",
      C437="Receipt"),
      _xlfn.XLOOKUP(1,
      (purchase_order_lines_coldchain!A437:A1435 = F437) *
      (purchase_order_lines_coldchain!G437:G1435 = E437) *
      (purchase_order_lines_coldchain!D437:D1435 = D437),
      purchase_order_lines_coldchain!B$2:B$1000,
      _xlfn.XLOOKUP(F437,purchase_order_lines_coldchain!A$2:A1435,
      purchase_order_lines_coldchain!B$2:B1435)),
      "")</f>
        <v/>
      </c>
      <c r="I437" t="str">
        <f t="shared" si="6"/>
        <v>SO-169997</v>
      </c>
      <c r="K437" s="11">
        <v>5</v>
      </c>
      <c r="L437" s="11">
        <v>-5</v>
      </c>
      <c r="M437" s="14">
        <v>16.690000000000001</v>
      </c>
      <c r="N437" s="14">
        <v>-83.45</v>
      </c>
      <c r="O437">
        <v>4.4000000000000004</v>
      </c>
      <c r="P437" t="s">
        <v>3277</v>
      </c>
    </row>
    <row r="438" spans="1:16" x14ac:dyDescent="0.25">
      <c r="A438" t="s">
        <v>2444</v>
      </c>
      <c r="B438" s="1">
        <v>45753.411805555559</v>
      </c>
      <c r="C438" t="s">
        <v>3278</v>
      </c>
      <c r="D438" t="s">
        <v>980</v>
      </c>
      <c r="E438" t="s">
        <v>933</v>
      </c>
      <c r="G438" t="s">
        <v>2445</v>
      </c>
      <c r="H438" t="str" cm="1">
        <f t="array" ref="H438">IF(AND(G438="",
      C438="Receipt"),
      _xlfn.XLOOKUP(1,
      (purchase_order_lines_coldchain!A438:A1436 = F438) *
      (purchase_order_lines_coldchain!G438:G1436 = E438) *
      (purchase_order_lines_coldchain!D438:D1436 = D438),
      purchase_order_lines_coldchain!B$2:B$1000,
      _xlfn.XLOOKUP(F438,purchase_order_lines_coldchain!A$2:A1436,
      purchase_order_lines_coldchain!B$2:B1436)),
      "")</f>
        <v/>
      </c>
      <c r="I438" t="str">
        <f t="shared" si="6"/>
        <v>SO-177385</v>
      </c>
      <c r="K438" s="11">
        <v>7</v>
      </c>
      <c r="L438" s="11">
        <v>-7</v>
      </c>
      <c r="M438" s="14">
        <v>4.8600000000000003</v>
      </c>
      <c r="N438" s="14">
        <v>-34.020000000000003</v>
      </c>
      <c r="O438">
        <v>-0.7</v>
      </c>
      <c r="P438" t="s">
        <v>3277</v>
      </c>
    </row>
    <row r="439" spans="1:16" x14ac:dyDescent="0.25">
      <c r="A439" t="s">
        <v>2446</v>
      </c>
      <c r="B439" s="1">
        <v>45749.377083333333</v>
      </c>
      <c r="C439" t="s">
        <v>3278</v>
      </c>
      <c r="D439" t="s">
        <v>996</v>
      </c>
      <c r="E439" t="s">
        <v>762</v>
      </c>
      <c r="G439" t="s">
        <v>2447</v>
      </c>
      <c r="H439" t="str" cm="1">
        <f t="array" ref="H439">IF(AND(G439="",
      C439="Receipt"),
      _xlfn.XLOOKUP(1,
      (purchase_order_lines_coldchain!A439:A1437 = F439) *
      (purchase_order_lines_coldchain!G439:G1437 = E439) *
      (purchase_order_lines_coldchain!D439:D1437 = D439),
      purchase_order_lines_coldchain!B$2:B$1000,
      _xlfn.XLOOKUP(F439,purchase_order_lines_coldchain!A$2:A1437,
      purchase_order_lines_coldchain!B$2:B1437)),
      "")</f>
        <v/>
      </c>
      <c r="I439" t="str">
        <f t="shared" si="6"/>
        <v>SO-163770</v>
      </c>
      <c r="K439" s="11">
        <v>8</v>
      </c>
      <c r="L439" s="11">
        <v>-8</v>
      </c>
      <c r="M439" s="14">
        <v>8.8699999999999992</v>
      </c>
      <c r="N439" s="14">
        <v>-70.959999999999994</v>
      </c>
      <c r="O439">
        <v>2.2000000000000002</v>
      </c>
      <c r="P439" t="s">
        <v>3277</v>
      </c>
    </row>
    <row r="440" spans="1:16" x14ac:dyDescent="0.25">
      <c r="A440" t="s">
        <v>2448</v>
      </c>
      <c r="B440" s="1">
        <v>45752.581944444442</v>
      </c>
      <c r="C440" t="s">
        <v>3278</v>
      </c>
      <c r="D440" t="s">
        <v>999</v>
      </c>
      <c r="E440" t="s">
        <v>882</v>
      </c>
      <c r="G440" t="s">
        <v>2449</v>
      </c>
      <c r="H440" t="str" cm="1">
        <f t="array" ref="H440">IF(AND(G440="",
      C440="Receipt"),
      _xlfn.XLOOKUP(1,
      (purchase_order_lines_coldchain!A440:A1438 = F440) *
      (purchase_order_lines_coldchain!G440:G1438 = E440) *
      (purchase_order_lines_coldchain!D440:D1438 = D440),
      purchase_order_lines_coldchain!B$2:B$1000,
      _xlfn.XLOOKUP(F440,purchase_order_lines_coldchain!A$2:A1438,
      purchase_order_lines_coldchain!B$2:B1438)),
      "")</f>
        <v/>
      </c>
      <c r="I440" t="str">
        <f t="shared" si="6"/>
        <v>SO-100846</v>
      </c>
      <c r="K440" s="11">
        <v>5</v>
      </c>
      <c r="L440" s="11">
        <v>-5</v>
      </c>
      <c r="M440" s="14">
        <v>3.49</v>
      </c>
      <c r="N440" s="14">
        <v>-17.45</v>
      </c>
      <c r="O440">
        <v>4.8</v>
      </c>
      <c r="P440" t="s">
        <v>3277</v>
      </c>
    </row>
    <row r="441" spans="1:16" x14ac:dyDescent="0.25">
      <c r="A441" t="s">
        <v>2450</v>
      </c>
      <c r="B441" s="1">
        <v>45715.638194444444</v>
      </c>
      <c r="C441" t="s">
        <v>3278</v>
      </c>
      <c r="D441" t="s">
        <v>987</v>
      </c>
      <c r="E441" t="s">
        <v>915</v>
      </c>
      <c r="G441" t="s">
        <v>2451</v>
      </c>
      <c r="H441" t="str" cm="1">
        <f t="array" ref="H441">IF(AND(G441="",
      C441="Receipt"),
      _xlfn.XLOOKUP(1,
      (purchase_order_lines_coldchain!A441:A1439 = F441) *
      (purchase_order_lines_coldchain!G441:G1439 = E441) *
      (purchase_order_lines_coldchain!D441:D1439 = D441),
      purchase_order_lines_coldchain!B$2:B$1000,
      _xlfn.XLOOKUP(F441,purchase_order_lines_coldchain!A$2:A1439,
      purchase_order_lines_coldchain!B$2:B1439)),
      "")</f>
        <v/>
      </c>
      <c r="I441" t="str">
        <f t="shared" si="6"/>
        <v>SO-156296</v>
      </c>
      <c r="K441" s="11">
        <v>5</v>
      </c>
      <c r="L441" s="11">
        <v>-5</v>
      </c>
      <c r="M441" s="14">
        <v>10.3</v>
      </c>
      <c r="N441" s="14">
        <v>-51.5</v>
      </c>
      <c r="O441">
        <v>3.5</v>
      </c>
      <c r="P441" t="s">
        <v>3277</v>
      </c>
    </row>
    <row r="442" spans="1:16" x14ac:dyDescent="0.25">
      <c r="A442" t="s">
        <v>2452</v>
      </c>
      <c r="B442" s="1">
        <v>45734.728472222225</v>
      </c>
      <c r="C442" t="s">
        <v>3278</v>
      </c>
      <c r="D442" t="s">
        <v>996</v>
      </c>
      <c r="E442" t="s">
        <v>675</v>
      </c>
      <c r="G442" t="s">
        <v>2453</v>
      </c>
      <c r="H442" t="str" cm="1">
        <f t="array" ref="H442">IF(AND(G442="",
      C442="Receipt"),
      _xlfn.XLOOKUP(1,
      (purchase_order_lines_coldchain!A442:A1440 = F442) *
      (purchase_order_lines_coldchain!G442:G1440 = E442) *
      (purchase_order_lines_coldchain!D442:D1440 = D442),
      purchase_order_lines_coldchain!B$2:B$1000,
      _xlfn.XLOOKUP(F442,purchase_order_lines_coldchain!A$2:A1440,
      purchase_order_lines_coldchain!B$2:B1440)),
      "")</f>
        <v/>
      </c>
      <c r="I442" t="str">
        <f t="shared" si="6"/>
        <v>SO-194199</v>
      </c>
      <c r="K442" s="11">
        <v>1</v>
      </c>
      <c r="L442" s="11">
        <v>-1</v>
      </c>
      <c r="M442" s="14">
        <v>6.57</v>
      </c>
      <c r="N442" s="14">
        <v>-6.57</v>
      </c>
      <c r="O442">
        <v>4.4000000000000004</v>
      </c>
      <c r="P442" t="s">
        <v>3277</v>
      </c>
    </row>
    <row r="443" spans="1:16" x14ac:dyDescent="0.25">
      <c r="A443" t="s">
        <v>2454</v>
      </c>
      <c r="B443" s="1">
        <v>45702.306250000001</v>
      </c>
      <c r="C443" t="s">
        <v>3276</v>
      </c>
      <c r="D443" t="s">
        <v>999</v>
      </c>
      <c r="E443" t="s">
        <v>699</v>
      </c>
      <c r="G443" t="s">
        <v>2455</v>
      </c>
      <c r="H443" t="str" cm="1">
        <f t="array" ref="H443">IF(AND(G443="",
      C443="Receipt"),
      _xlfn.XLOOKUP(1,
      (purchase_order_lines_coldchain!A443:A1441 = F443) *
      (purchase_order_lines_coldchain!G443:G1441 = E443) *
      (purchase_order_lines_coldchain!D443:D1441 = D443),
      purchase_order_lines_coldchain!B$2:B$1000,
      _xlfn.XLOOKUP(F443,purchase_order_lines_coldchain!A$2:A1441,
      purchase_order_lines_coldchain!B$2:B1441)),
      "")</f>
        <v/>
      </c>
      <c r="I443" t="str">
        <f t="shared" si="6"/>
        <v>SO-180361</v>
      </c>
      <c r="K443" s="11">
        <v>5</v>
      </c>
      <c r="L443" s="11">
        <v>-5</v>
      </c>
      <c r="M443" s="14">
        <v>1.8</v>
      </c>
      <c r="N443" s="14">
        <v>-9</v>
      </c>
      <c r="O443">
        <v>8.1999999999999993</v>
      </c>
      <c r="P443" t="s">
        <v>3277</v>
      </c>
    </row>
    <row r="444" spans="1:16" x14ac:dyDescent="0.25">
      <c r="A444" t="s">
        <v>2456</v>
      </c>
      <c r="B444" s="1">
        <v>45709.979166666664</v>
      </c>
      <c r="C444" t="s">
        <v>3278</v>
      </c>
      <c r="D444" t="s">
        <v>968</v>
      </c>
      <c r="E444" t="s">
        <v>603</v>
      </c>
      <c r="G444" t="s">
        <v>2457</v>
      </c>
      <c r="H444" t="str" cm="1">
        <f t="array" ref="H444">IF(AND(G444="",
      C444="Receipt"),
      _xlfn.XLOOKUP(1,
      (purchase_order_lines_coldchain!A444:A1442 = F444) *
      (purchase_order_lines_coldchain!G444:G1442 = E444) *
      (purchase_order_lines_coldchain!D444:D1442 = D444),
      purchase_order_lines_coldchain!B$2:B$1000,
      _xlfn.XLOOKUP(F444,purchase_order_lines_coldchain!A$2:A1442,
      purchase_order_lines_coldchain!B$2:B1442)),
      "")</f>
        <v/>
      </c>
      <c r="I444" t="str">
        <f t="shared" si="6"/>
        <v>SO-174963</v>
      </c>
      <c r="K444" s="11">
        <v>3</v>
      </c>
      <c r="L444" s="11">
        <v>-3</v>
      </c>
      <c r="M444" s="14">
        <v>4.82</v>
      </c>
      <c r="N444" s="14">
        <v>-14.46</v>
      </c>
      <c r="O444">
        <v>1.7</v>
      </c>
      <c r="P444" t="s">
        <v>3277</v>
      </c>
    </row>
    <row r="445" spans="1:16" x14ac:dyDescent="0.25">
      <c r="A445" t="s">
        <v>2458</v>
      </c>
      <c r="B445" s="1">
        <v>45736.874305555553</v>
      </c>
      <c r="C445" t="s">
        <v>3278</v>
      </c>
      <c r="D445" t="s">
        <v>980</v>
      </c>
      <c r="E445" t="s">
        <v>440</v>
      </c>
      <c r="G445" t="s">
        <v>2459</v>
      </c>
      <c r="H445" t="str" cm="1">
        <f t="array" ref="H445">IF(AND(G445="",
      C445="Receipt"),
      _xlfn.XLOOKUP(1,
      (purchase_order_lines_coldchain!A445:A1443 = F445) *
      (purchase_order_lines_coldchain!G445:G1443 = E445) *
      (purchase_order_lines_coldchain!D445:D1443 = D445),
      purchase_order_lines_coldchain!B$2:B$1000,
      _xlfn.XLOOKUP(F445,purchase_order_lines_coldchain!A$2:A1443,
      purchase_order_lines_coldchain!B$2:B1443)),
      "")</f>
        <v/>
      </c>
      <c r="I445" t="str">
        <f t="shared" si="6"/>
        <v>SO-112913</v>
      </c>
      <c r="K445" s="11">
        <v>7</v>
      </c>
      <c r="L445" s="11">
        <v>-7</v>
      </c>
      <c r="M445" s="14">
        <v>6.07</v>
      </c>
      <c r="N445" s="14">
        <v>-42.49</v>
      </c>
      <c r="O445">
        <v>1.2</v>
      </c>
      <c r="P445" t="s">
        <v>3277</v>
      </c>
    </row>
    <row r="446" spans="1:16" x14ac:dyDescent="0.25">
      <c r="A446" t="s">
        <v>2460</v>
      </c>
      <c r="B446" s="1">
        <v>45758.798611111109</v>
      </c>
      <c r="C446" t="s">
        <v>3278</v>
      </c>
      <c r="D446" t="s">
        <v>959</v>
      </c>
      <c r="E446" t="s">
        <v>789</v>
      </c>
      <c r="G446" t="s">
        <v>2461</v>
      </c>
      <c r="H446" t="str" cm="1">
        <f t="array" ref="H446">IF(AND(G446="",
      C446="Receipt"),
      _xlfn.XLOOKUP(1,
      (purchase_order_lines_coldchain!A446:A1444 = F446) *
      (purchase_order_lines_coldchain!G446:G1444 = E446) *
      (purchase_order_lines_coldchain!D446:D1444 = D446),
      purchase_order_lines_coldchain!B$2:B$1000,
      _xlfn.XLOOKUP(F446,purchase_order_lines_coldchain!A$2:A1444,
      purchase_order_lines_coldchain!B$2:B1444)),
      "")</f>
        <v/>
      </c>
      <c r="I446" t="str">
        <f t="shared" si="6"/>
        <v>SO-175174</v>
      </c>
      <c r="K446" s="11">
        <v>3</v>
      </c>
      <c r="L446" s="11">
        <v>-3</v>
      </c>
      <c r="M446" s="14">
        <v>12.89</v>
      </c>
      <c r="N446" s="14">
        <v>-38.67</v>
      </c>
      <c r="O446">
        <v>7.3</v>
      </c>
      <c r="P446" t="s">
        <v>3277</v>
      </c>
    </row>
    <row r="447" spans="1:16" x14ac:dyDescent="0.25">
      <c r="A447" t="s">
        <v>2462</v>
      </c>
      <c r="B447" s="1">
        <v>45711.381249999999</v>
      </c>
      <c r="C447" t="s">
        <v>3278</v>
      </c>
      <c r="D447" t="s">
        <v>976</v>
      </c>
      <c r="E447" t="s">
        <v>499</v>
      </c>
      <c r="G447" t="s">
        <v>2463</v>
      </c>
      <c r="H447" t="str" cm="1">
        <f t="array" ref="H447">IF(AND(G447="",
      C447="Receipt"),
      _xlfn.XLOOKUP(1,
      (purchase_order_lines_coldchain!A447:A1445 = F447) *
      (purchase_order_lines_coldchain!G447:G1445 = E447) *
      (purchase_order_lines_coldchain!D447:D1445 = D447),
      purchase_order_lines_coldchain!B$2:B$1000,
      _xlfn.XLOOKUP(F447,purchase_order_lines_coldchain!A$2:A1445,
      purchase_order_lines_coldchain!B$2:B1445)),
      "")</f>
        <v/>
      </c>
      <c r="I447" t="str">
        <f t="shared" si="6"/>
        <v>SO-173322</v>
      </c>
      <c r="K447" s="11">
        <v>6</v>
      </c>
      <c r="L447" s="11">
        <v>-6</v>
      </c>
      <c r="M447" s="14">
        <v>2.2999999999999998</v>
      </c>
      <c r="N447" s="14">
        <v>-13.8</v>
      </c>
      <c r="O447">
        <v>0.4</v>
      </c>
      <c r="P447" t="s">
        <v>3277</v>
      </c>
    </row>
    <row r="448" spans="1:16" x14ac:dyDescent="0.25">
      <c r="A448" t="s">
        <v>2464</v>
      </c>
      <c r="B448" s="1">
        <v>45737.05</v>
      </c>
      <c r="C448" t="s">
        <v>3276</v>
      </c>
      <c r="D448" t="s">
        <v>976</v>
      </c>
      <c r="E448" t="s">
        <v>472</v>
      </c>
      <c r="G448" t="s">
        <v>2465</v>
      </c>
      <c r="H448" t="str" cm="1">
        <f t="array" ref="H448">IF(AND(G448="",
      C448="Receipt"),
      _xlfn.XLOOKUP(1,
      (purchase_order_lines_coldchain!A448:A1446 = F448) *
      (purchase_order_lines_coldchain!G448:G1446 = E448) *
      (purchase_order_lines_coldchain!D448:D1446 = D448),
      purchase_order_lines_coldchain!B$2:B$1000,
      _xlfn.XLOOKUP(F448,purchase_order_lines_coldchain!A$2:A1446,
      purchase_order_lines_coldchain!B$2:B1446)),
      "")</f>
        <v/>
      </c>
      <c r="I448" t="str">
        <f t="shared" si="6"/>
        <v>SO-199461</v>
      </c>
      <c r="K448" s="11">
        <v>10</v>
      </c>
      <c r="L448" s="11">
        <v>-10</v>
      </c>
      <c r="M448" s="14">
        <v>10.75</v>
      </c>
      <c r="N448" s="14">
        <v>-107.5</v>
      </c>
      <c r="O448">
        <v>-0.79999999999999982</v>
      </c>
      <c r="P448" t="s">
        <v>3277</v>
      </c>
    </row>
    <row r="449" spans="1:16" x14ac:dyDescent="0.25">
      <c r="A449" t="s">
        <v>2466</v>
      </c>
      <c r="B449" s="1">
        <v>45714.652777777781</v>
      </c>
      <c r="C449" t="s">
        <v>3278</v>
      </c>
      <c r="D449" t="s">
        <v>964</v>
      </c>
      <c r="E449" t="s">
        <v>484</v>
      </c>
      <c r="G449" t="s">
        <v>2467</v>
      </c>
      <c r="H449" t="str" cm="1">
        <f t="array" ref="H449">IF(AND(G449="",
      C449="Receipt"),
      _xlfn.XLOOKUP(1,
      (purchase_order_lines_coldchain!A449:A1447 = F449) *
      (purchase_order_lines_coldchain!G449:G1447 = E449) *
      (purchase_order_lines_coldchain!D449:D1447 = D449),
      purchase_order_lines_coldchain!B$2:B$1000,
      _xlfn.XLOOKUP(F449,purchase_order_lines_coldchain!A$2:A1447,
      purchase_order_lines_coldchain!B$2:B1447)),
      "")</f>
        <v/>
      </c>
      <c r="I449" t="str">
        <f t="shared" si="6"/>
        <v>SO-101805</v>
      </c>
      <c r="K449" s="11">
        <v>10</v>
      </c>
      <c r="L449" s="11">
        <v>-10</v>
      </c>
      <c r="M449" s="14">
        <v>3.9</v>
      </c>
      <c r="N449" s="14">
        <v>-39</v>
      </c>
      <c r="O449">
        <v>-0.2</v>
      </c>
      <c r="P449" t="s">
        <v>3277</v>
      </c>
    </row>
    <row r="450" spans="1:16" x14ac:dyDescent="0.25">
      <c r="A450" t="s">
        <v>2468</v>
      </c>
      <c r="B450" s="1">
        <v>45719.424305555556</v>
      </c>
      <c r="C450" t="s">
        <v>3276</v>
      </c>
      <c r="D450" t="s">
        <v>990</v>
      </c>
      <c r="E450" t="s">
        <v>466</v>
      </c>
      <c r="G450" t="s">
        <v>2469</v>
      </c>
      <c r="H450" t="str" cm="1">
        <f t="array" ref="H450">IF(AND(G450="",
      C450="Receipt"),
      _xlfn.XLOOKUP(1,
      (purchase_order_lines_coldchain!A450:A1448 = F450) *
      (purchase_order_lines_coldchain!G450:G1448 = E450) *
      (purchase_order_lines_coldchain!D450:D1448 = D450),
      purchase_order_lines_coldchain!B$2:B$1000,
      _xlfn.XLOOKUP(F450,purchase_order_lines_coldchain!A$2:A1448,
      purchase_order_lines_coldchain!B$2:B1448)),
      "")</f>
        <v/>
      </c>
      <c r="I450" t="str">
        <f t="shared" ref="I450:I513" si="7">G450 &amp; H450</f>
        <v>SO-150461</v>
      </c>
      <c r="K450" s="11">
        <v>5</v>
      </c>
      <c r="L450" s="11">
        <v>-5</v>
      </c>
      <c r="M450" s="14">
        <v>7.78</v>
      </c>
      <c r="N450" s="14">
        <v>-38.9</v>
      </c>
      <c r="O450">
        <v>6.1</v>
      </c>
      <c r="P450" t="s">
        <v>3277</v>
      </c>
    </row>
    <row r="451" spans="1:16" x14ac:dyDescent="0.25">
      <c r="A451" t="s">
        <v>2470</v>
      </c>
      <c r="B451" s="1">
        <v>45708.170138888891</v>
      </c>
      <c r="C451" t="s">
        <v>3278</v>
      </c>
      <c r="D451" t="s">
        <v>964</v>
      </c>
      <c r="E451" t="s">
        <v>517</v>
      </c>
      <c r="G451" t="s">
        <v>2471</v>
      </c>
      <c r="H451" t="str" cm="1">
        <f t="array" ref="H451">IF(AND(G451="",
      C451="Receipt"),
      _xlfn.XLOOKUP(1,
      (purchase_order_lines_coldchain!A451:A1449 = F451) *
      (purchase_order_lines_coldchain!G451:G1449 = E451) *
      (purchase_order_lines_coldchain!D451:D1449 = D451),
      purchase_order_lines_coldchain!B$2:B$1000,
      _xlfn.XLOOKUP(F451,purchase_order_lines_coldchain!A$2:A1449,
      purchase_order_lines_coldchain!B$2:B1449)),
      "")</f>
        <v/>
      </c>
      <c r="I451" t="str">
        <f t="shared" si="7"/>
        <v>SO-159941</v>
      </c>
      <c r="K451" s="11">
        <v>8</v>
      </c>
      <c r="L451" s="11">
        <v>-8</v>
      </c>
      <c r="M451" s="14">
        <v>9.6</v>
      </c>
      <c r="N451" s="14">
        <v>-76.8</v>
      </c>
      <c r="O451">
        <v>8</v>
      </c>
      <c r="P451" t="s">
        <v>3277</v>
      </c>
    </row>
    <row r="452" spans="1:16" x14ac:dyDescent="0.25">
      <c r="A452" t="s">
        <v>2472</v>
      </c>
      <c r="B452" s="1">
        <v>45734.564583333333</v>
      </c>
      <c r="C452" t="s">
        <v>3278</v>
      </c>
      <c r="D452" t="s">
        <v>972</v>
      </c>
      <c r="E452" t="s">
        <v>539</v>
      </c>
      <c r="G452" t="s">
        <v>2473</v>
      </c>
      <c r="H452" t="str" cm="1">
        <f t="array" ref="H452">IF(AND(G452="",
      C452="Receipt"),
      _xlfn.XLOOKUP(1,
      (purchase_order_lines_coldchain!A452:A1450 = F452) *
      (purchase_order_lines_coldchain!G452:G1450 = E452) *
      (purchase_order_lines_coldchain!D452:D1450 = D452),
      purchase_order_lines_coldchain!B$2:B$1000,
      _xlfn.XLOOKUP(F452,purchase_order_lines_coldchain!A$2:A1450,
      purchase_order_lines_coldchain!B$2:B1450)),
      "")</f>
        <v/>
      </c>
      <c r="I452" t="str">
        <f t="shared" si="7"/>
        <v>SO-129562</v>
      </c>
      <c r="K452" s="11">
        <v>7</v>
      </c>
      <c r="L452" s="11">
        <v>-7</v>
      </c>
      <c r="M452" s="14">
        <v>6.71</v>
      </c>
      <c r="N452" s="14">
        <v>-46.97</v>
      </c>
      <c r="O452">
        <v>2.7</v>
      </c>
      <c r="P452" t="s">
        <v>3277</v>
      </c>
    </row>
    <row r="453" spans="1:16" x14ac:dyDescent="0.25">
      <c r="A453" t="s">
        <v>2474</v>
      </c>
      <c r="B453" s="1">
        <v>45756.508333333331</v>
      </c>
      <c r="C453" t="s">
        <v>3278</v>
      </c>
      <c r="D453" t="s">
        <v>990</v>
      </c>
      <c r="E453" t="s">
        <v>693</v>
      </c>
      <c r="G453" t="s">
        <v>2475</v>
      </c>
      <c r="H453" t="str" cm="1">
        <f t="array" ref="H453">IF(AND(G453="",
      C453="Receipt"),
      _xlfn.XLOOKUP(1,
      (purchase_order_lines_coldchain!A453:A1451 = F453) *
      (purchase_order_lines_coldchain!G453:G1451 = E453) *
      (purchase_order_lines_coldchain!D453:D1451 = D453),
      purchase_order_lines_coldchain!B$2:B$1000,
      _xlfn.XLOOKUP(F453,purchase_order_lines_coldchain!A$2:A1451,
      purchase_order_lines_coldchain!B$2:B1451)),
      "")</f>
        <v/>
      </c>
      <c r="I453" t="str">
        <f t="shared" si="7"/>
        <v>SO-197005</v>
      </c>
      <c r="K453" s="11">
        <v>6</v>
      </c>
      <c r="L453" s="11">
        <v>-6</v>
      </c>
      <c r="M453" s="14">
        <v>15.56</v>
      </c>
      <c r="N453" s="14">
        <v>-93.36</v>
      </c>
      <c r="O453">
        <v>4.8</v>
      </c>
      <c r="P453" t="s">
        <v>3277</v>
      </c>
    </row>
    <row r="454" spans="1:16" x14ac:dyDescent="0.25">
      <c r="A454" t="s">
        <v>2476</v>
      </c>
      <c r="B454" s="1">
        <v>45740.027777777781</v>
      </c>
      <c r="C454" t="s">
        <v>3276</v>
      </c>
      <c r="D454" t="s">
        <v>990</v>
      </c>
      <c r="E454" t="s">
        <v>420</v>
      </c>
      <c r="G454" t="s">
        <v>1678</v>
      </c>
      <c r="H454" t="str" cm="1">
        <f t="array" ref="H454">IF(AND(G454="",
      C454="Receipt"),
      _xlfn.XLOOKUP(1,
      (purchase_order_lines_coldchain!A454:A1452 = F454) *
      (purchase_order_lines_coldchain!G454:G1452 = E454) *
      (purchase_order_lines_coldchain!D454:D1452 = D454),
      purchase_order_lines_coldchain!B$2:B$1000,
      _xlfn.XLOOKUP(F454,purchase_order_lines_coldchain!A$2:A1452,
      purchase_order_lines_coldchain!B$2:B1452)),
      "")</f>
        <v/>
      </c>
      <c r="I454" t="str">
        <f t="shared" si="7"/>
        <v/>
      </c>
      <c r="K454" s="11">
        <v>3</v>
      </c>
      <c r="L454" s="11">
        <v>-3</v>
      </c>
      <c r="M454" s="14">
        <v>12.87</v>
      </c>
      <c r="N454" s="14">
        <v>-38.61</v>
      </c>
      <c r="O454">
        <v>1.8</v>
      </c>
      <c r="P454" t="s">
        <v>3277</v>
      </c>
    </row>
    <row r="455" spans="1:16" x14ac:dyDescent="0.25">
      <c r="A455" t="s">
        <v>2477</v>
      </c>
      <c r="B455" s="1">
        <v>45741.1</v>
      </c>
      <c r="C455" t="s">
        <v>3276</v>
      </c>
      <c r="D455" t="s">
        <v>968</v>
      </c>
      <c r="E455" t="s">
        <v>687</v>
      </c>
      <c r="G455" t="s">
        <v>2478</v>
      </c>
      <c r="H455" t="str" cm="1">
        <f t="array" ref="H455">IF(AND(G455="",
      C455="Receipt"),
      _xlfn.XLOOKUP(1,
      (purchase_order_lines_coldchain!A455:A1453 = F455) *
      (purchase_order_lines_coldchain!G455:G1453 = E455) *
      (purchase_order_lines_coldchain!D455:D1453 = D455),
      purchase_order_lines_coldchain!B$2:B$1000,
      _xlfn.XLOOKUP(F455,purchase_order_lines_coldchain!A$2:A1453,
      purchase_order_lines_coldchain!B$2:B1453)),
      "")</f>
        <v/>
      </c>
      <c r="I455" t="str">
        <f t="shared" si="7"/>
        <v>SO-103038</v>
      </c>
      <c r="K455" s="11">
        <v>9</v>
      </c>
      <c r="L455" s="11">
        <v>-9</v>
      </c>
      <c r="M455" s="14">
        <v>15.97</v>
      </c>
      <c r="N455" s="14">
        <v>-143.72999999999999</v>
      </c>
      <c r="O455">
        <v>5.3</v>
      </c>
      <c r="P455" t="s">
        <v>3277</v>
      </c>
    </row>
    <row r="456" spans="1:16" x14ac:dyDescent="0.25">
      <c r="A456" t="s">
        <v>2479</v>
      </c>
      <c r="B456" s="1">
        <v>45735.080555555556</v>
      </c>
      <c r="C456" t="s">
        <v>3278</v>
      </c>
      <c r="D456" t="s">
        <v>990</v>
      </c>
      <c r="E456" t="s">
        <v>420</v>
      </c>
      <c r="G456" t="s">
        <v>2480</v>
      </c>
      <c r="H456" t="str" cm="1">
        <f t="array" ref="H456">IF(AND(G456="",
      C456="Receipt"),
      _xlfn.XLOOKUP(1,
      (purchase_order_lines_coldchain!A456:A1454 = F456) *
      (purchase_order_lines_coldchain!G456:G1454 = E456) *
      (purchase_order_lines_coldchain!D456:D1454 = D456),
      purchase_order_lines_coldchain!B$2:B$1000,
      _xlfn.XLOOKUP(F456,purchase_order_lines_coldchain!A$2:A1454,
      purchase_order_lines_coldchain!B$2:B1454)),
      "")</f>
        <v/>
      </c>
      <c r="I456" t="str">
        <f t="shared" si="7"/>
        <v>SO-110481</v>
      </c>
      <c r="K456" s="11">
        <v>3</v>
      </c>
      <c r="L456" s="11">
        <v>-3</v>
      </c>
      <c r="M456" s="14">
        <v>12.87</v>
      </c>
      <c r="N456" s="14">
        <v>-38.61</v>
      </c>
      <c r="O456">
        <v>5.5</v>
      </c>
      <c r="P456" t="s">
        <v>3277</v>
      </c>
    </row>
    <row r="457" spans="1:16" x14ac:dyDescent="0.25">
      <c r="A457" t="s">
        <v>2481</v>
      </c>
      <c r="B457" s="1">
        <v>45759.036111111112</v>
      </c>
      <c r="C457" t="s">
        <v>3276</v>
      </c>
      <c r="D457" t="s">
        <v>996</v>
      </c>
      <c r="E457" t="s">
        <v>603</v>
      </c>
      <c r="G457" t="s">
        <v>2482</v>
      </c>
      <c r="H457" t="str" cm="1">
        <f t="array" ref="H457">IF(AND(G457="",
      C457="Receipt"),
      _xlfn.XLOOKUP(1,
      (purchase_order_lines_coldchain!A457:A1455 = F457) *
      (purchase_order_lines_coldchain!G457:G1455 = E457) *
      (purchase_order_lines_coldchain!D457:D1455 = D457),
      purchase_order_lines_coldchain!B$2:B$1000,
      _xlfn.XLOOKUP(F457,purchase_order_lines_coldchain!A$2:A1455,
      purchase_order_lines_coldchain!B$2:B1455)),
      "")</f>
        <v/>
      </c>
      <c r="I457" t="str">
        <f t="shared" si="7"/>
        <v>SO-103764</v>
      </c>
      <c r="K457" s="11">
        <v>9</v>
      </c>
      <c r="L457" s="11">
        <v>-9</v>
      </c>
      <c r="M457" s="14">
        <v>4.82</v>
      </c>
      <c r="N457" s="14">
        <v>-43.38</v>
      </c>
      <c r="O457">
        <v>8.8000000000000007</v>
      </c>
      <c r="P457" t="s">
        <v>3277</v>
      </c>
    </row>
    <row r="458" spans="1:16" x14ac:dyDescent="0.25">
      <c r="A458" t="s">
        <v>2483</v>
      </c>
      <c r="B458" s="1">
        <v>45740.529861111114</v>
      </c>
      <c r="C458" t="s">
        <v>3278</v>
      </c>
      <c r="D458" t="s">
        <v>980</v>
      </c>
      <c r="E458" t="s">
        <v>918</v>
      </c>
      <c r="G458" t="s">
        <v>2484</v>
      </c>
      <c r="H458" t="str" cm="1">
        <f t="array" ref="H458">IF(AND(G458="",
      C458="Receipt"),
      _xlfn.XLOOKUP(1,
      (purchase_order_lines_coldchain!A458:A1456 = F458) *
      (purchase_order_lines_coldchain!G458:G1456 = E458) *
      (purchase_order_lines_coldchain!D458:D1456 = D458),
      purchase_order_lines_coldchain!B$2:B$1000,
      _xlfn.XLOOKUP(F458,purchase_order_lines_coldchain!A$2:A1456,
      purchase_order_lines_coldchain!B$2:B1456)),
      "")</f>
        <v/>
      </c>
      <c r="I458" t="str">
        <f t="shared" si="7"/>
        <v>SO-197162</v>
      </c>
      <c r="K458" s="11">
        <v>3</v>
      </c>
      <c r="L458" s="11">
        <v>-3</v>
      </c>
      <c r="M458" s="14">
        <v>15.73</v>
      </c>
      <c r="N458" s="14">
        <v>-47.19</v>
      </c>
      <c r="O458">
        <v>0.5</v>
      </c>
      <c r="P458" t="s">
        <v>3277</v>
      </c>
    </row>
    <row r="459" spans="1:16" x14ac:dyDescent="0.25">
      <c r="A459" t="s">
        <v>2485</v>
      </c>
      <c r="B459" s="1">
        <v>45728.700694444444</v>
      </c>
      <c r="C459" t="s">
        <v>3278</v>
      </c>
      <c r="D459" t="s">
        <v>999</v>
      </c>
      <c r="E459" t="s">
        <v>888</v>
      </c>
      <c r="G459" t="s">
        <v>2486</v>
      </c>
      <c r="H459" t="str" cm="1">
        <f t="array" ref="H459">IF(AND(G459="",
      C459="Receipt"),
      _xlfn.XLOOKUP(1,
      (purchase_order_lines_coldchain!A459:A1457 = F459) *
      (purchase_order_lines_coldchain!G459:G1457 = E459) *
      (purchase_order_lines_coldchain!D459:D1457 = D459),
      purchase_order_lines_coldchain!B$2:B$1000,
      _xlfn.XLOOKUP(F459,purchase_order_lines_coldchain!A$2:A1457,
      purchase_order_lines_coldchain!B$2:B1457)),
      "")</f>
        <v/>
      </c>
      <c r="I459" t="str">
        <f t="shared" si="7"/>
        <v>SO-194610</v>
      </c>
      <c r="K459" s="11">
        <v>9</v>
      </c>
      <c r="L459" s="11">
        <v>-9</v>
      </c>
      <c r="M459" s="14">
        <v>3.81</v>
      </c>
      <c r="N459" s="14">
        <v>-34.29</v>
      </c>
      <c r="O459">
        <v>2.1</v>
      </c>
      <c r="P459" t="s">
        <v>3277</v>
      </c>
    </row>
    <row r="460" spans="1:16" x14ac:dyDescent="0.25">
      <c r="A460" t="s">
        <v>2487</v>
      </c>
      <c r="B460" s="1">
        <v>45711.570138888892</v>
      </c>
      <c r="C460" t="s">
        <v>3276</v>
      </c>
      <c r="D460" t="s">
        <v>996</v>
      </c>
      <c r="E460" t="s">
        <v>557</v>
      </c>
      <c r="G460" t="s">
        <v>2488</v>
      </c>
      <c r="H460" t="str" cm="1">
        <f t="array" ref="H460">IF(AND(G460="",
      C460="Receipt"),
      _xlfn.XLOOKUP(1,
      (purchase_order_lines_coldchain!A460:A1458 = F460) *
      (purchase_order_lines_coldchain!G460:G1458 = E460) *
      (purchase_order_lines_coldchain!D460:D1458 = D460),
      purchase_order_lines_coldchain!B$2:B$1000,
      _xlfn.XLOOKUP(F460,purchase_order_lines_coldchain!A$2:A1458,
      purchase_order_lines_coldchain!B$2:B1458)),
      "")</f>
        <v/>
      </c>
      <c r="I460" t="str">
        <f t="shared" si="7"/>
        <v>SO-184799</v>
      </c>
      <c r="K460" s="11">
        <v>1</v>
      </c>
      <c r="L460" s="11">
        <v>-1</v>
      </c>
      <c r="M460" s="14">
        <v>1.77</v>
      </c>
      <c r="N460" s="14">
        <v>-1.77</v>
      </c>
      <c r="O460">
        <v>2.9</v>
      </c>
      <c r="P460" t="s">
        <v>3277</v>
      </c>
    </row>
    <row r="461" spans="1:16" x14ac:dyDescent="0.25">
      <c r="A461" t="s">
        <v>2489</v>
      </c>
      <c r="B461" s="1">
        <v>45764.029166666667</v>
      </c>
      <c r="C461" t="s">
        <v>3278</v>
      </c>
      <c r="D461" t="s">
        <v>976</v>
      </c>
      <c r="E461" t="s">
        <v>630</v>
      </c>
      <c r="G461" t="s">
        <v>2490</v>
      </c>
      <c r="H461" t="str" cm="1">
        <f t="array" ref="H461">IF(AND(G461="",
      C461="Receipt"),
      _xlfn.XLOOKUP(1,
      (purchase_order_lines_coldchain!A461:A1459 = F461) *
      (purchase_order_lines_coldchain!G461:G1459 = E461) *
      (purchase_order_lines_coldchain!D461:D1459 = D461),
      purchase_order_lines_coldchain!B$2:B$1000,
      _xlfn.XLOOKUP(F461,purchase_order_lines_coldchain!A$2:A1459,
      purchase_order_lines_coldchain!B$2:B1459)),
      "")</f>
        <v/>
      </c>
      <c r="I461" t="str">
        <f t="shared" si="7"/>
        <v>SO-183922</v>
      </c>
      <c r="K461" s="11">
        <v>10</v>
      </c>
      <c r="L461" s="11">
        <v>-10</v>
      </c>
      <c r="M461" s="14">
        <v>12.15</v>
      </c>
      <c r="N461" s="14">
        <v>-121.5</v>
      </c>
      <c r="O461">
        <v>6.4</v>
      </c>
      <c r="P461" t="s">
        <v>3277</v>
      </c>
    </row>
    <row r="462" spans="1:16" x14ac:dyDescent="0.25">
      <c r="A462" t="s">
        <v>2491</v>
      </c>
      <c r="B462" s="1">
        <v>45758.600694444445</v>
      </c>
      <c r="C462" t="s">
        <v>3276</v>
      </c>
      <c r="D462" t="s">
        <v>996</v>
      </c>
      <c r="E462" t="s">
        <v>675</v>
      </c>
      <c r="G462" t="s">
        <v>2492</v>
      </c>
      <c r="H462" t="str" cm="1">
        <f t="array" ref="H462">IF(AND(G462="",
      C462="Receipt"),
      _xlfn.XLOOKUP(1,
      (purchase_order_lines_coldchain!A462:A1460 = F462) *
      (purchase_order_lines_coldchain!G462:G1460 = E462) *
      (purchase_order_lines_coldchain!D462:D1460 = D462),
      purchase_order_lines_coldchain!B$2:B$1000,
      _xlfn.XLOOKUP(F462,purchase_order_lines_coldchain!A$2:A1460,
      purchase_order_lines_coldchain!B$2:B1460)),
      "")</f>
        <v/>
      </c>
      <c r="I462" t="str">
        <f t="shared" si="7"/>
        <v>SO-196029</v>
      </c>
      <c r="K462" s="11">
        <v>6</v>
      </c>
      <c r="L462" s="11">
        <v>-6</v>
      </c>
      <c r="M462" s="14">
        <v>6.57</v>
      </c>
      <c r="N462" s="14">
        <v>-39.42</v>
      </c>
      <c r="O462">
        <v>-0.1</v>
      </c>
      <c r="P462" t="s">
        <v>3277</v>
      </c>
    </row>
    <row r="463" spans="1:16" x14ac:dyDescent="0.25">
      <c r="A463" t="s">
        <v>2493</v>
      </c>
      <c r="B463" s="1">
        <v>45749.112500000003</v>
      </c>
      <c r="C463" t="s">
        <v>3278</v>
      </c>
      <c r="D463" t="s">
        <v>999</v>
      </c>
      <c r="E463" t="s">
        <v>645</v>
      </c>
      <c r="G463" t="s">
        <v>2494</v>
      </c>
      <c r="H463" t="str" cm="1">
        <f t="array" ref="H463">IF(AND(G463="",
      C463="Receipt"),
      _xlfn.XLOOKUP(1,
      (purchase_order_lines_coldchain!A463:A1461 = F463) *
      (purchase_order_lines_coldchain!G463:G1461 = E463) *
      (purchase_order_lines_coldchain!D463:D1461 = D463),
      purchase_order_lines_coldchain!B$2:B$1000,
      _xlfn.XLOOKUP(F463,purchase_order_lines_coldchain!A$2:A1461,
      purchase_order_lines_coldchain!B$2:B1461)),
      "")</f>
        <v/>
      </c>
      <c r="I463" t="str">
        <f t="shared" si="7"/>
        <v>SO-173393</v>
      </c>
      <c r="K463" s="11">
        <v>10</v>
      </c>
      <c r="L463" s="11">
        <v>-10</v>
      </c>
      <c r="M463" s="14">
        <v>6.61</v>
      </c>
      <c r="N463" s="14">
        <v>-66.099999999999994</v>
      </c>
      <c r="O463">
        <v>9.3000000000000007</v>
      </c>
      <c r="P463" t="s">
        <v>3277</v>
      </c>
    </row>
    <row r="464" spans="1:16" x14ac:dyDescent="0.25">
      <c r="A464" t="s">
        <v>2495</v>
      </c>
      <c r="B464" s="1">
        <v>45713.486111111109</v>
      </c>
      <c r="C464" t="s">
        <v>3278</v>
      </c>
      <c r="D464" t="s">
        <v>999</v>
      </c>
      <c r="E464" t="s">
        <v>452</v>
      </c>
      <c r="G464" t="s">
        <v>2496</v>
      </c>
      <c r="H464" t="str" cm="1">
        <f t="array" ref="H464">IF(AND(G464="",
      C464="Receipt"),
      _xlfn.XLOOKUP(1,
      (purchase_order_lines_coldchain!A464:A1462 = F464) *
      (purchase_order_lines_coldchain!G464:G1462 = E464) *
      (purchase_order_lines_coldchain!D464:D1462 = D464),
      purchase_order_lines_coldchain!B$2:B$1000,
      _xlfn.XLOOKUP(F464,purchase_order_lines_coldchain!A$2:A1462,
      purchase_order_lines_coldchain!B$2:B1462)),
      "")</f>
        <v/>
      </c>
      <c r="I464" t="str">
        <f t="shared" si="7"/>
        <v>SO-140047</v>
      </c>
      <c r="K464" s="11">
        <v>2</v>
      </c>
      <c r="L464" s="11">
        <v>-2</v>
      </c>
      <c r="M464" s="14">
        <v>12.39</v>
      </c>
      <c r="N464" s="14">
        <v>-24.78</v>
      </c>
      <c r="O464">
        <v>6.4</v>
      </c>
      <c r="P464" t="s">
        <v>3277</v>
      </c>
    </row>
    <row r="465" spans="1:16" x14ac:dyDescent="0.25">
      <c r="A465" t="s">
        <v>2497</v>
      </c>
      <c r="B465" s="1">
        <v>45709.779166666667</v>
      </c>
      <c r="C465" t="s">
        <v>3278</v>
      </c>
      <c r="D465" t="s">
        <v>959</v>
      </c>
      <c r="E465" t="s">
        <v>564</v>
      </c>
      <c r="G465" t="s">
        <v>2498</v>
      </c>
      <c r="H465" t="str" cm="1">
        <f t="array" ref="H465">IF(AND(G465="",
      C465="Receipt"),
      _xlfn.XLOOKUP(1,
      (purchase_order_lines_coldchain!A465:A1463 = F465) *
      (purchase_order_lines_coldchain!G465:G1463 = E465) *
      (purchase_order_lines_coldchain!D465:D1463 = D465),
      purchase_order_lines_coldchain!B$2:B$1000,
      _xlfn.XLOOKUP(F465,purchase_order_lines_coldchain!A$2:A1463,
      purchase_order_lines_coldchain!B$2:B1463)),
      "")</f>
        <v/>
      </c>
      <c r="I465" t="str">
        <f t="shared" si="7"/>
        <v>SO-104175</v>
      </c>
      <c r="K465" s="11">
        <v>1</v>
      </c>
      <c r="L465" s="11">
        <v>-1</v>
      </c>
      <c r="M465" s="14">
        <v>12.31</v>
      </c>
      <c r="N465" s="14">
        <v>-12.31</v>
      </c>
      <c r="O465">
        <v>8.4</v>
      </c>
      <c r="P465" t="s">
        <v>3277</v>
      </c>
    </row>
    <row r="466" spans="1:16" x14ac:dyDescent="0.25">
      <c r="A466" t="s">
        <v>2499</v>
      </c>
      <c r="B466" s="1">
        <v>45728.040277777778</v>
      </c>
      <c r="C466" t="s">
        <v>3278</v>
      </c>
      <c r="D466" t="s">
        <v>964</v>
      </c>
      <c r="E466" t="s">
        <v>813</v>
      </c>
      <c r="G466" t="s">
        <v>2500</v>
      </c>
      <c r="H466" t="str" cm="1">
        <f t="array" ref="H466">IF(AND(G466="",
      C466="Receipt"),
      _xlfn.XLOOKUP(1,
      (purchase_order_lines_coldchain!A466:A1464 = F466) *
      (purchase_order_lines_coldchain!G466:G1464 = E466) *
      (purchase_order_lines_coldchain!D466:D1464 = D466),
      purchase_order_lines_coldchain!B$2:B$1000,
      _xlfn.XLOOKUP(F466,purchase_order_lines_coldchain!A$2:A1464,
      purchase_order_lines_coldchain!B$2:B1464)),
      "")</f>
        <v/>
      </c>
      <c r="I466" t="str">
        <f t="shared" si="7"/>
        <v>SO-162910</v>
      </c>
      <c r="K466" s="11">
        <v>3</v>
      </c>
      <c r="L466" s="11">
        <v>-3</v>
      </c>
      <c r="M466" s="14">
        <v>5.94</v>
      </c>
      <c r="N466" s="14">
        <v>-17.82</v>
      </c>
      <c r="O466">
        <v>6.1</v>
      </c>
      <c r="P466" t="s">
        <v>3277</v>
      </c>
    </row>
    <row r="467" spans="1:16" x14ac:dyDescent="0.25">
      <c r="A467" t="s">
        <v>2501</v>
      </c>
      <c r="B467" s="1">
        <v>45733.95</v>
      </c>
      <c r="C467" t="s">
        <v>3278</v>
      </c>
      <c r="D467" t="s">
        <v>959</v>
      </c>
      <c r="E467" t="s">
        <v>729</v>
      </c>
      <c r="G467" t="s">
        <v>2502</v>
      </c>
      <c r="H467" t="str" cm="1">
        <f t="array" ref="H467">IF(AND(G467="",
      C467="Receipt"),
      _xlfn.XLOOKUP(1,
      (purchase_order_lines_coldchain!A467:A1465 = F467) *
      (purchase_order_lines_coldchain!G467:G1465 = E467) *
      (purchase_order_lines_coldchain!D467:D1465 = D467),
      purchase_order_lines_coldchain!B$2:B$1000,
      _xlfn.XLOOKUP(F467,purchase_order_lines_coldchain!A$2:A1465,
      purchase_order_lines_coldchain!B$2:B1465)),
      "")</f>
        <v/>
      </c>
      <c r="I467" t="str">
        <f t="shared" si="7"/>
        <v>SO-165082</v>
      </c>
      <c r="K467" s="11">
        <v>11</v>
      </c>
      <c r="L467" s="11">
        <v>-11</v>
      </c>
      <c r="M467" s="14">
        <v>12.72</v>
      </c>
      <c r="N467" s="14">
        <v>-139.91999999999999</v>
      </c>
      <c r="O467">
        <v>6.4</v>
      </c>
      <c r="P467" t="s">
        <v>3277</v>
      </c>
    </row>
    <row r="468" spans="1:16" x14ac:dyDescent="0.25">
      <c r="A468" t="s">
        <v>2503</v>
      </c>
      <c r="B468" s="1">
        <v>45730.205555555556</v>
      </c>
      <c r="C468" t="s">
        <v>3278</v>
      </c>
      <c r="D468" t="s">
        <v>976</v>
      </c>
      <c r="E468" t="s">
        <v>615</v>
      </c>
      <c r="G468" t="s">
        <v>2504</v>
      </c>
      <c r="H468" t="str" cm="1">
        <f t="array" ref="H468">IF(AND(G468="",
      C468="Receipt"),
      _xlfn.XLOOKUP(1,
      (purchase_order_lines_coldchain!A468:A1466 = F468) *
      (purchase_order_lines_coldchain!G468:G1466 = E468) *
      (purchase_order_lines_coldchain!D468:D1466 = D468),
      purchase_order_lines_coldchain!B$2:B$1000,
      _xlfn.XLOOKUP(F468,purchase_order_lines_coldchain!A$2:A1466,
      purchase_order_lines_coldchain!B$2:B1466)),
      "")</f>
        <v/>
      </c>
      <c r="I468" t="str">
        <f t="shared" si="7"/>
        <v>SO-142563</v>
      </c>
      <c r="K468" s="11">
        <v>12</v>
      </c>
      <c r="L468" s="11">
        <v>-12</v>
      </c>
      <c r="M468" s="14">
        <v>6.21</v>
      </c>
      <c r="N468" s="14">
        <v>-74.52</v>
      </c>
      <c r="O468">
        <v>5.3</v>
      </c>
      <c r="P468" t="s">
        <v>3277</v>
      </c>
    </row>
    <row r="469" spans="1:16" x14ac:dyDescent="0.25">
      <c r="A469" t="s">
        <v>2505</v>
      </c>
      <c r="B469" s="1">
        <v>45747.529861111114</v>
      </c>
      <c r="C469" t="s">
        <v>3278</v>
      </c>
      <c r="D469" t="s">
        <v>959</v>
      </c>
      <c r="E469" t="s">
        <v>660</v>
      </c>
      <c r="G469" t="s">
        <v>2506</v>
      </c>
      <c r="H469" t="str" cm="1">
        <f t="array" ref="H469">IF(AND(G469="",
      C469="Receipt"),
      _xlfn.XLOOKUP(1,
      (purchase_order_lines_coldchain!A469:A1467 = F469) *
      (purchase_order_lines_coldchain!G469:G1467 = E469) *
      (purchase_order_lines_coldchain!D469:D1467 = D469),
      purchase_order_lines_coldchain!B$2:B$1000,
      _xlfn.XLOOKUP(F469,purchase_order_lines_coldchain!A$2:A1467,
      purchase_order_lines_coldchain!B$2:B1467)),
      "")</f>
        <v/>
      </c>
      <c r="I469" t="str">
        <f t="shared" si="7"/>
        <v>SO-171245</v>
      </c>
      <c r="K469" s="11">
        <v>11</v>
      </c>
      <c r="L469" s="11">
        <v>-11</v>
      </c>
      <c r="M469" s="14">
        <v>13.56</v>
      </c>
      <c r="N469" s="14">
        <v>-149.16</v>
      </c>
      <c r="O469">
        <v>1.9</v>
      </c>
      <c r="P469" t="s">
        <v>3277</v>
      </c>
    </row>
    <row r="470" spans="1:16" x14ac:dyDescent="0.25">
      <c r="A470" t="s">
        <v>2507</v>
      </c>
      <c r="B470" s="1">
        <v>45775.280555555553</v>
      </c>
      <c r="C470" t="s">
        <v>3276</v>
      </c>
      <c r="D470" t="s">
        <v>996</v>
      </c>
      <c r="E470" t="s">
        <v>469</v>
      </c>
      <c r="G470" t="s">
        <v>2508</v>
      </c>
      <c r="H470" t="str" cm="1">
        <f t="array" ref="H470">IF(AND(G470="",
      C470="Receipt"),
      _xlfn.XLOOKUP(1,
      (purchase_order_lines_coldchain!A470:A1468 = F470) *
      (purchase_order_lines_coldchain!G470:G1468 = E470) *
      (purchase_order_lines_coldchain!D470:D1468 = D470),
      purchase_order_lines_coldchain!B$2:B$1000,
      _xlfn.XLOOKUP(F470,purchase_order_lines_coldchain!A$2:A1468,
      purchase_order_lines_coldchain!B$2:B1468)),
      "")</f>
        <v/>
      </c>
      <c r="I470" t="str">
        <f t="shared" si="7"/>
        <v>SO-135131</v>
      </c>
      <c r="K470" s="11">
        <v>1</v>
      </c>
      <c r="L470" s="11">
        <v>-1</v>
      </c>
      <c r="M470" s="14">
        <v>1.94</v>
      </c>
      <c r="N470" s="14">
        <v>-1.94</v>
      </c>
      <c r="O470">
        <v>2</v>
      </c>
      <c r="P470" t="s">
        <v>3277</v>
      </c>
    </row>
    <row r="471" spans="1:16" x14ac:dyDescent="0.25">
      <c r="A471" t="s">
        <v>2509</v>
      </c>
      <c r="B471" s="1">
        <v>45695.136111111111</v>
      </c>
      <c r="C471" t="s">
        <v>3278</v>
      </c>
      <c r="D471" t="s">
        <v>959</v>
      </c>
      <c r="E471" t="s">
        <v>894</v>
      </c>
      <c r="G471" t="s">
        <v>2510</v>
      </c>
      <c r="H471" t="str" cm="1">
        <f t="array" ref="H471">IF(AND(G471="",
      C471="Receipt"),
      _xlfn.XLOOKUP(1,
      (purchase_order_lines_coldchain!A471:A1469 = F471) *
      (purchase_order_lines_coldchain!G471:G1469 = E471) *
      (purchase_order_lines_coldchain!D471:D1469 = D471),
      purchase_order_lines_coldchain!B$2:B$1000,
      _xlfn.XLOOKUP(F471,purchase_order_lines_coldchain!A$2:A1469,
      purchase_order_lines_coldchain!B$2:B1469)),
      "")</f>
        <v/>
      </c>
      <c r="I471" t="str">
        <f t="shared" si="7"/>
        <v>SO-112933</v>
      </c>
      <c r="K471" s="11">
        <v>11</v>
      </c>
      <c r="L471" s="11">
        <v>-11</v>
      </c>
      <c r="M471" s="14">
        <v>8.67</v>
      </c>
      <c r="N471" s="14">
        <v>-95.37</v>
      </c>
      <c r="O471">
        <v>2</v>
      </c>
      <c r="P471" t="s">
        <v>3277</v>
      </c>
    </row>
    <row r="472" spans="1:16" x14ac:dyDescent="0.25">
      <c r="A472" t="s">
        <v>2511</v>
      </c>
      <c r="B472" s="1">
        <v>45738.804166666669</v>
      </c>
      <c r="C472" t="s">
        <v>3276</v>
      </c>
      <c r="D472" t="s">
        <v>996</v>
      </c>
      <c r="E472" t="s">
        <v>711</v>
      </c>
      <c r="G472" t="s">
        <v>2512</v>
      </c>
      <c r="H472" t="str" cm="1">
        <f t="array" ref="H472">IF(AND(G472="",
      C472="Receipt"),
      _xlfn.XLOOKUP(1,
      (purchase_order_lines_coldchain!A472:A1470 = F472) *
      (purchase_order_lines_coldchain!G472:G1470 = E472) *
      (purchase_order_lines_coldchain!D472:D1470 = D472),
      purchase_order_lines_coldchain!B$2:B$1000,
      _xlfn.XLOOKUP(F472,purchase_order_lines_coldchain!A$2:A1470,
      purchase_order_lines_coldchain!B$2:B1470)),
      "")</f>
        <v/>
      </c>
      <c r="I472" t="str">
        <f t="shared" si="7"/>
        <v>SO-155510</v>
      </c>
      <c r="K472" s="11">
        <v>7</v>
      </c>
      <c r="L472" s="11">
        <v>-7</v>
      </c>
      <c r="M472" s="14">
        <v>11.26</v>
      </c>
      <c r="N472" s="14">
        <v>-78.819999999999993</v>
      </c>
      <c r="O472">
        <v>-1</v>
      </c>
      <c r="P472" t="s">
        <v>3277</v>
      </c>
    </row>
    <row r="473" spans="1:16" x14ac:dyDescent="0.25">
      <c r="A473" t="s">
        <v>2513</v>
      </c>
      <c r="B473" s="1">
        <v>45745.192361111112</v>
      </c>
      <c r="C473" t="s">
        <v>3278</v>
      </c>
      <c r="D473" t="s">
        <v>959</v>
      </c>
      <c r="E473" t="s">
        <v>557</v>
      </c>
      <c r="G473" t="s">
        <v>2514</v>
      </c>
      <c r="H473" t="str" cm="1">
        <f t="array" ref="H473">IF(AND(G473="",
      C473="Receipt"),
      _xlfn.XLOOKUP(1,
      (purchase_order_lines_coldchain!A473:A1471 = F473) *
      (purchase_order_lines_coldchain!G473:G1471 = E473) *
      (purchase_order_lines_coldchain!D473:D1471 = D473),
      purchase_order_lines_coldchain!B$2:B$1000,
      _xlfn.XLOOKUP(F473,purchase_order_lines_coldchain!A$2:A1471,
      purchase_order_lines_coldchain!B$2:B1471)),
      "")</f>
        <v/>
      </c>
      <c r="I473" t="str">
        <f t="shared" si="7"/>
        <v>SO-140132</v>
      </c>
      <c r="K473" s="11">
        <v>1</v>
      </c>
      <c r="L473" s="11">
        <v>-1</v>
      </c>
      <c r="M473" s="14">
        <v>1.77</v>
      </c>
      <c r="N473" s="14">
        <v>-1.77</v>
      </c>
      <c r="O473">
        <v>4.8</v>
      </c>
      <c r="P473" t="s">
        <v>3277</v>
      </c>
    </row>
    <row r="474" spans="1:16" x14ac:dyDescent="0.25">
      <c r="A474" t="s">
        <v>2515</v>
      </c>
      <c r="B474" s="1">
        <v>45734.352777777778</v>
      </c>
      <c r="C474" t="s">
        <v>3278</v>
      </c>
      <c r="D474" t="s">
        <v>980</v>
      </c>
      <c r="E474" t="s">
        <v>876</v>
      </c>
      <c r="G474" t="s">
        <v>2516</v>
      </c>
      <c r="H474" t="str" cm="1">
        <f t="array" ref="H474">IF(AND(G474="",
      C474="Receipt"),
      _xlfn.XLOOKUP(1,
      (purchase_order_lines_coldchain!A474:A1472 = F474) *
      (purchase_order_lines_coldchain!G474:G1472 = E474) *
      (purchase_order_lines_coldchain!D474:D1472 = D474),
      purchase_order_lines_coldchain!B$2:B$1000,
      _xlfn.XLOOKUP(F474,purchase_order_lines_coldchain!A$2:A1472,
      purchase_order_lines_coldchain!B$2:B1472)),
      "")</f>
        <v/>
      </c>
      <c r="I474" t="str">
        <f t="shared" si="7"/>
        <v>SO-172605</v>
      </c>
      <c r="K474" s="11">
        <v>7</v>
      </c>
      <c r="L474" s="11">
        <v>-7</v>
      </c>
      <c r="M474" s="14">
        <v>5.78</v>
      </c>
      <c r="N474" s="14">
        <v>-40.46</v>
      </c>
      <c r="O474">
        <v>4.3</v>
      </c>
      <c r="P474" t="s">
        <v>3277</v>
      </c>
    </row>
    <row r="475" spans="1:16" x14ac:dyDescent="0.25">
      <c r="A475" t="s">
        <v>2517</v>
      </c>
      <c r="B475" s="1">
        <v>45736.163888888892</v>
      </c>
      <c r="C475" t="s">
        <v>3278</v>
      </c>
      <c r="D475" t="s">
        <v>976</v>
      </c>
      <c r="E475" t="s">
        <v>657</v>
      </c>
      <c r="G475" t="s">
        <v>2518</v>
      </c>
      <c r="H475" t="str" cm="1">
        <f t="array" ref="H475">IF(AND(G475="",
      C475="Receipt"),
      _xlfn.XLOOKUP(1,
      (purchase_order_lines_coldchain!A475:A1473 = F475) *
      (purchase_order_lines_coldchain!G475:G1473 = E475) *
      (purchase_order_lines_coldchain!D475:D1473 = D475),
      purchase_order_lines_coldchain!B$2:B$1000,
      _xlfn.XLOOKUP(F475,purchase_order_lines_coldchain!A$2:A1473,
      purchase_order_lines_coldchain!B$2:B1473)),
      "")</f>
        <v/>
      </c>
      <c r="I475" t="str">
        <f t="shared" si="7"/>
        <v>SO-138997</v>
      </c>
      <c r="K475" s="11">
        <v>7</v>
      </c>
      <c r="L475" s="11">
        <v>-7</v>
      </c>
      <c r="M475" s="14">
        <v>15.48</v>
      </c>
      <c r="N475" s="14">
        <v>-108.36</v>
      </c>
      <c r="O475">
        <v>-17.100000000000001</v>
      </c>
      <c r="P475" t="s">
        <v>3277</v>
      </c>
    </row>
    <row r="476" spans="1:16" x14ac:dyDescent="0.25">
      <c r="A476" t="s">
        <v>2519</v>
      </c>
      <c r="B476" s="1">
        <v>45741.274305555555</v>
      </c>
      <c r="C476" t="s">
        <v>3278</v>
      </c>
      <c r="D476" t="s">
        <v>987</v>
      </c>
      <c r="E476" t="s">
        <v>867</v>
      </c>
      <c r="G476" t="s">
        <v>2520</v>
      </c>
      <c r="H476" t="str" cm="1">
        <f t="array" ref="H476">IF(AND(G476="",
      C476="Receipt"),
      _xlfn.XLOOKUP(1,
      (purchase_order_lines_coldchain!A476:A1474 = F476) *
      (purchase_order_lines_coldchain!G476:G1474 = E476) *
      (purchase_order_lines_coldchain!D476:D1474 = D476),
      purchase_order_lines_coldchain!B$2:B$1000,
      _xlfn.XLOOKUP(F476,purchase_order_lines_coldchain!A$2:A1474,
      purchase_order_lines_coldchain!B$2:B1474)),
      "")</f>
        <v/>
      </c>
      <c r="I476" t="str">
        <f t="shared" si="7"/>
        <v>SO-114466</v>
      </c>
      <c r="K476" s="11">
        <v>12</v>
      </c>
      <c r="L476" s="11">
        <v>-12</v>
      </c>
      <c r="M476" s="14">
        <v>15.63</v>
      </c>
      <c r="N476" s="14">
        <v>-187.56</v>
      </c>
      <c r="O476">
        <v>-0.9</v>
      </c>
      <c r="P476" t="s">
        <v>3277</v>
      </c>
    </row>
    <row r="477" spans="1:16" x14ac:dyDescent="0.25">
      <c r="A477" t="s">
        <v>2521</v>
      </c>
      <c r="B477" s="1">
        <v>45721.740277777775</v>
      </c>
      <c r="C477" t="s">
        <v>3278</v>
      </c>
      <c r="D477" t="s">
        <v>980</v>
      </c>
      <c r="E477" t="s">
        <v>452</v>
      </c>
      <c r="G477" t="s">
        <v>2522</v>
      </c>
      <c r="H477" t="str" cm="1">
        <f t="array" ref="H477">IF(AND(G477="",
      C477="Receipt"),
      _xlfn.XLOOKUP(1,
      (purchase_order_lines_coldchain!A477:A1475 = F477) *
      (purchase_order_lines_coldchain!G477:G1475 = E477) *
      (purchase_order_lines_coldchain!D477:D1475 = D477),
      purchase_order_lines_coldchain!B$2:B$1000,
      _xlfn.XLOOKUP(F477,purchase_order_lines_coldchain!A$2:A1475,
      purchase_order_lines_coldchain!B$2:B1475)),
      "")</f>
        <v/>
      </c>
      <c r="I477" t="str">
        <f t="shared" si="7"/>
        <v>SO-104664</v>
      </c>
      <c r="K477" s="11">
        <v>5</v>
      </c>
      <c r="L477" s="11">
        <v>-5</v>
      </c>
      <c r="M477" s="14">
        <v>12.39</v>
      </c>
      <c r="N477" s="14">
        <v>-61.95</v>
      </c>
      <c r="O477">
        <v>6.5</v>
      </c>
      <c r="P477" t="s">
        <v>3277</v>
      </c>
    </row>
    <row r="478" spans="1:16" x14ac:dyDescent="0.25">
      <c r="A478" t="s">
        <v>2523</v>
      </c>
      <c r="B478" s="1">
        <v>45708.265972222223</v>
      </c>
      <c r="C478" t="s">
        <v>3278</v>
      </c>
      <c r="D478" t="s">
        <v>959</v>
      </c>
      <c r="E478" t="s">
        <v>539</v>
      </c>
      <c r="G478" t="s">
        <v>2524</v>
      </c>
      <c r="H478" t="str" cm="1">
        <f t="array" ref="H478">IF(AND(G478="",
      C478="Receipt"),
      _xlfn.XLOOKUP(1,
      (purchase_order_lines_coldchain!A478:A1476 = F478) *
      (purchase_order_lines_coldchain!G478:G1476 = E478) *
      (purchase_order_lines_coldchain!D478:D1476 = D478),
      purchase_order_lines_coldchain!B$2:B$1000,
      _xlfn.XLOOKUP(F478,purchase_order_lines_coldchain!A$2:A1476,
      purchase_order_lines_coldchain!B$2:B1476)),
      "")</f>
        <v/>
      </c>
      <c r="I478" t="str">
        <f t="shared" si="7"/>
        <v>SO-152639</v>
      </c>
      <c r="K478" s="11">
        <v>3</v>
      </c>
      <c r="L478" s="11">
        <v>-3</v>
      </c>
      <c r="M478" s="14">
        <v>6.71</v>
      </c>
      <c r="N478" s="14">
        <v>-20.13</v>
      </c>
      <c r="O478">
        <v>8.8000000000000007</v>
      </c>
      <c r="P478" t="s">
        <v>3277</v>
      </c>
    </row>
    <row r="479" spans="1:16" x14ac:dyDescent="0.25">
      <c r="A479" t="s">
        <v>2525</v>
      </c>
      <c r="B479" s="1">
        <v>45762.555555555555</v>
      </c>
      <c r="C479" t="s">
        <v>3278</v>
      </c>
      <c r="D479" t="s">
        <v>990</v>
      </c>
      <c r="E479" t="s">
        <v>666</v>
      </c>
      <c r="G479" t="s">
        <v>2526</v>
      </c>
      <c r="H479" t="str" cm="1">
        <f t="array" ref="H479">IF(AND(G479="",
      C479="Receipt"),
      _xlfn.XLOOKUP(1,
      (purchase_order_lines_coldchain!A479:A1477 = F479) *
      (purchase_order_lines_coldchain!G479:G1477 = E479) *
      (purchase_order_lines_coldchain!D479:D1477 = D479),
      purchase_order_lines_coldchain!B$2:B$1000,
      _xlfn.XLOOKUP(F479,purchase_order_lines_coldchain!A$2:A1477,
      purchase_order_lines_coldchain!B$2:B1477)),
      "")</f>
        <v/>
      </c>
      <c r="I479" t="str">
        <f t="shared" si="7"/>
        <v>SO-155532</v>
      </c>
      <c r="K479" s="11">
        <v>12</v>
      </c>
      <c r="L479" s="11">
        <v>-12</v>
      </c>
      <c r="M479" s="14">
        <v>13.88</v>
      </c>
      <c r="N479" s="14">
        <v>-166.56</v>
      </c>
      <c r="O479">
        <v>2.5</v>
      </c>
      <c r="P479" t="s">
        <v>3277</v>
      </c>
    </row>
    <row r="480" spans="1:16" x14ac:dyDescent="0.25">
      <c r="A480" t="s">
        <v>2527</v>
      </c>
      <c r="B480" s="1">
        <v>45706.261111111111</v>
      </c>
      <c r="C480" t="s">
        <v>3278</v>
      </c>
      <c r="D480" t="s">
        <v>964</v>
      </c>
      <c r="E480" t="s">
        <v>801</v>
      </c>
      <c r="G480" t="s">
        <v>2528</v>
      </c>
      <c r="H480" t="str" cm="1">
        <f t="array" ref="H480">IF(AND(G480="",
      C480="Receipt"),
      _xlfn.XLOOKUP(1,
      (purchase_order_lines_coldchain!A480:A1478 = F480) *
      (purchase_order_lines_coldchain!G480:G1478 = E480) *
      (purchase_order_lines_coldchain!D480:D1478 = D480),
      purchase_order_lines_coldchain!B$2:B$1000,
      _xlfn.XLOOKUP(F480,purchase_order_lines_coldchain!A$2:A1478,
      purchase_order_lines_coldchain!B$2:B1478)),
      "")</f>
        <v/>
      </c>
      <c r="I480" t="str">
        <f t="shared" si="7"/>
        <v>SO-122423</v>
      </c>
      <c r="K480" s="11">
        <v>11</v>
      </c>
      <c r="L480" s="11">
        <v>-11</v>
      </c>
      <c r="M480" s="14">
        <v>5.67</v>
      </c>
      <c r="N480" s="14">
        <v>-62.37</v>
      </c>
      <c r="O480">
        <v>7.5</v>
      </c>
      <c r="P480" t="s">
        <v>3277</v>
      </c>
    </row>
    <row r="481" spans="1:16" x14ac:dyDescent="0.25">
      <c r="A481" t="s">
        <v>2529</v>
      </c>
      <c r="B481" s="1">
        <v>45728.170138888891</v>
      </c>
      <c r="C481" t="s">
        <v>3278</v>
      </c>
      <c r="D481" t="s">
        <v>999</v>
      </c>
      <c r="E481" t="s">
        <v>678</v>
      </c>
      <c r="G481" t="s">
        <v>2530</v>
      </c>
      <c r="H481" t="str" cm="1">
        <f t="array" ref="H481">IF(AND(G481="",
      C481="Receipt"),
      _xlfn.XLOOKUP(1,
      (purchase_order_lines_coldchain!A481:A1479 = F481) *
      (purchase_order_lines_coldchain!G481:G1479 = E481) *
      (purchase_order_lines_coldchain!D481:D1479 = D481),
      purchase_order_lines_coldchain!B$2:B$1000,
      _xlfn.XLOOKUP(F481,purchase_order_lines_coldchain!A$2:A1479,
      purchase_order_lines_coldchain!B$2:B1479)),
      "")</f>
        <v/>
      </c>
      <c r="I481" t="str">
        <f t="shared" si="7"/>
        <v>SO-130790</v>
      </c>
      <c r="K481" s="11">
        <v>3</v>
      </c>
      <c r="L481" s="11">
        <v>-3</v>
      </c>
      <c r="M481" s="14">
        <v>13.06</v>
      </c>
      <c r="N481" s="14">
        <v>-39.18</v>
      </c>
      <c r="O481">
        <v>-13.6</v>
      </c>
      <c r="P481" t="s">
        <v>3277</v>
      </c>
    </row>
    <row r="482" spans="1:16" x14ac:dyDescent="0.25">
      <c r="A482" t="s">
        <v>2531</v>
      </c>
      <c r="B482" s="1">
        <v>45772.995138888888</v>
      </c>
      <c r="C482" t="s">
        <v>3276</v>
      </c>
      <c r="D482" t="s">
        <v>999</v>
      </c>
      <c r="E482" t="s">
        <v>807</v>
      </c>
      <c r="G482" t="s">
        <v>2532</v>
      </c>
      <c r="H482" t="str" cm="1">
        <f t="array" ref="H482">IF(AND(G482="",
      C482="Receipt"),
      _xlfn.XLOOKUP(1,
      (purchase_order_lines_coldchain!A482:A1480 = F482) *
      (purchase_order_lines_coldchain!G482:G1480 = E482) *
      (purchase_order_lines_coldchain!D482:D1480 = D482),
      purchase_order_lines_coldchain!B$2:B$1000,
      _xlfn.XLOOKUP(F482,purchase_order_lines_coldchain!A$2:A1480,
      purchase_order_lines_coldchain!B$2:B1480)),
      "")</f>
        <v/>
      </c>
      <c r="I482" t="str">
        <f t="shared" si="7"/>
        <v>SO-115732</v>
      </c>
      <c r="K482" s="11">
        <v>3</v>
      </c>
      <c r="L482" s="11">
        <v>-3</v>
      </c>
      <c r="M482" s="14">
        <v>13.57</v>
      </c>
      <c r="N482" s="14">
        <v>-40.71</v>
      </c>
      <c r="O482">
        <v>4</v>
      </c>
      <c r="P482" t="s">
        <v>3277</v>
      </c>
    </row>
    <row r="483" spans="1:16" x14ac:dyDescent="0.25">
      <c r="A483" t="s">
        <v>2533</v>
      </c>
      <c r="B483" s="1">
        <v>45776.995833333334</v>
      </c>
      <c r="C483" t="s">
        <v>3278</v>
      </c>
      <c r="D483" t="s">
        <v>964</v>
      </c>
      <c r="E483" t="s">
        <v>771</v>
      </c>
      <c r="G483" t="s">
        <v>2534</v>
      </c>
      <c r="H483" t="str" cm="1">
        <f t="array" ref="H483">IF(AND(G483="",
      C483="Receipt"),
      _xlfn.XLOOKUP(1,
      (purchase_order_lines_coldchain!A483:A1481 = F483) *
      (purchase_order_lines_coldchain!G483:G1481 = E483) *
      (purchase_order_lines_coldchain!D483:D1481 = D483),
      purchase_order_lines_coldchain!B$2:B$1000,
      _xlfn.XLOOKUP(F483,purchase_order_lines_coldchain!A$2:A1481,
      purchase_order_lines_coldchain!B$2:B1481)),
      "")</f>
        <v/>
      </c>
      <c r="I483" t="str">
        <f t="shared" si="7"/>
        <v>SO-138216</v>
      </c>
      <c r="K483" s="11">
        <v>4</v>
      </c>
      <c r="L483" s="11">
        <v>-4</v>
      </c>
      <c r="M483" s="14">
        <v>3.82</v>
      </c>
      <c r="N483" s="14">
        <v>-15.28</v>
      </c>
      <c r="O483">
        <v>7.4</v>
      </c>
      <c r="P483" t="s">
        <v>3277</v>
      </c>
    </row>
    <row r="484" spans="1:16" x14ac:dyDescent="0.25">
      <c r="A484" t="s">
        <v>2535</v>
      </c>
      <c r="B484" s="1">
        <v>45760.472222222219</v>
      </c>
      <c r="C484" t="s">
        <v>3278</v>
      </c>
      <c r="D484" t="s">
        <v>959</v>
      </c>
      <c r="E484" t="s">
        <v>810</v>
      </c>
      <c r="G484" t="s">
        <v>2536</v>
      </c>
      <c r="H484" t="str" cm="1">
        <f t="array" ref="H484">IF(AND(G484="",
      C484="Receipt"),
      _xlfn.XLOOKUP(1,
      (purchase_order_lines_coldchain!A484:A1482 = F484) *
      (purchase_order_lines_coldchain!G484:G1482 = E484) *
      (purchase_order_lines_coldchain!D484:D1482 = D484),
      purchase_order_lines_coldchain!B$2:B$1000,
      _xlfn.XLOOKUP(F484,purchase_order_lines_coldchain!A$2:A1482,
      purchase_order_lines_coldchain!B$2:B1482)),
      "")</f>
        <v/>
      </c>
      <c r="I484" t="str">
        <f t="shared" si="7"/>
        <v>SO-124616</v>
      </c>
      <c r="K484" s="11">
        <v>5</v>
      </c>
      <c r="L484" s="11">
        <v>-5</v>
      </c>
      <c r="M484" s="14">
        <v>11.96</v>
      </c>
      <c r="N484" s="14">
        <v>-59.8</v>
      </c>
      <c r="O484">
        <v>-2.2999999999999998</v>
      </c>
      <c r="P484" t="s">
        <v>3277</v>
      </c>
    </row>
    <row r="485" spans="1:16" x14ac:dyDescent="0.25">
      <c r="A485" t="s">
        <v>2537</v>
      </c>
      <c r="B485" s="1">
        <v>45748.46875</v>
      </c>
      <c r="C485" t="s">
        <v>3278</v>
      </c>
      <c r="D485" t="s">
        <v>987</v>
      </c>
      <c r="E485" t="s">
        <v>440</v>
      </c>
      <c r="G485" t="s">
        <v>2538</v>
      </c>
      <c r="H485" t="str" cm="1">
        <f t="array" ref="H485">IF(AND(G485="",
      C485="Receipt"),
      _xlfn.XLOOKUP(1,
      (purchase_order_lines_coldchain!A485:A1483 = F485) *
      (purchase_order_lines_coldchain!G485:G1483 = E485) *
      (purchase_order_lines_coldchain!D485:D1483 = D485),
      purchase_order_lines_coldchain!B$2:B$1000,
      _xlfn.XLOOKUP(F485,purchase_order_lines_coldchain!A$2:A1483,
      purchase_order_lines_coldchain!B$2:B1483)),
      "")</f>
        <v/>
      </c>
      <c r="I485" t="str">
        <f t="shared" si="7"/>
        <v>SO-151111</v>
      </c>
      <c r="K485" s="11">
        <v>5</v>
      </c>
      <c r="L485" s="11">
        <v>-5</v>
      </c>
      <c r="M485" s="14">
        <v>6.07</v>
      </c>
      <c r="N485" s="14">
        <v>-30.35</v>
      </c>
      <c r="O485">
        <v>6.2</v>
      </c>
      <c r="P485" t="s">
        <v>3277</v>
      </c>
    </row>
    <row r="486" spans="1:16" x14ac:dyDescent="0.25">
      <c r="A486" t="s">
        <v>2539</v>
      </c>
      <c r="B486" s="1">
        <v>45736.734027777777</v>
      </c>
      <c r="C486" t="s">
        <v>3278</v>
      </c>
      <c r="D486" t="s">
        <v>959</v>
      </c>
      <c r="E486" t="s">
        <v>813</v>
      </c>
      <c r="G486" t="s">
        <v>2540</v>
      </c>
      <c r="H486" t="str" cm="1">
        <f t="array" ref="H486">IF(AND(G486="",
      C486="Receipt"),
      _xlfn.XLOOKUP(1,
      (purchase_order_lines_coldchain!A486:A1484 = F486) *
      (purchase_order_lines_coldchain!G486:G1484 = E486) *
      (purchase_order_lines_coldchain!D486:D1484 = D486),
      purchase_order_lines_coldchain!B$2:B$1000,
      _xlfn.XLOOKUP(F486,purchase_order_lines_coldchain!A$2:A1484,
      purchase_order_lines_coldchain!B$2:B1484)),
      "")</f>
        <v/>
      </c>
      <c r="I486" t="str">
        <f t="shared" si="7"/>
        <v>SO-169689</v>
      </c>
      <c r="K486" s="11">
        <v>11</v>
      </c>
      <c r="L486" s="11">
        <v>-11</v>
      </c>
      <c r="M486" s="14">
        <v>5.94</v>
      </c>
      <c r="N486" s="14">
        <v>-65.34</v>
      </c>
      <c r="O486">
        <v>5.6</v>
      </c>
      <c r="P486" t="s">
        <v>3277</v>
      </c>
    </row>
    <row r="487" spans="1:16" x14ac:dyDescent="0.25">
      <c r="A487" t="s">
        <v>2541</v>
      </c>
      <c r="B487" s="1">
        <v>45721.429166666669</v>
      </c>
      <c r="C487" t="s">
        <v>3278</v>
      </c>
      <c r="D487" t="s">
        <v>959</v>
      </c>
      <c r="E487" t="s">
        <v>813</v>
      </c>
      <c r="G487" t="s">
        <v>2542</v>
      </c>
      <c r="H487" t="str" cm="1">
        <f t="array" ref="H487">IF(AND(G487="",
      C487="Receipt"),
      _xlfn.XLOOKUP(1,
      (purchase_order_lines_coldchain!A487:A1485 = F487) *
      (purchase_order_lines_coldchain!G487:G1485 = E487) *
      (purchase_order_lines_coldchain!D487:D1485 = D487),
      purchase_order_lines_coldchain!B$2:B$1000,
      _xlfn.XLOOKUP(F487,purchase_order_lines_coldchain!A$2:A1485,
      purchase_order_lines_coldchain!B$2:B1485)),
      "")</f>
        <v/>
      </c>
      <c r="I487" t="str">
        <f t="shared" si="7"/>
        <v>SO-199630</v>
      </c>
      <c r="K487" s="11">
        <v>4</v>
      </c>
      <c r="L487" s="11">
        <v>-4</v>
      </c>
      <c r="M487" s="14">
        <v>5.94</v>
      </c>
      <c r="N487" s="14">
        <v>-23.76</v>
      </c>
      <c r="O487">
        <v>5.9</v>
      </c>
      <c r="P487" t="s">
        <v>3277</v>
      </c>
    </row>
    <row r="488" spans="1:16" x14ac:dyDescent="0.25">
      <c r="A488" t="s">
        <v>2543</v>
      </c>
      <c r="B488" s="1">
        <v>45712.306944444441</v>
      </c>
      <c r="C488" t="s">
        <v>3278</v>
      </c>
      <c r="D488" t="s">
        <v>999</v>
      </c>
      <c r="E488" t="s">
        <v>401</v>
      </c>
      <c r="G488" t="s">
        <v>2544</v>
      </c>
      <c r="H488" t="str" cm="1">
        <f t="array" ref="H488">IF(AND(G488="",
      C488="Receipt"),
      _xlfn.XLOOKUP(1,
      (purchase_order_lines_coldchain!A488:A1486 = F488) *
      (purchase_order_lines_coldchain!G488:G1486 = E488) *
      (purchase_order_lines_coldchain!D488:D1486 = D488),
      purchase_order_lines_coldchain!B$2:B$1000,
      _xlfn.XLOOKUP(F488,purchase_order_lines_coldchain!A$2:A1486,
      purchase_order_lines_coldchain!B$2:B1486)),
      "")</f>
        <v/>
      </c>
      <c r="I488" t="str">
        <f t="shared" si="7"/>
        <v>SO-107680</v>
      </c>
      <c r="K488" s="11">
        <v>2</v>
      </c>
      <c r="L488" s="11">
        <v>-2</v>
      </c>
      <c r="M488" s="14">
        <v>5.85</v>
      </c>
      <c r="N488" s="14">
        <v>-11.7</v>
      </c>
      <c r="O488">
        <v>8.9</v>
      </c>
      <c r="P488" t="s">
        <v>3277</v>
      </c>
    </row>
    <row r="489" spans="1:16" x14ac:dyDescent="0.25">
      <c r="A489" t="s">
        <v>2545</v>
      </c>
      <c r="B489" s="1">
        <v>45753.90902777778</v>
      </c>
      <c r="C489" t="s">
        <v>3278</v>
      </c>
      <c r="D489" t="s">
        <v>959</v>
      </c>
      <c r="E489" t="s">
        <v>624</v>
      </c>
      <c r="G489" t="s">
        <v>2546</v>
      </c>
      <c r="H489" t="str" cm="1">
        <f t="array" ref="H489">IF(AND(G489="",
      C489="Receipt"),
      _xlfn.XLOOKUP(1,
      (purchase_order_lines_coldchain!A489:A1487 = F489) *
      (purchase_order_lines_coldchain!G489:G1487 = E489) *
      (purchase_order_lines_coldchain!D489:D1487 = D489),
      purchase_order_lines_coldchain!B$2:B$1000,
      _xlfn.XLOOKUP(F489,purchase_order_lines_coldchain!A$2:A1487,
      purchase_order_lines_coldchain!B$2:B1487)),
      "")</f>
        <v/>
      </c>
      <c r="I489" t="str">
        <f t="shared" si="7"/>
        <v>SO-149981</v>
      </c>
      <c r="K489" s="11">
        <v>8</v>
      </c>
      <c r="L489" s="11">
        <v>-8</v>
      </c>
      <c r="M489" s="14">
        <v>3.81</v>
      </c>
      <c r="N489" s="14">
        <v>-30.48</v>
      </c>
      <c r="O489">
        <v>5.7</v>
      </c>
      <c r="P489" t="s">
        <v>3277</v>
      </c>
    </row>
    <row r="490" spans="1:16" x14ac:dyDescent="0.25">
      <c r="A490" t="s">
        <v>2547</v>
      </c>
      <c r="B490" s="1">
        <v>45775.335416666669</v>
      </c>
      <c r="C490" t="s">
        <v>3278</v>
      </c>
      <c r="D490" t="s">
        <v>996</v>
      </c>
      <c r="E490" t="s">
        <v>557</v>
      </c>
      <c r="G490" t="s">
        <v>2548</v>
      </c>
      <c r="H490" t="str" cm="1">
        <f t="array" ref="H490">IF(AND(G490="",
      C490="Receipt"),
      _xlfn.XLOOKUP(1,
      (purchase_order_lines_coldchain!A490:A1488 = F490) *
      (purchase_order_lines_coldchain!G490:G1488 = E490) *
      (purchase_order_lines_coldchain!D490:D1488 = D490),
      purchase_order_lines_coldchain!B$2:B$1000,
      _xlfn.XLOOKUP(F490,purchase_order_lines_coldchain!A$2:A1488,
      purchase_order_lines_coldchain!B$2:B1488)),
      "")</f>
        <v/>
      </c>
      <c r="I490" t="str">
        <f t="shared" si="7"/>
        <v>SO-128393</v>
      </c>
      <c r="K490" s="11">
        <v>1</v>
      </c>
      <c r="L490" s="11">
        <v>-1</v>
      </c>
      <c r="M490" s="14">
        <v>1.77</v>
      </c>
      <c r="N490" s="14">
        <v>-1.77</v>
      </c>
      <c r="O490">
        <v>6.2</v>
      </c>
      <c r="P490" t="s">
        <v>3277</v>
      </c>
    </row>
    <row r="491" spans="1:16" x14ac:dyDescent="0.25">
      <c r="A491" t="s">
        <v>2549</v>
      </c>
      <c r="B491" s="1">
        <v>45695.397222222222</v>
      </c>
      <c r="C491" t="s">
        <v>3278</v>
      </c>
      <c r="D491" t="s">
        <v>990</v>
      </c>
      <c r="E491" t="s">
        <v>493</v>
      </c>
      <c r="G491" t="s">
        <v>2550</v>
      </c>
      <c r="H491" t="str" cm="1">
        <f t="array" ref="H491">IF(AND(G491="",
      C491="Receipt"),
      _xlfn.XLOOKUP(1,
      (purchase_order_lines_coldchain!A491:A1489 = F491) *
      (purchase_order_lines_coldchain!G491:G1489 = E491) *
      (purchase_order_lines_coldchain!D491:D1489 = D491),
      purchase_order_lines_coldchain!B$2:B$1000,
      _xlfn.XLOOKUP(F491,purchase_order_lines_coldchain!A$2:A1489,
      purchase_order_lines_coldchain!B$2:B1489)),
      "")</f>
        <v/>
      </c>
      <c r="I491" t="str">
        <f t="shared" si="7"/>
        <v>SO-154467</v>
      </c>
      <c r="K491" s="11">
        <v>5</v>
      </c>
      <c r="L491" s="11">
        <v>-5</v>
      </c>
      <c r="M491" s="14">
        <v>6.84</v>
      </c>
      <c r="N491" s="14">
        <v>-34.200000000000003</v>
      </c>
      <c r="O491">
        <v>6.3</v>
      </c>
      <c r="P491" t="s">
        <v>3277</v>
      </c>
    </row>
    <row r="492" spans="1:16" x14ac:dyDescent="0.25">
      <c r="A492" t="s">
        <v>2551</v>
      </c>
      <c r="B492" s="1">
        <v>45763.436111111114</v>
      </c>
      <c r="C492" t="s">
        <v>3276</v>
      </c>
      <c r="D492" t="s">
        <v>964</v>
      </c>
      <c r="E492" t="s">
        <v>437</v>
      </c>
      <c r="G492" t="s">
        <v>2552</v>
      </c>
      <c r="H492" t="str" cm="1">
        <f t="array" ref="H492">IF(AND(G492="",
      C492="Receipt"),
      _xlfn.XLOOKUP(1,
      (purchase_order_lines_coldchain!A492:A1490 = F492) *
      (purchase_order_lines_coldchain!G492:G1490 = E492) *
      (purchase_order_lines_coldchain!D492:D1490 = D492),
      purchase_order_lines_coldchain!B$2:B$1000,
      _xlfn.XLOOKUP(F492,purchase_order_lines_coldchain!A$2:A1490,
      purchase_order_lines_coldchain!B$2:B1490)),
      "")</f>
        <v/>
      </c>
      <c r="I492" t="str">
        <f t="shared" si="7"/>
        <v>SO-159729</v>
      </c>
      <c r="K492" s="11">
        <v>4</v>
      </c>
      <c r="L492" s="11">
        <v>-4</v>
      </c>
      <c r="M492" s="14">
        <v>3.14</v>
      </c>
      <c r="N492" s="14">
        <v>-12.56</v>
      </c>
      <c r="O492">
        <v>4.7</v>
      </c>
      <c r="P492" t="s">
        <v>3277</v>
      </c>
    </row>
    <row r="493" spans="1:16" x14ac:dyDescent="0.25">
      <c r="A493" t="s">
        <v>2553</v>
      </c>
      <c r="B493" s="1">
        <v>45745.973611111112</v>
      </c>
      <c r="C493" t="s">
        <v>3276</v>
      </c>
      <c r="D493" t="s">
        <v>968</v>
      </c>
      <c r="E493" t="s">
        <v>924</v>
      </c>
      <c r="G493" t="s">
        <v>2554</v>
      </c>
      <c r="H493" t="str" cm="1">
        <f t="array" ref="H493">IF(AND(G493="",
      C493="Receipt"),
      _xlfn.XLOOKUP(1,
      (purchase_order_lines_coldchain!A493:A1491 = F493) *
      (purchase_order_lines_coldchain!G493:G1491 = E493) *
      (purchase_order_lines_coldchain!D493:D1491 = D493),
      purchase_order_lines_coldchain!B$2:B$1000,
      _xlfn.XLOOKUP(F493,purchase_order_lines_coldchain!A$2:A1491,
      purchase_order_lines_coldchain!B$2:B1491)),
      "")</f>
        <v/>
      </c>
      <c r="I493" t="str">
        <f t="shared" si="7"/>
        <v>SO-120845</v>
      </c>
      <c r="K493" s="11">
        <v>3</v>
      </c>
      <c r="L493" s="11">
        <v>-3</v>
      </c>
      <c r="M493" s="14">
        <v>4.3499999999999996</v>
      </c>
      <c r="N493" s="14">
        <v>-13.05</v>
      </c>
      <c r="O493">
        <v>1.3</v>
      </c>
      <c r="P493" t="s">
        <v>3277</v>
      </c>
    </row>
    <row r="494" spans="1:16" x14ac:dyDescent="0.25">
      <c r="A494" t="s">
        <v>2555</v>
      </c>
      <c r="B494" s="1">
        <v>45776.57916666667</v>
      </c>
      <c r="C494" t="s">
        <v>3278</v>
      </c>
      <c r="D494" t="s">
        <v>999</v>
      </c>
      <c r="E494" t="s">
        <v>744</v>
      </c>
      <c r="G494" t="s">
        <v>2556</v>
      </c>
      <c r="H494" t="str" cm="1">
        <f t="array" ref="H494">IF(AND(G494="",
      C494="Receipt"),
      _xlfn.XLOOKUP(1,
      (purchase_order_lines_coldchain!A494:A1492 = F494) *
      (purchase_order_lines_coldchain!G494:G1492 = E494) *
      (purchase_order_lines_coldchain!D494:D1492 = D494),
      purchase_order_lines_coldchain!B$2:B$1000,
      _xlfn.XLOOKUP(F494,purchase_order_lines_coldchain!A$2:A1492,
      purchase_order_lines_coldchain!B$2:B1492)),
      "")</f>
        <v/>
      </c>
      <c r="I494" t="str">
        <f t="shared" si="7"/>
        <v>SO-174487</v>
      </c>
      <c r="K494" s="11">
        <v>7</v>
      </c>
      <c r="L494" s="11">
        <v>-7</v>
      </c>
      <c r="M494" s="14">
        <v>5.39</v>
      </c>
      <c r="N494" s="14">
        <v>-37.729999999999997</v>
      </c>
      <c r="O494">
        <v>3.8</v>
      </c>
      <c r="P494" t="s">
        <v>3277</v>
      </c>
    </row>
    <row r="495" spans="1:16" x14ac:dyDescent="0.25">
      <c r="A495" t="s">
        <v>2557</v>
      </c>
      <c r="B495" s="1">
        <v>45712.675694444442</v>
      </c>
      <c r="C495" t="s">
        <v>3278</v>
      </c>
      <c r="D495" t="s">
        <v>990</v>
      </c>
      <c r="E495" t="s">
        <v>852</v>
      </c>
      <c r="G495" t="s">
        <v>2558</v>
      </c>
      <c r="H495" t="str" cm="1">
        <f t="array" ref="H495">IF(AND(G495="",
      C495="Receipt"),
      _xlfn.XLOOKUP(1,
      (purchase_order_lines_coldchain!A495:A1493 = F495) *
      (purchase_order_lines_coldchain!G495:G1493 = E495) *
      (purchase_order_lines_coldchain!D495:D1493 = D495),
      purchase_order_lines_coldchain!B$2:B$1000,
      _xlfn.XLOOKUP(F495,purchase_order_lines_coldchain!A$2:A1493,
      purchase_order_lines_coldchain!B$2:B1493)),
      "")</f>
        <v/>
      </c>
      <c r="I495" t="str">
        <f t="shared" si="7"/>
        <v>SO-129886</v>
      </c>
      <c r="K495" s="11">
        <v>9</v>
      </c>
      <c r="L495" s="11">
        <v>-9</v>
      </c>
      <c r="M495" s="14">
        <v>1.55</v>
      </c>
      <c r="N495" s="14">
        <v>-13.95</v>
      </c>
      <c r="O495">
        <v>-1.4</v>
      </c>
      <c r="P495" t="s">
        <v>3277</v>
      </c>
    </row>
    <row r="496" spans="1:16" x14ac:dyDescent="0.25">
      <c r="A496" t="s">
        <v>2559</v>
      </c>
      <c r="B496" s="1">
        <v>45748.506249999999</v>
      </c>
      <c r="C496" t="s">
        <v>3278</v>
      </c>
      <c r="D496" t="s">
        <v>968</v>
      </c>
      <c r="E496" t="s">
        <v>855</v>
      </c>
      <c r="G496" t="s">
        <v>2560</v>
      </c>
      <c r="H496" t="str" cm="1">
        <f t="array" ref="H496">IF(AND(G496="",
      C496="Receipt"),
      _xlfn.XLOOKUP(1,
      (purchase_order_lines_coldchain!A496:A1494 = F496) *
      (purchase_order_lines_coldchain!G496:G1494 = E496) *
      (purchase_order_lines_coldchain!D496:D1494 = D496),
      purchase_order_lines_coldchain!B$2:B$1000,
      _xlfn.XLOOKUP(F496,purchase_order_lines_coldchain!A$2:A1494,
      purchase_order_lines_coldchain!B$2:B1494)),
      "")</f>
        <v/>
      </c>
      <c r="I496" t="str">
        <f t="shared" si="7"/>
        <v>SO-128661</v>
      </c>
      <c r="K496" s="11">
        <v>2</v>
      </c>
      <c r="L496" s="11">
        <v>-2</v>
      </c>
      <c r="M496" s="14">
        <v>13.7</v>
      </c>
      <c r="N496" s="14">
        <v>-27.4</v>
      </c>
      <c r="O496">
        <v>-0.5</v>
      </c>
      <c r="P496" t="s">
        <v>3277</v>
      </c>
    </row>
    <row r="497" spans="1:16" x14ac:dyDescent="0.25">
      <c r="A497" t="s">
        <v>2561</v>
      </c>
      <c r="B497" s="1">
        <v>45753.740277777775</v>
      </c>
      <c r="C497" t="s">
        <v>3278</v>
      </c>
      <c r="D497" t="s">
        <v>968</v>
      </c>
      <c r="E497" t="s">
        <v>939</v>
      </c>
      <c r="G497" t="s">
        <v>2562</v>
      </c>
      <c r="H497" t="str" cm="1">
        <f t="array" ref="H497">IF(AND(G497="",
      C497="Receipt"),
      _xlfn.XLOOKUP(1,
      (purchase_order_lines_coldchain!A497:A1495 = F497) *
      (purchase_order_lines_coldchain!G497:G1495 = E497) *
      (purchase_order_lines_coldchain!D497:D1495 = D497),
      purchase_order_lines_coldchain!B$2:B$1000,
      _xlfn.XLOOKUP(F497,purchase_order_lines_coldchain!A$2:A1495,
      purchase_order_lines_coldchain!B$2:B1495)),
      "")</f>
        <v/>
      </c>
      <c r="I497" t="str">
        <f t="shared" si="7"/>
        <v>SO-178521</v>
      </c>
      <c r="K497" s="11">
        <v>7</v>
      </c>
      <c r="L497" s="11">
        <v>-7</v>
      </c>
      <c r="M497" s="14">
        <v>4.25</v>
      </c>
      <c r="N497" s="14">
        <v>-29.75</v>
      </c>
      <c r="O497">
        <v>5.7</v>
      </c>
      <c r="P497" t="s">
        <v>3277</v>
      </c>
    </row>
    <row r="498" spans="1:16" x14ac:dyDescent="0.25">
      <c r="A498" t="s">
        <v>2563</v>
      </c>
      <c r="B498" s="1">
        <v>45716.975694444445</v>
      </c>
      <c r="C498" t="s">
        <v>3276</v>
      </c>
      <c r="D498" t="s">
        <v>980</v>
      </c>
      <c r="E498" t="s">
        <v>921</v>
      </c>
      <c r="G498" t="s">
        <v>2564</v>
      </c>
      <c r="H498" t="str" cm="1">
        <f t="array" ref="H498">IF(AND(G498="",
      C498="Receipt"),
      _xlfn.XLOOKUP(1,
      (purchase_order_lines_coldchain!A498:A1496 = F498) *
      (purchase_order_lines_coldchain!G498:G1496 = E498) *
      (purchase_order_lines_coldchain!D498:D1496 = D498),
      purchase_order_lines_coldchain!B$2:B$1000,
      _xlfn.XLOOKUP(F498,purchase_order_lines_coldchain!A$2:A1496,
      purchase_order_lines_coldchain!B$2:B1496)),
      "")</f>
        <v/>
      </c>
      <c r="I498" t="str">
        <f t="shared" si="7"/>
        <v>SO-171116</v>
      </c>
      <c r="K498" s="11">
        <v>12</v>
      </c>
      <c r="L498" s="11">
        <v>-12</v>
      </c>
      <c r="M498" s="14">
        <v>16.47</v>
      </c>
      <c r="N498" s="14">
        <v>-197.64</v>
      </c>
      <c r="O498">
        <v>0.5</v>
      </c>
      <c r="P498" t="s">
        <v>3277</v>
      </c>
    </row>
    <row r="499" spans="1:16" x14ac:dyDescent="0.25">
      <c r="A499" t="s">
        <v>2565</v>
      </c>
      <c r="B499" s="1">
        <v>45774.609027777777</v>
      </c>
      <c r="C499" t="s">
        <v>3276</v>
      </c>
      <c r="D499" t="s">
        <v>980</v>
      </c>
      <c r="E499" t="s">
        <v>606</v>
      </c>
      <c r="G499" t="s">
        <v>2566</v>
      </c>
      <c r="H499" t="str" cm="1">
        <f t="array" ref="H499">IF(AND(G499="",
      C499="Receipt"),
      _xlfn.XLOOKUP(1,
      (purchase_order_lines_coldchain!A499:A1497 = F499) *
      (purchase_order_lines_coldchain!G499:G1497 = E499) *
      (purchase_order_lines_coldchain!D499:D1497 = D499),
      purchase_order_lines_coldchain!B$2:B$1000,
      _xlfn.XLOOKUP(F499,purchase_order_lines_coldchain!A$2:A1497,
      purchase_order_lines_coldchain!B$2:B1497)),
      "")</f>
        <v/>
      </c>
      <c r="I499" t="str">
        <f t="shared" si="7"/>
        <v>SO-173498</v>
      </c>
      <c r="K499" s="11">
        <v>9</v>
      </c>
      <c r="L499" s="11">
        <v>-9</v>
      </c>
      <c r="M499" s="14">
        <v>2.4700000000000002</v>
      </c>
      <c r="N499" s="14">
        <v>-22.23</v>
      </c>
      <c r="O499">
        <v>7.2</v>
      </c>
      <c r="P499" t="s">
        <v>3277</v>
      </c>
    </row>
    <row r="500" spans="1:16" x14ac:dyDescent="0.25">
      <c r="A500" t="s">
        <v>2567</v>
      </c>
      <c r="B500" s="1">
        <v>45745.178472222222</v>
      </c>
      <c r="C500" t="s">
        <v>3278</v>
      </c>
      <c r="D500" t="s">
        <v>999</v>
      </c>
      <c r="E500" t="s">
        <v>440</v>
      </c>
      <c r="G500" t="s">
        <v>2568</v>
      </c>
      <c r="H500" t="str" cm="1">
        <f t="array" ref="H500">IF(AND(G500="",
      C500="Receipt"),
      _xlfn.XLOOKUP(1,
      (purchase_order_lines_coldchain!A500:A1498 = F500) *
      (purchase_order_lines_coldchain!G500:G1498 = E500) *
      (purchase_order_lines_coldchain!D500:D1498 = D500),
      purchase_order_lines_coldchain!B$2:B$1000,
      _xlfn.XLOOKUP(F500,purchase_order_lines_coldchain!A$2:A1498,
      purchase_order_lines_coldchain!B$2:B1498)),
      "")</f>
        <v/>
      </c>
      <c r="I500" t="str">
        <f t="shared" si="7"/>
        <v>SO-111240</v>
      </c>
      <c r="K500" s="11">
        <v>2</v>
      </c>
      <c r="L500" s="11">
        <v>-2</v>
      </c>
      <c r="M500" s="14">
        <v>6.07</v>
      </c>
      <c r="N500" s="14">
        <v>-12.14</v>
      </c>
      <c r="O500">
        <v>3.2</v>
      </c>
      <c r="P500" t="s">
        <v>3277</v>
      </c>
    </row>
    <row r="501" spans="1:16" x14ac:dyDescent="0.25">
      <c r="A501" t="s">
        <v>2569</v>
      </c>
      <c r="B501" s="1">
        <v>45734.847916666666</v>
      </c>
      <c r="C501" t="s">
        <v>3276</v>
      </c>
      <c r="D501" t="s">
        <v>964</v>
      </c>
      <c r="E501" t="s">
        <v>427</v>
      </c>
      <c r="G501" t="s">
        <v>2570</v>
      </c>
      <c r="H501" t="str" cm="1">
        <f t="array" ref="H501">IF(AND(G501="",
      C501="Receipt"),
      _xlfn.XLOOKUP(1,
      (purchase_order_lines_coldchain!A501:A1499 = F501) *
      (purchase_order_lines_coldchain!G501:G1499 = E501) *
      (purchase_order_lines_coldchain!D501:D1499 = D501),
      purchase_order_lines_coldchain!B$2:B$1000,
      _xlfn.XLOOKUP(F501,purchase_order_lines_coldchain!A$2:A1499,
      purchase_order_lines_coldchain!B$2:B1499)),
      "")</f>
        <v/>
      </c>
      <c r="I501" t="str">
        <f t="shared" si="7"/>
        <v>SO-105396</v>
      </c>
      <c r="K501" s="11">
        <v>7</v>
      </c>
      <c r="L501" s="11">
        <v>-7</v>
      </c>
      <c r="M501" s="14">
        <v>3.74</v>
      </c>
      <c r="N501" s="14">
        <v>-26.18</v>
      </c>
      <c r="O501">
        <v>-0.4</v>
      </c>
      <c r="P501" t="s">
        <v>3277</v>
      </c>
    </row>
    <row r="502" spans="1:16" x14ac:dyDescent="0.25">
      <c r="A502" t="s">
        <v>2571</v>
      </c>
      <c r="B502" s="1">
        <v>45711.708333333336</v>
      </c>
      <c r="C502" t="s">
        <v>3279</v>
      </c>
      <c r="D502" t="s">
        <v>990</v>
      </c>
      <c r="E502" t="s">
        <v>627</v>
      </c>
      <c r="G502" t="s">
        <v>2572</v>
      </c>
      <c r="H502" t="str" cm="1">
        <f t="array" ref="H502">IF(AND(G502="",
      C502="Receipt"),
      _xlfn.XLOOKUP(1,
      (purchase_order_lines_coldchain!A502:A1500 = F502) *
      (purchase_order_lines_coldchain!G502:G1500 = E502) *
      (purchase_order_lines_coldchain!D502:D1500 = D502),
      purchase_order_lines_coldchain!B$2:B$1000,
      _xlfn.XLOOKUP(F502,purchase_order_lines_coldchain!A$2:A1500,
      purchase_order_lines_coldchain!B$2:B1500)),
      "")</f>
        <v/>
      </c>
      <c r="I502" t="str">
        <f t="shared" si="7"/>
        <v>RET-28637</v>
      </c>
      <c r="K502" s="11">
        <v>6</v>
      </c>
      <c r="L502" s="11">
        <v>6</v>
      </c>
      <c r="M502" s="14">
        <v>3.26</v>
      </c>
      <c r="N502" s="14">
        <v>19.559999999999999</v>
      </c>
      <c r="O502">
        <v>5.3</v>
      </c>
      <c r="P502" t="s">
        <v>3280</v>
      </c>
    </row>
    <row r="503" spans="1:16" x14ac:dyDescent="0.25">
      <c r="A503" t="s">
        <v>2573</v>
      </c>
      <c r="B503" s="1">
        <v>45757.666666666664</v>
      </c>
      <c r="C503" t="s">
        <v>3281</v>
      </c>
      <c r="D503" t="s">
        <v>959</v>
      </c>
      <c r="E503" t="s">
        <v>912</v>
      </c>
      <c r="G503" t="s">
        <v>2574</v>
      </c>
      <c r="H503" t="str" cm="1">
        <f t="array" ref="H503">IF(AND(G503="",
      C503="Receipt"),
      _xlfn.XLOOKUP(1,
      (purchase_order_lines_coldchain!A503:A1501 = F503) *
      (purchase_order_lines_coldchain!G503:G1501 = E503) *
      (purchase_order_lines_coldchain!D503:D1501 = D503),
      purchase_order_lines_coldchain!B$2:B$1000,
      _xlfn.XLOOKUP(F503,purchase_order_lines_coldchain!A$2:A1501,
      purchase_order_lines_coldchain!B$2:B1501)),
      "")</f>
        <v/>
      </c>
      <c r="I503" t="str">
        <f t="shared" si="7"/>
        <v>RET-90677</v>
      </c>
      <c r="K503" s="11">
        <v>6</v>
      </c>
      <c r="L503" s="11">
        <v>6</v>
      </c>
      <c r="M503" s="14">
        <v>11.22</v>
      </c>
      <c r="N503" s="14">
        <v>67.319999999999993</v>
      </c>
      <c r="O503">
        <v>3.1</v>
      </c>
      <c r="P503" t="s">
        <v>3280</v>
      </c>
    </row>
    <row r="504" spans="1:16" x14ac:dyDescent="0.25">
      <c r="A504" t="s">
        <v>2575</v>
      </c>
      <c r="B504" s="1">
        <v>45755.75</v>
      </c>
      <c r="C504" t="s">
        <v>3281</v>
      </c>
      <c r="D504" t="s">
        <v>990</v>
      </c>
      <c r="E504" t="s">
        <v>493</v>
      </c>
      <c r="G504" t="s">
        <v>2576</v>
      </c>
      <c r="H504" t="str" cm="1">
        <f t="array" ref="H504">IF(AND(G504="",
      C504="Receipt"),
      _xlfn.XLOOKUP(1,
      (purchase_order_lines_coldchain!A504:A1502 = F504) *
      (purchase_order_lines_coldchain!G504:G1502 = E504) *
      (purchase_order_lines_coldchain!D504:D1502 = D504),
      purchase_order_lines_coldchain!B$2:B$1000,
      _xlfn.XLOOKUP(F504,purchase_order_lines_coldchain!A$2:A1502,
      purchase_order_lines_coldchain!B$2:B1502)),
      "")</f>
        <v/>
      </c>
      <c r="I504" t="str">
        <f t="shared" si="7"/>
        <v>RET-97674</v>
      </c>
      <c r="K504" s="11">
        <v>6</v>
      </c>
      <c r="L504" s="11">
        <v>6</v>
      </c>
      <c r="M504" s="14">
        <v>6.84</v>
      </c>
      <c r="N504" s="14">
        <v>41.04</v>
      </c>
      <c r="O504">
        <v>2.5</v>
      </c>
      <c r="P504" t="s">
        <v>3280</v>
      </c>
    </row>
    <row r="505" spans="1:16" x14ac:dyDescent="0.25">
      <c r="A505" t="s">
        <v>2577</v>
      </c>
      <c r="B505" s="1">
        <v>45718.166666666664</v>
      </c>
      <c r="C505" t="s">
        <v>3279</v>
      </c>
      <c r="D505" t="s">
        <v>959</v>
      </c>
      <c r="E505" t="s">
        <v>557</v>
      </c>
      <c r="G505" t="s">
        <v>2578</v>
      </c>
      <c r="H505" t="str" cm="1">
        <f t="array" ref="H505">IF(AND(G505="",
      C505="Receipt"),
      _xlfn.XLOOKUP(1,
      (purchase_order_lines_coldchain!A505:A1503 = F505) *
      (purchase_order_lines_coldchain!G505:G1503 = E505) *
      (purchase_order_lines_coldchain!D505:D1503 = D505),
      purchase_order_lines_coldchain!B$2:B$1000,
      _xlfn.XLOOKUP(F505,purchase_order_lines_coldchain!A$2:A1503,
      purchase_order_lines_coldchain!B$2:B1503)),
      "")</f>
        <v/>
      </c>
      <c r="I505" t="str">
        <f t="shared" si="7"/>
        <v>RET-62603</v>
      </c>
      <c r="K505" s="11">
        <v>2</v>
      </c>
      <c r="L505" s="11">
        <v>2</v>
      </c>
      <c r="M505" s="14">
        <v>1.77</v>
      </c>
      <c r="N505" s="14">
        <v>3.54</v>
      </c>
      <c r="O505">
        <v>2.4</v>
      </c>
      <c r="P505" t="s">
        <v>3282</v>
      </c>
    </row>
    <row r="506" spans="1:16" x14ac:dyDescent="0.25">
      <c r="A506" t="s">
        <v>2579</v>
      </c>
      <c r="B506" s="1">
        <v>45710.375</v>
      </c>
      <c r="C506" t="s">
        <v>3281</v>
      </c>
      <c r="D506" t="s">
        <v>980</v>
      </c>
      <c r="E506" t="s">
        <v>792</v>
      </c>
      <c r="G506" t="s">
        <v>2580</v>
      </c>
      <c r="H506" t="str" cm="1">
        <f t="array" ref="H506">IF(AND(G506="",
      C506="Receipt"),
      _xlfn.XLOOKUP(1,
      (purchase_order_lines_coldchain!A506:A1504 = F506) *
      (purchase_order_lines_coldchain!G506:G1504 = E506) *
      (purchase_order_lines_coldchain!D506:D1504 = D506),
      purchase_order_lines_coldchain!B$2:B$1000,
      _xlfn.XLOOKUP(F506,purchase_order_lines_coldchain!A$2:A1504,
      purchase_order_lines_coldchain!B$2:B1504)),
      "")</f>
        <v/>
      </c>
      <c r="I506" t="str">
        <f t="shared" si="7"/>
        <v>RET-42920</v>
      </c>
      <c r="K506" s="11">
        <v>6</v>
      </c>
      <c r="L506" s="11">
        <v>6</v>
      </c>
      <c r="M506" s="14">
        <v>4.3099999999999996</v>
      </c>
      <c r="N506" s="14">
        <v>25.86</v>
      </c>
      <c r="O506">
        <v>-10.9</v>
      </c>
      <c r="P506" t="s">
        <v>3280</v>
      </c>
    </row>
    <row r="507" spans="1:16" x14ac:dyDescent="0.25">
      <c r="A507" t="s">
        <v>2581</v>
      </c>
      <c r="B507" s="1">
        <v>45733.041666666664</v>
      </c>
      <c r="C507" t="s">
        <v>3279</v>
      </c>
      <c r="D507" t="s">
        <v>999</v>
      </c>
      <c r="E507" t="s">
        <v>888</v>
      </c>
      <c r="G507" t="s">
        <v>2582</v>
      </c>
      <c r="H507" t="str" cm="1">
        <f t="array" ref="H507">IF(AND(G507="",
      C507="Receipt"),
      _xlfn.XLOOKUP(1,
      (purchase_order_lines_coldchain!A507:A1505 = F507) *
      (purchase_order_lines_coldchain!G507:G1505 = E507) *
      (purchase_order_lines_coldchain!D507:D1505 = D507),
      purchase_order_lines_coldchain!B$2:B$1000,
      _xlfn.XLOOKUP(F507,purchase_order_lines_coldchain!A$2:A1505,
      purchase_order_lines_coldchain!B$2:B1505)),
      "")</f>
        <v/>
      </c>
      <c r="I507" t="str">
        <f t="shared" si="7"/>
        <v>RET-69227</v>
      </c>
      <c r="K507" s="11">
        <v>6</v>
      </c>
      <c r="L507" s="11">
        <v>6</v>
      </c>
      <c r="M507" s="14">
        <v>3.81</v>
      </c>
      <c r="N507" s="14">
        <v>22.86</v>
      </c>
      <c r="O507">
        <v>1.1000000000000001</v>
      </c>
      <c r="P507" t="s">
        <v>3280</v>
      </c>
    </row>
    <row r="508" spans="1:16" x14ac:dyDescent="0.25">
      <c r="A508" t="s">
        <v>2583</v>
      </c>
      <c r="B508" s="1">
        <v>45750.791666666664</v>
      </c>
      <c r="C508" t="s">
        <v>3281</v>
      </c>
      <c r="D508" t="s">
        <v>996</v>
      </c>
      <c r="E508" t="s">
        <v>603</v>
      </c>
      <c r="G508" t="s">
        <v>2584</v>
      </c>
      <c r="H508" t="str" cm="1">
        <f t="array" ref="H508">IF(AND(G508="",
      C508="Receipt"),
      _xlfn.XLOOKUP(1,
      (purchase_order_lines_coldchain!A508:A1506 = F508) *
      (purchase_order_lines_coldchain!G508:G1506 = E508) *
      (purchase_order_lines_coldchain!D508:D1506 = D508),
      purchase_order_lines_coldchain!B$2:B$1000,
      _xlfn.XLOOKUP(F508,purchase_order_lines_coldchain!A$2:A1506,
      purchase_order_lines_coldchain!B$2:B1506)),
      "")</f>
        <v/>
      </c>
      <c r="I508" t="str">
        <f t="shared" si="7"/>
        <v>RET-34523</v>
      </c>
      <c r="K508" s="11">
        <v>3</v>
      </c>
      <c r="L508" s="11">
        <v>3</v>
      </c>
      <c r="M508" s="14">
        <v>4.82</v>
      </c>
      <c r="N508" s="14">
        <v>14.46</v>
      </c>
      <c r="O508">
        <v>6.5</v>
      </c>
      <c r="P508" t="s">
        <v>3280</v>
      </c>
    </row>
    <row r="509" spans="1:16" x14ac:dyDescent="0.25">
      <c r="A509" t="s">
        <v>2585</v>
      </c>
      <c r="B509" s="1">
        <v>45718.333333333336</v>
      </c>
      <c r="C509" t="s">
        <v>3281</v>
      </c>
      <c r="D509" t="s">
        <v>976</v>
      </c>
      <c r="E509" t="s">
        <v>630</v>
      </c>
      <c r="G509" t="s">
        <v>2586</v>
      </c>
      <c r="H509" t="str" cm="1">
        <f t="array" ref="H509">IF(AND(G509="",
      C509="Receipt"),
      _xlfn.XLOOKUP(1,
      (purchase_order_lines_coldchain!A509:A1507 = F509) *
      (purchase_order_lines_coldchain!G509:G1507 = E509) *
      (purchase_order_lines_coldchain!D509:D1507 = D509),
      purchase_order_lines_coldchain!B$2:B$1000,
      _xlfn.XLOOKUP(F509,purchase_order_lines_coldchain!A$2:A1507,
      purchase_order_lines_coldchain!B$2:B1507)),
      "")</f>
        <v/>
      </c>
      <c r="I509" t="str">
        <f t="shared" si="7"/>
        <v>RET-30437</v>
      </c>
      <c r="K509" s="11">
        <v>5</v>
      </c>
      <c r="L509" s="11">
        <v>5</v>
      </c>
      <c r="M509" s="14">
        <v>12.15</v>
      </c>
      <c r="N509" s="14">
        <v>60.75</v>
      </c>
      <c r="O509">
        <v>4.2</v>
      </c>
      <c r="P509" t="s">
        <v>3282</v>
      </c>
    </row>
    <row r="510" spans="1:16" x14ac:dyDescent="0.25">
      <c r="A510" t="s">
        <v>2587</v>
      </c>
      <c r="B510" s="1">
        <v>45749.25</v>
      </c>
      <c r="C510" t="s">
        <v>3281</v>
      </c>
      <c r="D510" t="s">
        <v>976</v>
      </c>
      <c r="E510" t="s">
        <v>915</v>
      </c>
      <c r="G510" t="s">
        <v>2588</v>
      </c>
      <c r="H510" t="str" cm="1">
        <f t="array" ref="H510">IF(AND(G510="",
      C510="Receipt"),
      _xlfn.XLOOKUP(1,
      (purchase_order_lines_coldchain!A510:A1508 = F510) *
      (purchase_order_lines_coldchain!G510:G1508 = E510) *
      (purchase_order_lines_coldchain!D510:D1508 = D510),
      purchase_order_lines_coldchain!B$2:B$1000,
      _xlfn.XLOOKUP(F510,purchase_order_lines_coldchain!A$2:A1508,
      purchase_order_lines_coldchain!B$2:B1508)),
      "")</f>
        <v/>
      </c>
      <c r="I510" t="str">
        <f t="shared" si="7"/>
        <v>RET-13690</v>
      </c>
      <c r="K510" s="11">
        <v>3</v>
      </c>
      <c r="L510" s="11">
        <v>3</v>
      </c>
      <c r="M510" s="14">
        <v>10.3</v>
      </c>
      <c r="N510" s="14">
        <v>30.9</v>
      </c>
      <c r="O510">
        <v>4.9000000000000004</v>
      </c>
      <c r="P510" t="s">
        <v>3282</v>
      </c>
    </row>
    <row r="511" spans="1:16" x14ac:dyDescent="0.25">
      <c r="A511" t="s">
        <v>2589</v>
      </c>
      <c r="B511" s="1">
        <v>45758.583333333336</v>
      </c>
      <c r="C511" t="s">
        <v>3281</v>
      </c>
      <c r="D511" t="s">
        <v>996</v>
      </c>
      <c r="E511" t="s">
        <v>440</v>
      </c>
      <c r="G511" t="s">
        <v>2590</v>
      </c>
      <c r="H511" t="str" cm="1">
        <f t="array" ref="H511">IF(AND(G511="",
      C511="Receipt"),
      _xlfn.XLOOKUP(1,
      (purchase_order_lines_coldchain!A511:A1509 = F511) *
      (purchase_order_lines_coldchain!G511:G1509 = E511) *
      (purchase_order_lines_coldchain!D511:D1509 = D511),
      purchase_order_lines_coldchain!B$2:B$1000,
      _xlfn.XLOOKUP(F511,purchase_order_lines_coldchain!A$2:A1509,
      purchase_order_lines_coldchain!B$2:B1509)),
      "")</f>
        <v/>
      </c>
      <c r="I511" t="str">
        <f t="shared" si="7"/>
        <v>RET-50943</v>
      </c>
      <c r="K511" s="11">
        <v>5</v>
      </c>
      <c r="L511" s="11">
        <v>5</v>
      </c>
      <c r="M511" s="14">
        <v>6.07</v>
      </c>
      <c r="N511" s="14">
        <v>30.35</v>
      </c>
      <c r="O511">
        <v>3.4</v>
      </c>
      <c r="P511" t="s">
        <v>3281</v>
      </c>
    </row>
    <row r="512" spans="1:16" x14ac:dyDescent="0.25">
      <c r="A512" t="s">
        <v>2591</v>
      </c>
      <c r="B512" s="1">
        <v>45733.666666666664</v>
      </c>
      <c r="C512" t="s">
        <v>3281</v>
      </c>
      <c r="D512" t="s">
        <v>990</v>
      </c>
      <c r="E512" t="s">
        <v>720</v>
      </c>
      <c r="G512" t="s">
        <v>2592</v>
      </c>
      <c r="H512" t="str" cm="1">
        <f t="array" ref="H512">IF(AND(G512="",
      C512="Receipt"),
      _xlfn.XLOOKUP(1,
      (purchase_order_lines_coldchain!A512:A1510 = F512) *
      (purchase_order_lines_coldchain!G512:G1510 = E512) *
      (purchase_order_lines_coldchain!D512:D1510 = D512),
      purchase_order_lines_coldchain!B$2:B$1000,
      _xlfn.XLOOKUP(F512,purchase_order_lines_coldchain!A$2:A1510,
      purchase_order_lines_coldchain!B$2:B1510)),
      "")</f>
        <v/>
      </c>
      <c r="I512" t="str">
        <f t="shared" si="7"/>
        <v>RET-93045</v>
      </c>
      <c r="K512" s="11">
        <v>6</v>
      </c>
      <c r="L512" s="11">
        <v>6</v>
      </c>
      <c r="M512" s="14">
        <v>8.34</v>
      </c>
      <c r="N512" s="14">
        <v>50.04</v>
      </c>
      <c r="O512">
        <v>0.5</v>
      </c>
      <c r="P512" t="s">
        <v>3282</v>
      </c>
    </row>
    <row r="513" spans="1:16" x14ac:dyDescent="0.25">
      <c r="A513" t="s">
        <v>2593</v>
      </c>
      <c r="B513" s="1">
        <v>45715.625</v>
      </c>
      <c r="C513" t="s">
        <v>3281</v>
      </c>
      <c r="D513" t="s">
        <v>959</v>
      </c>
      <c r="E513" t="s">
        <v>490</v>
      </c>
      <c r="G513" t="s">
        <v>2594</v>
      </c>
      <c r="H513" t="str" cm="1">
        <f t="array" ref="H513">IF(AND(G513="",
      C513="Receipt"),
      _xlfn.XLOOKUP(1,
      (purchase_order_lines_coldchain!A513:A1511 = F513) *
      (purchase_order_lines_coldchain!G513:G1511 = E513) *
      (purchase_order_lines_coldchain!D513:D1511 = D513),
      purchase_order_lines_coldchain!B$2:B$1000,
      _xlfn.XLOOKUP(F513,purchase_order_lines_coldchain!A$2:A1511,
      purchase_order_lines_coldchain!B$2:B1511)),
      "")</f>
        <v/>
      </c>
      <c r="I513" t="str">
        <f t="shared" si="7"/>
        <v>RET-39988</v>
      </c>
      <c r="K513" s="11">
        <v>6</v>
      </c>
      <c r="L513" s="11">
        <v>6</v>
      </c>
      <c r="M513" s="14">
        <v>16.38</v>
      </c>
      <c r="N513" s="14">
        <v>98.28</v>
      </c>
      <c r="O513">
        <v>4.9000000000000004</v>
      </c>
      <c r="P513" t="s">
        <v>3281</v>
      </c>
    </row>
    <row r="514" spans="1:16" x14ac:dyDescent="0.25">
      <c r="A514" t="s">
        <v>2595</v>
      </c>
      <c r="B514" s="1">
        <v>45737.875</v>
      </c>
      <c r="C514" t="s">
        <v>3279</v>
      </c>
      <c r="D514" t="s">
        <v>976</v>
      </c>
      <c r="E514" t="s">
        <v>915</v>
      </c>
      <c r="G514" t="s">
        <v>2596</v>
      </c>
      <c r="H514" t="str" cm="1">
        <f t="array" ref="H514">IF(AND(G514="",
      C514="Receipt"),
      _xlfn.XLOOKUP(1,
      (purchase_order_lines_coldchain!A514:A1512 = F514) *
      (purchase_order_lines_coldchain!G514:G1512 = E514) *
      (purchase_order_lines_coldchain!D514:D1512 = D514),
      purchase_order_lines_coldchain!B$2:B$1000,
      _xlfn.XLOOKUP(F514,purchase_order_lines_coldchain!A$2:A1512,
      purchase_order_lines_coldchain!B$2:B1512)),
      "")</f>
        <v/>
      </c>
      <c r="I514" t="str">
        <f t="shared" ref="I514:I577" si="8">G514 &amp; H514</f>
        <v>RET-47378</v>
      </c>
      <c r="K514" s="11">
        <v>3</v>
      </c>
      <c r="L514" s="11">
        <v>3</v>
      </c>
      <c r="M514" s="14">
        <v>10.3</v>
      </c>
      <c r="N514" s="14">
        <v>30.9</v>
      </c>
      <c r="O514">
        <v>5</v>
      </c>
      <c r="P514" t="s">
        <v>3282</v>
      </c>
    </row>
    <row r="515" spans="1:16" x14ac:dyDescent="0.25">
      <c r="A515" t="s">
        <v>2597</v>
      </c>
      <c r="B515" s="1">
        <v>45762.958333333336</v>
      </c>
      <c r="C515" t="s">
        <v>3279</v>
      </c>
      <c r="D515" t="s">
        <v>959</v>
      </c>
      <c r="E515" t="s">
        <v>660</v>
      </c>
      <c r="G515" t="s">
        <v>2598</v>
      </c>
      <c r="H515" t="str" cm="1">
        <f t="array" ref="H515">IF(AND(G515="",
      C515="Receipt"),
      _xlfn.XLOOKUP(1,
      (purchase_order_lines_coldchain!A515:A1513 = F515) *
      (purchase_order_lines_coldchain!G515:G1513 = E515) *
      (purchase_order_lines_coldchain!D515:D1513 = D515),
      purchase_order_lines_coldchain!B$2:B$1000,
      _xlfn.XLOOKUP(F515,purchase_order_lines_coldchain!A$2:A1513,
      purchase_order_lines_coldchain!B$2:B1513)),
      "")</f>
        <v/>
      </c>
      <c r="I515" t="str">
        <f t="shared" si="8"/>
        <v>RET-56166</v>
      </c>
      <c r="K515" s="11">
        <v>2</v>
      </c>
      <c r="L515" s="11">
        <v>2</v>
      </c>
      <c r="M515" s="14">
        <v>13.56</v>
      </c>
      <c r="N515" s="14">
        <v>27.12</v>
      </c>
      <c r="O515">
        <v>2.9</v>
      </c>
      <c r="P515" t="s">
        <v>3280</v>
      </c>
    </row>
    <row r="516" spans="1:16" x14ac:dyDescent="0.25">
      <c r="A516" t="s">
        <v>2599</v>
      </c>
      <c r="B516" s="1">
        <v>45730.916666666664</v>
      </c>
      <c r="C516" t="s">
        <v>3281</v>
      </c>
      <c r="D516" t="s">
        <v>972</v>
      </c>
      <c r="E516" t="s">
        <v>837</v>
      </c>
      <c r="G516" t="s">
        <v>2600</v>
      </c>
      <c r="H516" t="str" cm="1">
        <f t="array" ref="H516">IF(AND(G516="",
      C516="Receipt"),
      _xlfn.XLOOKUP(1,
      (purchase_order_lines_coldchain!A516:A1514 = F516) *
      (purchase_order_lines_coldchain!G516:G1514 = E516) *
      (purchase_order_lines_coldchain!D516:D1514 = D516),
      purchase_order_lines_coldchain!B$2:B$1000,
      _xlfn.XLOOKUP(F516,purchase_order_lines_coldchain!A$2:A1514,
      purchase_order_lines_coldchain!B$2:B1514)),
      "")</f>
        <v/>
      </c>
      <c r="I516" t="str">
        <f t="shared" si="8"/>
        <v>RET-43690</v>
      </c>
      <c r="K516" s="11">
        <v>6</v>
      </c>
      <c r="L516" s="11">
        <v>6</v>
      </c>
      <c r="M516" s="14">
        <v>13.41</v>
      </c>
      <c r="N516" s="14">
        <v>80.459999999999994</v>
      </c>
      <c r="O516">
        <v>1.4</v>
      </c>
      <c r="P516" t="s">
        <v>3280</v>
      </c>
    </row>
    <row r="517" spans="1:16" x14ac:dyDescent="0.25">
      <c r="A517" t="s">
        <v>2601</v>
      </c>
      <c r="B517" s="1">
        <v>45748.208333333336</v>
      </c>
      <c r="C517" t="s">
        <v>3279</v>
      </c>
      <c r="D517" t="s">
        <v>968</v>
      </c>
      <c r="E517" t="s">
        <v>423</v>
      </c>
      <c r="G517" t="s">
        <v>2602</v>
      </c>
      <c r="H517" t="str" cm="1">
        <f t="array" ref="H517">IF(AND(G517="",
      C517="Receipt"),
      _xlfn.XLOOKUP(1,
      (purchase_order_lines_coldchain!A517:A1515 = F517) *
      (purchase_order_lines_coldchain!G517:G1515 = E517) *
      (purchase_order_lines_coldchain!D517:D1515 = D517),
      purchase_order_lines_coldchain!B$2:B$1000,
      _xlfn.XLOOKUP(F517,purchase_order_lines_coldchain!A$2:A1515,
      purchase_order_lines_coldchain!B$2:B1515)),
      "")</f>
        <v/>
      </c>
      <c r="I517" t="str">
        <f t="shared" si="8"/>
        <v>RET-69161</v>
      </c>
      <c r="K517" s="11">
        <v>1</v>
      </c>
      <c r="L517" s="11">
        <v>1</v>
      </c>
      <c r="M517" s="14">
        <v>15.41</v>
      </c>
      <c r="N517" s="14">
        <v>15.41</v>
      </c>
      <c r="O517">
        <v>2.7</v>
      </c>
      <c r="P517" t="s">
        <v>3282</v>
      </c>
    </row>
    <row r="518" spans="1:16" x14ac:dyDescent="0.25">
      <c r="A518" t="s">
        <v>2603</v>
      </c>
      <c r="B518" s="1">
        <v>45709.791666666664</v>
      </c>
      <c r="C518" t="s">
        <v>3279</v>
      </c>
      <c r="D518" t="s">
        <v>959</v>
      </c>
      <c r="E518" t="s">
        <v>813</v>
      </c>
      <c r="G518" t="s">
        <v>2604</v>
      </c>
      <c r="H518" t="str" cm="1">
        <f t="array" ref="H518">IF(AND(G518="",
      C518="Receipt"),
      _xlfn.XLOOKUP(1,
      (purchase_order_lines_coldchain!A518:A1516 = F518) *
      (purchase_order_lines_coldchain!G518:G1516 = E518) *
      (purchase_order_lines_coldchain!D518:D1516 = D518),
      purchase_order_lines_coldchain!B$2:B$1000,
      _xlfn.XLOOKUP(F518,purchase_order_lines_coldchain!A$2:A1516,
      purchase_order_lines_coldchain!B$2:B1516)),
      "")</f>
        <v/>
      </c>
      <c r="I518" t="str">
        <f t="shared" si="8"/>
        <v>RET-99491</v>
      </c>
      <c r="K518" s="11">
        <v>2</v>
      </c>
      <c r="L518" s="11">
        <v>2</v>
      </c>
      <c r="M518" s="14">
        <v>5.94</v>
      </c>
      <c r="N518" s="14">
        <v>11.88</v>
      </c>
      <c r="O518">
        <v>4.8</v>
      </c>
      <c r="P518" t="s">
        <v>3280</v>
      </c>
    </row>
    <row r="519" spans="1:16" x14ac:dyDescent="0.25">
      <c r="A519" t="s">
        <v>2605</v>
      </c>
      <c r="B519" s="1">
        <v>45772.583333333336</v>
      </c>
      <c r="C519" t="s">
        <v>3281</v>
      </c>
      <c r="D519" t="s">
        <v>972</v>
      </c>
      <c r="E519" t="s">
        <v>630</v>
      </c>
      <c r="G519" t="s">
        <v>2606</v>
      </c>
      <c r="H519" t="str" cm="1">
        <f t="array" ref="H519">IF(AND(G519="",
      C519="Receipt"),
      _xlfn.XLOOKUP(1,
      (purchase_order_lines_coldchain!A519:A1517 = F519) *
      (purchase_order_lines_coldchain!G519:G1517 = E519) *
      (purchase_order_lines_coldchain!D519:D1517 = D519),
      purchase_order_lines_coldchain!B$2:B$1000,
      _xlfn.XLOOKUP(F519,purchase_order_lines_coldchain!A$2:A1517,
      purchase_order_lines_coldchain!B$2:B1517)),
      "")</f>
        <v/>
      </c>
      <c r="I519" t="str">
        <f t="shared" si="8"/>
        <v>RET-63362</v>
      </c>
      <c r="K519" s="11">
        <v>4</v>
      </c>
      <c r="L519" s="11">
        <v>4</v>
      </c>
      <c r="M519" s="14">
        <v>12.15</v>
      </c>
      <c r="N519" s="14">
        <v>48.6</v>
      </c>
      <c r="O519">
        <v>7</v>
      </c>
      <c r="P519" t="s">
        <v>3280</v>
      </c>
    </row>
    <row r="520" spans="1:16" x14ac:dyDescent="0.25">
      <c r="A520" t="s">
        <v>2607</v>
      </c>
      <c r="B520" s="1">
        <v>45732.5</v>
      </c>
      <c r="C520" t="s">
        <v>3281</v>
      </c>
      <c r="D520" t="s">
        <v>964</v>
      </c>
      <c r="E520" t="s">
        <v>801</v>
      </c>
      <c r="G520" t="s">
        <v>2608</v>
      </c>
      <c r="H520" t="str" cm="1">
        <f t="array" ref="H520">IF(AND(G520="",
      C520="Receipt"),
      _xlfn.XLOOKUP(1,
      (purchase_order_lines_coldchain!A520:A1518 = F520) *
      (purchase_order_lines_coldchain!G520:G1518 = E520) *
      (purchase_order_lines_coldchain!D520:D1518 = D520),
      purchase_order_lines_coldchain!B$2:B$1000,
      _xlfn.XLOOKUP(F520,purchase_order_lines_coldchain!A$2:A1518,
      purchase_order_lines_coldchain!B$2:B1518)),
      "")</f>
        <v/>
      </c>
      <c r="I520" t="str">
        <f t="shared" si="8"/>
        <v>RET-71138</v>
      </c>
      <c r="K520" s="11">
        <v>3</v>
      </c>
      <c r="L520" s="11">
        <v>3</v>
      </c>
      <c r="M520" s="14">
        <v>5.67</v>
      </c>
      <c r="N520" s="14">
        <v>17.010000000000002</v>
      </c>
      <c r="O520">
        <v>6.1</v>
      </c>
      <c r="P520" t="s">
        <v>3282</v>
      </c>
    </row>
    <row r="521" spans="1:16" x14ac:dyDescent="0.25">
      <c r="A521" t="s">
        <v>2609</v>
      </c>
      <c r="B521" s="1">
        <v>45748</v>
      </c>
      <c r="C521" t="s">
        <v>3281</v>
      </c>
      <c r="D521" t="s">
        <v>999</v>
      </c>
      <c r="E521" t="s">
        <v>401</v>
      </c>
      <c r="G521" t="s">
        <v>2610</v>
      </c>
      <c r="H521" t="str" cm="1">
        <f t="array" ref="H521">IF(AND(G521="",
      C521="Receipt"),
      _xlfn.XLOOKUP(1,
      (purchase_order_lines_coldchain!A521:A1519 = F521) *
      (purchase_order_lines_coldchain!G521:G1519 = E521) *
      (purchase_order_lines_coldchain!D521:D1519 = D521),
      purchase_order_lines_coldchain!B$2:B$1000,
      _xlfn.XLOOKUP(F521,purchase_order_lines_coldchain!A$2:A1519,
      purchase_order_lines_coldchain!B$2:B1519)),
      "")</f>
        <v/>
      </c>
      <c r="I521" t="str">
        <f t="shared" si="8"/>
        <v>RET-81772</v>
      </c>
      <c r="K521" s="11">
        <v>2</v>
      </c>
      <c r="L521" s="11">
        <v>2</v>
      </c>
      <c r="M521" s="14">
        <v>5.85</v>
      </c>
      <c r="N521" s="14">
        <v>11.7</v>
      </c>
      <c r="O521">
        <v>4.2</v>
      </c>
      <c r="P521" t="s">
        <v>3282</v>
      </c>
    </row>
    <row r="522" spans="1:16" x14ac:dyDescent="0.25">
      <c r="A522" t="s">
        <v>2611</v>
      </c>
      <c r="B522" s="1">
        <v>45760.25</v>
      </c>
      <c r="C522" t="s">
        <v>3279</v>
      </c>
      <c r="D522" t="s">
        <v>968</v>
      </c>
      <c r="E522" t="s">
        <v>413</v>
      </c>
      <c r="G522" t="s">
        <v>2612</v>
      </c>
      <c r="H522" t="str" cm="1">
        <f t="array" ref="H522">IF(AND(G522="",
      C522="Receipt"),
      _xlfn.XLOOKUP(1,
      (purchase_order_lines_coldchain!A522:A1520 = F522) *
      (purchase_order_lines_coldchain!G522:G1520 = E522) *
      (purchase_order_lines_coldchain!D522:D1520 = D522),
      purchase_order_lines_coldchain!B$2:B$1000,
      _xlfn.XLOOKUP(F522,purchase_order_lines_coldchain!A$2:A1520,
      purchase_order_lines_coldchain!B$2:B1520)),
      "")</f>
        <v/>
      </c>
      <c r="I522" t="str">
        <f t="shared" si="8"/>
        <v>RET-96187</v>
      </c>
      <c r="K522" s="11">
        <v>2</v>
      </c>
      <c r="L522" s="11">
        <v>2</v>
      </c>
      <c r="M522" s="14">
        <v>2.0499999999999998</v>
      </c>
      <c r="N522" s="14">
        <v>4.0999999999999996</v>
      </c>
      <c r="O522">
        <v>-0.2</v>
      </c>
      <c r="P522" t="s">
        <v>3280</v>
      </c>
    </row>
    <row r="523" spans="1:16" x14ac:dyDescent="0.25">
      <c r="A523" t="s">
        <v>2613</v>
      </c>
      <c r="B523" s="1">
        <v>45749.416666666664</v>
      </c>
      <c r="C523" t="s">
        <v>3281</v>
      </c>
      <c r="D523" t="s">
        <v>980</v>
      </c>
      <c r="E523" t="s">
        <v>882</v>
      </c>
      <c r="G523" t="s">
        <v>2614</v>
      </c>
      <c r="H523" t="str" cm="1">
        <f t="array" ref="H523">IF(AND(G523="",
      C523="Receipt"),
      _xlfn.XLOOKUP(1,
      (purchase_order_lines_coldchain!A523:A1521 = F523) *
      (purchase_order_lines_coldchain!G523:G1521 = E523) *
      (purchase_order_lines_coldchain!D523:D1521 = D523),
      purchase_order_lines_coldchain!B$2:B$1000,
      _xlfn.XLOOKUP(F523,purchase_order_lines_coldchain!A$2:A1521,
      purchase_order_lines_coldchain!B$2:B1521)),
      "")</f>
        <v/>
      </c>
      <c r="I523" t="str">
        <f t="shared" si="8"/>
        <v>RET-48775</v>
      </c>
      <c r="K523" s="11">
        <v>5</v>
      </c>
      <c r="L523" s="11">
        <v>5</v>
      </c>
      <c r="M523" s="14">
        <v>3.49</v>
      </c>
      <c r="N523" s="14">
        <v>17.45</v>
      </c>
      <c r="O523">
        <v>4</v>
      </c>
      <c r="P523" t="s">
        <v>3281</v>
      </c>
    </row>
    <row r="524" spans="1:16" x14ac:dyDescent="0.25">
      <c r="A524" t="s">
        <v>2615</v>
      </c>
      <c r="B524" s="1">
        <v>45721.291666666664</v>
      </c>
      <c r="C524" t="s">
        <v>3279</v>
      </c>
      <c r="D524" t="s">
        <v>972</v>
      </c>
      <c r="E524" t="s">
        <v>490</v>
      </c>
      <c r="G524" t="s">
        <v>2616</v>
      </c>
      <c r="H524" t="str" cm="1">
        <f t="array" ref="H524">IF(AND(G524="",
      C524="Receipt"),
      _xlfn.XLOOKUP(1,
      (purchase_order_lines_coldchain!A524:A1522 = F524) *
      (purchase_order_lines_coldchain!G524:G1522 = E524) *
      (purchase_order_lines_coldchain!D524:D1522 = D524),
      purchase_order_lines_coldchain!B$2:B$1000,
      _xlfn.XLOOKUP(F524,purchase_order_lines_coldchain!A$2:A1522,
      purchase_order_lines_coldchain!B$2:B1522)),
      "")</f>
        <v/>
      </c>
      <c r="I524" t="str">
        <f t="shared" si="8"/>
        <v>RET-36370</v>
      </c>
      <c r="K524" s="11">
        <v>3</v>
      </c>
      <c r="L524" s="11">
        <v>3</v>
      </c>
      <c r="M524" s="14">
        <v>16.38</v>
      </c>
      <c r="N524" s="14">
        <v>49.14</v>
      </c>
      <c r="O524">
        <v>5.0999999999999996</v>
      </c>
      <c r="P524" t="s">
        <v>3282</v>
      </c>
    </row>
    <row r="525" spans="1:16" x14ac:dyDescent="0.25">
      <c r="A525" t="s">
        <v>2617</v>
      </c>
      <c r="B525" s="1">
        <v>45744.958333333336</v>
      </c>
      <c r="C525" t="s">
        <v>3279</v>
      </c>
      <c r="D525" t="s">
        <v>990</v>
      </c>
      <c r="E525" t="s">
        <v>888</v>
      </c>
      <c r="G525" t="s">
        <v>2618</v>
      </c>
      <c r="H525" t="str" cm="1">
        <f t="array" ref="H525">IF(AND(G525="",
      C525="Receipt"),
      _xlfn.XLOOKUP(1,
      (purchase_order_lines_coldchain!A525:A1523 = F525) *
      (purchase_order_lines_coldchain!G525:G1523 = E525) *
      (purchase_order_lines_coldchain!D525:D1523 = D525),
      purchase_order_lines_coldchain!B$2:B$1000,
      _xlfn.XLOOKUP(F525,purchase_order_lines_coldchain!A$2:A1523,
      purchase_order_lines_coldchain!B$2:B1523)),
      "")</f>
        <v/>
      </c>
      <c r="I525" t="str">
        <f t="shared" si="8"/>
        <v>RET-62713</v>
      </c>
      <c r="K525" s="11">
        <v>1</v>
      </c>
      <c r="L525" s="11">
        <v>1</v>
      </c>
      <c r="M525" s="14">
        <v>3.81</v>
      </c>
      <c r="N525" s="14">
        <v>3.81</v>
      </c>
      <c r="O525">
        <v>5</v>
      </c>
      <c r="P525" t="s">
        <v>3280</v>
      </c>
    </row>
    <row r="526" spans="1:16" x14ac:dyDescent="0.25">
      <c r="A526" t="s">
        <v>2619</v>
      </c>
      <c r="B526" s="1">
        <v>45743.625</v>
      </c>
      <c r="C526" t="s">
        <v>3279</v>
      </c>
      <c r="D526" t="s">
        <v>959</v>
      </c>
      <c r="E526" t="s">
        <v>539</v>
      </c>
      <c r="G526" t="s">
        <v>2620</v>
      </c>
      <c r="H526" t="str" cm="1">
        <f t="array" ref="H526">IF(AND(G526="",
      C526="Receipt"),
      _xlfn.XLOOKUP(1,
      (purchase_order_lines_coldchain!A526:A1524 = F526) *
      (purchase_order_lines_coldchain!G526:G1524 = E526) *
      (purchase_order_lines_coldchain!D526:D1524 = D526),
      purchase_order_lines_coldchain!B$2:B$1000,
      _xlfn.XLOOKUP(F526,purchase_order_lines_coldchain!A$2:A1524,
      purchase_order_lines_coldchain!B$2:B1524)),
      "")</f>
        <v/>
      </c>
      <c r="I526" t="str">
        <f t="shared" si="8"/>
        <v>RET-23597</v>
      </c>
      <c r="K526" s="11">
        <v>1</v>
      </c>
      <c r="L526" s="11">
        <v>1</v>
      </c>
      <c r="M526" s="14">
        <v>6.71</v>
      </c>
      <c r="N526" s="14">
        <v>6.71</v>
      </c>
      <c r="O526">
        <v>3.4</v>
      </c>
      <c r="P526" t="s">
        <v>3282</v>
      </c>
    </row>
    <row r="527" spans="1:16" x14ac:dyDescent="0.25">
      <c r="A527" t="s">
        <v>2621</v>
      </c>
      <c r="B527" s="1">
        <v>45743.833333333336</v>
      </c>
      <c r="C527" t="s">
        <v>3279</v>
      </c>
      <c r="D527" t="s">
        <v>990</v>
      </c>
      <c r="E527" t="s">
        <v>405</v>
      </c>
      <c r="G527" t="s">
        <v>2622</v>
      </c>
      <c r="H527" t="str" cm="1">
        <f t="array" ref="H527">IF(AND(G527="",
      C527="Receipt"),
      _xlfn.XLOOKUP(1,
      (purchase_order_lines_coldchain!A527:A1525 = F527) *
      (purchase_order_lines_coldchain!G527:G1525 = E527) *
      (purchase_order_lines_coldchain!D527:D1525 = D527),
      purchase_order_lines_coldchain!B$2:B$1000,
      _xlfn.XLOOKUP(F527,purchase_order_lines_coldchain!A$2:A1525,
      purchase_order_lines_coldchain!B$2:B1525)),
      "")</f>
        <v/>
      </c>
      <c r="I527" t="str">
        <f t="shared" si="8"/>
        <v>RET-83672</v>
      </c>
      <c r="K527" s="11">
        <v>4</v>
      </c>
      <c r="L527" s="11">
        <v>4</v>
      </c>
      <c r="M527" s="14">
        <v>15.41</v>
      </c>
      <c r="N527" s="14">
        <v>61.64</v>
      </c>
      <c r="O527">
        <v>3.8</v>
      </c>
      <c r="P527" t="s">
        <v>3280</v>
      </c>
    </row>
    <row r="528" spans="1:16" x14ac:dyDescent="0.25">
      <c r="A528" t="s">
        <v>2623</v>
      </c>
      <c r="B528" s="1">
        <v>45716.333333333336</v>
      </c>
      <c r="C528" t="s">
        <v>3279</v>
      </c>
      <c r="D528" t="s">
        <v>999</v>
      </c>
      <c r="E528" t="s">
        <v>401</v>
      </c>
      <c r="G528" t="s">
        <v>2624</v>
      </c>
      <c r="H528" t="str" cm="1">
        <f t="array" ref="H528">IF(AND(G528="",
      C528="Receipt"),
      _xlfn.XLOOKUP(1,
      (purchase_order_lines_coldchain!A528:A1526 = F528) *
      (purchase_order_lines_coldchain!G528:G1526 = E528) *
      (purchase_order_lines_coldchain!D528:D1526 = D528),
      purchase_order_lines_coldchain!B$2:B$1000,
      _xlfn.XLOOKUP(F528,purchase_order_lines_coldchain!A$2:A1526,
      purchase_order_lines_coldchain!B$2:B1526)),
      "")</f>
        <v/>
      </c>
      <c r="I528" t="str">
        <f t="shared" si="8"/>
        <v>RET-89306</v>
      </c>
      <c r="K528" s="11">
        <v>5</v>
      </c>
      <c r="L528" s="11">
        <v>5</v>
      </c>
      <c r="M528" s="14">
        <v>5.85</v>
      </c>
      <c r="N528" s="14">
        <v>29.25</v>
      </c>
      <c r="O528">
        <v>2.9</v>
      </c>
      <c r="P528" t="s">
        <v>3280</v>
      </c>
    </row>
    <row r="529" spans="1:16" x14ac:dyDescent="0.25">
      <c r="A529" t="s">
        <v>2625</v>
      </c>
      <c r="B529" s="1">
        <v>45737.791666666664</v>
      </c>
      <c r="C529" t="s">
        <v>3281</v>
      </c>
      <c r="D529" t="s">
        <v>968</v>
      </c>
      <c r="E529" t="s">
        <v>771</v>
      </c>
      <c r="G529" t="s">
        <v>2626</v>
      </c>
      <c r="H529" t="str" cm="1">
        <f t="array" ref="H529">IF(AND(G529="",
      C529="Receipt"),
      _xlfn.XLOOKUP(1,
      (purchase_order_lines_coldchain!A529:A1527 = F529) *
      (purchase_order_lines_coldchain!G529:G1527 = E529) *
      (purchase_order_lines_coldchain!D529:D1527 = D529),
      purchase_order_lines_coldchain!B$2:B$1000,
      _xlfn.XLOOKUP(F529,purchase_order_lines_coldchain!A$2:A1527,
      purchase_order_lines_coldchain!B$2:B1527)),
      "")</f>
        <v/>
      </c>
      <c r="I529" t="str">
        <f t="shared" si="8"/>
        <v>RET-38137</v>
      </c>
      <c r="K529" s="11">
        <v>5</v>
      </c>
      <c r="L529" s="11">
        <v>5</v>
      </c>
      <c r="M529" s="14">
        <v>3.82</v>
      </c>
      <c r="N529" s="14">
        <v>19.100000000000001</v>
      </c>
      <c r="O529">
        <v>5</v>
      </c>
      <c r="P529" t="s">
        <v>3280</v>
      </c>
    </row>
    <row r="530" spans="1:16" x14ac:dyDescent="0.25">
      <c r="A530" t="s">
        <v>2627</v>
      </c>
      <c r="B530" s="1">
        <v>45730.916666666664</v>
      </c>
      <c r="C530" t="s">
        <v>3279</v>
      </c>
      <c r="D530" t="s">
        <v>987</v>
      </c>
      <c r="E530" t="s">
        <v>533</v>
      </c>
      <c r="G530" t="s">
        <v>2628</v>
      </c>
      <c r="H530" t="str" cm="1">
        <f t="array" ref="H530">IF(AND(G530="",
      C530="Receipt"),
      _xlfn.XLOOKUP(1,
      (purchase_order_lines_coldchain!A530:A1528 = F530) *
      (purchase_order_lines_coldchain!G530:G1528 = E530) *
      (purchase_order_lines_coldchain!D530:D1528 = D530),
      purchase_order_lines_coldchain!B$2:B$1000,
      _xlfn.XLOOKUP(F530,purchase_order_lines_coldchain!A$2:A1528,
      purchase_order_lines_coldchain!B$2:B1528)),
      "")</f>
        <v/>
      </c>
      <c r="I530" t="str">
        <f t="shared" si="8"/>
        <v>RET-57927</v>
      </c>
      <c r="K530" s="11">
        <v>1</v>
      </c>
      <c r="L530" s="11">
        <v>1</v>
      </c>
      <c r="M530" s="14">
        <v>13.77</v>
      </c>
      <c r="N530" s="14">
        <v>13.77</v>
      </c>
      <c r="O530">
        <v>4</v>
      </c>
      <c r="P530" t="s">
        <v>3282</v>
      </c>
    </row>
    <row r="531" spans="1:16" x14ac:dyDescent="0.25">
      <c r="A531" t="s">
        <v>2629</v>
      </c>
      <c r="B531" s="1">
        <v>45773.208333333336</v>
      </c>
      <c r="C531" t="s">
        <v>3279</v>
      </c>
      <c r="D531" t="s">
        <v>980</v>
      </c>
      <c r="E531" t="s">
        <v>918</v>
      </c>
      <c r="G531" t="s">
        <v>2630</v>
      </c>
      <c r="H531" t="str" cm="1">
        <f t="array" ref="H531">IF(AND(G531="",
      C531="Receipt"),
      _xlfn.XLOOKUP(1,
      (purchase_order_lines_coldchain!A531:A1529 = F531) *
      (purchase_order_lines_coldchain!G531:G1529 = E531) *
      (purchase_order_lines_coldchain!D531:D1529 = D531),
      purchase_order_lines_coldchain!B$2:B$1000,
      _xlfn.XLOOKUP(F531,purchase_order_lines_coldchain!A$2:A1529,
      purchase_order_lines_coldchain!B$2:B1529)),
      "")</f>
        <v/>
      </c>
      <c r="I531" t="str">
        <f t="shared" si="8"/>
        <v>RET-93002</v>
      </c>
      <c r="K531" s="11">
        <v>6</v>
      </c>
      <c r="L531" s="11">
        <v>6</v>
      </c>
      <c r="M531" s="14">
        <v>15.73</v>
      </c>
      <c r="N531" s="14">
        <v>94.38</v>
      </c>
      <c r="O531">
        <v>3.5</v>
      </c>
      <c r="P531" t="s">
        <v>3282</v>
      </c>
    </row>
    <row r="532" spans="1:16" x14ac:dyDescent="0.25">
      <c r="A532" t="s">
        <v>2631</v>
      </c>
      <c r="B532" s="1">
        <v>45754.541666666664</v>
      </c>
      <c r="C532" t="s">
        <v>3279</v>
      </c>
      <c r="D532" t="s">
        <v>964</v>
      </c>
      <c r="E532" t="s">
        <v>822</v>
      </c>
      <c r="G532" t="s">
        <v>2632</v>
      </c>
      <c r="H532" t="str" cm="1">
        <f t="array" ref="H532">IF(AND(G532="",
      C532="Receipt"),
      _xlfn.XLOOKUP(1,
      (purchase_order_lines_coldchain!A532:A1530 = F532) *
      (purchase_order_lines_coldchain!G532:G1530 = E532) *
      (purchase_order_lines_coldchain!D532:D1530 = D532),
      purchase_order_lines_coldchain!B$2:B$1000,
      _xlfn.XLOOKUP(F532,purchase_order_lines_coldchain!A$2:A1530,
      purchase_order_lines_coldchain!B$2:B1530)),
      "")</f>
        <v/>
      </c>
      <c r="I532" t="str">
        <f t="shared" si="8"/>
        <v>RET-38014</v>
      </c>
      <c r="K532" s="11">
        <v>6</v>
      </c>
      <c r="L532" s="11">
        <v>6</v>
      </c>
      <c r="M532" s="14">
        <v>9.2799999999999994</v>
      </c>
      <c r="N532" s="14">
        <v>55.68</v>
      </c>
      <c r="O532">
        <v>4.3</v>
      </c>
      <c r="P532" t="s">
        <v>3281</v>
      </c>
    </row>
    <row r="533" spans="1:16" x14ac:dyDescent="0.25">
      <c r="A533" t="s">
        <v>2633</v>
      </c>
      <c r="B533" s="1">
        <v>45715.25</v>
      </c>
      <c r="C533" t="s">
        <v>3281</v>
      </c>
      <c r="D533" t="s">
        <v>996</v>
      </c>
      <c r="E533" t="s">
        <v>440</v>
      </c>
      <c r="G533" t="s">
        <v>2634</v>
      </c>
      <c r="H533" t="str" cm="1">
        <f t="array" ref="H533">IF(AND(G533="",
      C533="Receipt"),
      _xlfn.XLOOKUP(1,
      (purchase_order_lines_coldchain!A533:A1531 = F533) *
      (purchase_order_lines_coldchain!G533:G1531 = E533) *
      (purchase_order_lines_coldchain!D533:D1531 = D533),
      purchase_order_lines_coldchain!B$2:B$1000,
      _xlfn.XLOOKUP(F533,purchase_order_lines_coldchain!A$2:A1531,
      purchase_order_lines_coldchain!B$2:B1531)),
      "")</f>
        <v/>
      </c>
      <c r="I533" t="str">
        <f t="shared" si="8"/>
        <v>RET-45359</v>
      </c>
      <c r="K533" s="11">
        <v>2</v>
      </c>
      <c r="L533" s="11">
        <v>2</v>
      </c>
      <c r="M533" s="14">
        <v>6.07</v>
      </c>
      <c r="N533" s="14">
        <v>12.14</v>
      </c>
      <c r="O533">
        <v>3.3</v>
      </c>
      <c r="P533" t="s">
        <v>3282</v>
      </c>
    </row>
    <row r="534" spans="1:16" x14ac:dyDescent="0.25">
      <c r="A534" t="s">
        <v>2635</v>
      </c>
      <c r="B534" s="1">
        <v>45755.666666666664</v>
      </c>
      <c r="C534" t="s">
        <v>3279</v>
      </c>
      <c r="D534" t="s">
        <v>959</v>
      </c>
      <c r="E534" t="s">
        <v>660</v>
      </c>
      <c r="G534" t="s">
        <v>2636</v>
      </c>
      <c r="H534" t="str" cm="1">
        <f t="array" ref="H534">IF(AND(G534="",
      C534="Receipt"),
      _xlfn.XLOOKUP(1,
      (purchase_order_lines_coldchain!A534:A1532 = F534) *
      (purchase_order_lines_coldchain!G534:G1532 = E534) *
      (purchase_order_lines_coldchain!D534:D1532 = D534),
      purchase_order_lines_coldchain!B$2:B$1000,
      _xlfn.XLOOKUP(F534,purchase_order_lines_coldchain!A$2:A1532,
      purchase_order_lines_coldchain!B$2:B1532)),
      "")</f>
        <v/>
      </c>
      <c r="I534" t="str">
        <f t="shared" si="8"/>
        <v>RET-58220</v>
      </c>
      <c r="K534" s="11">
        <v>2</v>
      </c>
      <c r="L534" s="11">
        <v>2</v>
      </c>
      <c r="M534" s="14">
        <v>13.56</v>
      </c>
      <c r="N534" s="14">
        <v>27.12</v>
      </c>
      <c r="O534">
        <v>6.9</v>
      </c>
      <c r="P534" t="s">
        <v>3280</v>
      </c>
    </row>
    <row r="535" spans="1:16" x14ac:dyDescent="0.25">
      <c r="A535" t="s">
        <v>2637</v>
      </c>
      <c r="B535" s="1">
        <v>45756.333333333336</v>
      </c>
      <c r="C535" t="s">
        <v>3279</v>
      </c>
      <c r="D535" t="s">
        <v>987</v>
      </c>
      <c r="E535" t="s">
        <v>505</v>
      </c>
      <c r="G535" t="s">
        <v>2638</v>
      </c>
      <c r="H535" t="str" cm="1">
        <f t="array" ref="H535">IF(AND(G535="",
      C535="Receipt"),
      _xlfn.XLOOKUP(1,
      (purchase_order_lines_coldchain!A535:A1533 = F535) *
      (purchase_order_lines_coldchain!G535:G1533 = E535) *
      (purchase_order_lines_coldchain!D535:D1533 = D535),
      purchase_order_lines_coldchain!B$2:B$1000,
      _xlfn.XLOOKUP(F535,purchase_order_lines_coldchain!A$2:A1533,
      purchase_order_lines_coldchain!B$2:B1533)),
      "")</f>
        <v/>
      </c>
      <c r="I535" t="str">
        <f t="shared" si="8"/>
        <v>RET-67490</v>
      </c>
      <c r="K535" s="11">
        <v>6</v>
      </c>
      <c r="L535" s="11">
        <v>6</v>
      </c>
      <c r="M535" s="14">
        <v>6.77</v>
      </c>
      <c r="N535" s="14">
        <v>40.619999999999997</v>
      </c>
      <c r="O535">
        <v>1.3</v>
      </c>
      <c r="P535" t="s">
        <v>3280</v>
      </c>
    </row>
    <row r="536" spans="1:16" x14ac:dyDescent="0.25">
      <c r="A536" t="s">
        <v>2639</v>
      </c>
      <c r="B536" s="1">
        <v>45734.333333333336</v>
      </c>
      <c r="C536" t="s">
        <v>3281</v>
      </c>
      <c r="D536" t="s">
        <v>968</v>
      </c>
      <c r="E536" t="s">
        <v>660</v>
      </c>
      <c r="G536" t="s">
        <v>2640</v>
      </c>
      <c r="H536" t="str" cm="1">
        <f t="array" ref="H536">IF(AND(G536="",
      C536="Receipt"),
      _xlfn.XLOOKUP(1,
      (purchase_order_lines_coldchain!A536:A1534 = F536) *
      (purchase_order_lines_coldchain!G536:G1534 = E536) *
      (purchase_order_lines_coldchain!D536:D1534 = D536),
      purchase_order_lines_coldchain!B$2:B$1000,
      _xlfn.XLOOKUP(F536,purchase_order_lines_coldchain!A$2:A1534,
      purchase_order_lines_coldchain!B$2:B1534)),
      "")</f>
        <v/>
      </c>
      <c r="I536" t="str">
        <f t="shared" si="8"/>
        <v>RET-97653</v>
      </c>
      <c r="K536" s="11">
        <v>4</v>
      </c>
      <c r="L536" s="11">
        <v>4</v>
      </c>
      <c r="M536" s="14">
        <v>13.56</v>
      </c>
      <c r="N536" s="14">
        <v>54.24</v>
      </c>
      <c r="O536">
        <v>2.4</v>
      </c>
      <c r="P536" t="s">
        <v>3281</v>
      </c>
    </row>
    <row r="537" spans="1:16" x14ac:dyDescent="0.25">
      <c r="A537" t="s">
        <v>2641</v>
      </c>
      <c r="B537" s="1">
        <v>45753.541666666664</v>
      </c>
      <c r="C537" t="s">
        <v>3279</v>
      </c>
      <c r="D537" t="s">
        <v>980</v>
      </c>
      <c r="E537" t="s">
        <v>921</v>
      </c>
      <c r="G537" t="s">
        <v>2642</v>
      </c>
      <c r="H537" t="str" cm="1">
        <f t="array" ref="H537">IF(AND(G537="",
      C537="Receipt"),
      _xlfn.XLOOKUP(1,
      (purchase_order_lines_coldchain!A537:A1535 = F537) *
      (purchase_order_lines_coldchain!G537:G1535 = E537) *
      (purchase_order_lines_coldchain!D537:D1535 = D537),
      purchase_order_lines_coldchain!B$2:B$1000,
      _xlfn.XLOOKUP(F537,purchase_order_lines_coldchain!A$2:A1535,
      purchase_order_lines_coldchain!B$2:B1535)),
      "")</f>
        <v/>
      </c>
      <c r="I537" t="str">
        <f t="shared" si="8"/>
        <v>RET-15992</v>
      </c>
      <c r="K537" s="11">
        <v>4</v>
      </c>
      <c r="L537" s="11">
        <v>4</v>
      </c>
      <c r="M537" s="14">
        <v>16.47</v>
      </c>
      <c r="N537" s="14">
        <v>65.88</v>
      </c>
      <c r="O537">
        <v>4.8</v>
      </c>
      <c r="P537" t="s">
        <v>3280</v>
      </c>
    </row>
    <row r="538" spans="1:16" x14ac:dyDescent="0.25">
      <c r="A538" t="s">
        <v>2643</v>
      </c>
      <c r="B538" s="1">
        <v>45723.75</v>
      </c>
      <c r="C538" t="s">
        <v>3279</v>
      </c>
      <c r="D538" t="s">
        <v>968</v>
      </c>
      <c r="E538" t="s">
        <v>855</v>
      </c>
      <c r="G538" t="s">
        <v>2644</v>
      </c>
      <c r="H538" t="str" cm="1">
        <f t="array" ref="H538">IF(AND(G538="",
      C538="Receipt"),
      _xlfn.XLOOKUP(1,
      (purchase_order_lines_coldchain!A538:A1536 = F538) *
      (purchase_order_lines_coldchain!G538:G1536 = E538) *
      (purchase_order_lines_coldchain!D538:D1536 = D538),
      purchase_order_lines_coldchain!B$2:B$1000,
      _xlfn.XLOOKUP(F538,purchase_order_lines_coldchain!A$2:A1536,
      purchase_order_lines_coldchain!B$2:B1536)),
      "")</f>
        <v/>
      </c>
      <c r="I538" t="str">
        <f t="shared" si="8"/>
        <v>RET-23601</v>
      </c>
      <c r="K538" s="11">
        <v>6</v>
      </c>
      <c r="L538" s="11">
        <v>6</v>
      </c>
      <c r="M538" s="14">
        <v>13.7</v>
      </c>
      <c r="N538" s="14">
        <v>82.2</v>
      </c>
      <c r="O538">
        <v>1.1000000000000001</v>
      </c>
      <c r="P538" t="s">
        <v>3281</v>
      </c>
    </row>
    <row r="539" spans="1:16" x14ac:dyDescent="0.25">
      <c r="A539" t="s">
        <v>2645</v>
      </c>
      <c r="B539" s="1">
        <v>45727.875</v>
      </c>
      <c r="C539" t="s">
        <v>3279</v>
      </c>
      <c r="D539" t="s">
        <v>959</v>
      </c>
      <c r="E539" t="s">
        <v>490</v>
      </c>
      <c r="G539" t="s">
        <v>2646</v>
      </c>
      <c r="H539" t="str" cm="1">
        <f t="array" ref="H539">IF(AND(G539="",
      C539="Receipt"),
      _xlfn.XLOOKUP(1,
      (purchase_order_lines_coldchain!A539:A1537 = F539) *
      (purchase_order_lines_coldchain!G539:G1537 = E539) *
      (purchase_order_lines_coldchain!D539:D1537 = D539),
      purchase_order_lines_coldchain!B$2:B$1000,
      _xlfn.XLOOKUP(F539,purchase_order_lines_coldchain!A$2:A1537,
      purchase_order_lines_coldchain!B$2:B1537)),
      "")</f>
        <v/>
      </c>
      <c r="I539" t="str">
        <f t="shared" si="8"/>
        <v>RET-39500</v>
      </c>
      <c r="K539" s="11">
        <v>1</v>
      </c>
      <c r="L539" s="11">
        <v>1</v>
      </c>
      <c r="M539" s="14">
        <v>16.38</v>
      </c>
      <c r="N539" s="14">
        <v>16.38</v>
      </c>
      <c r="O539">
        <v>7.8</v>
      </c>
      <c r="P539" t="s">
        <v>3280</v>
      </c>
    </row>
    <row r="540" spans="1:16" x14ac:dyDescent="0.25">
      <c r="A540" t="s">
        <v>2647</v>
      </c>
      <c r="B540" s="1">
        <v>45729.791666666664</v>
      </c>
      <c r="C540" t="s">
        <v>3279</v>
      </c>
      <c r="D540" t="s">
        <v>999</v>
      </c>
      <c r="E540" t="s">
        <v>894</v>
      </c>
      <c r="G540" t="s">
        <v>2648</v>
      </c>
      <c r="H540" t="str" cm="1">
        <f t="array" ref="H540">IF(AND(G540="",
      C540="Receipt"),
      _xlfn.XLOOKUP(1,
      (purchase_order_lines_coldchain!A540:A1538 = F540) *
      (purchase_order_lines_coldchain!G540:G1538 = E540) *
      (purchase_order_lines_coldchain!D540:D1538 = D540),
      purchase_order_lines_coldchain!B$2:B$1000,
      _xlfn.XLOOKUP(F540,purchase_order_lines_coldchain!A$2:A1538,
      purchase_order_lines_coldchain!B$2:B1538)),
      "")</f>
        <v/>
      </c>
      <c r="I540" t="str">
        <f t="shared" si="8"/>
        <v>RET-49080</v>
      </c>
      <c r="K540" s="11">
        <v>3</v>
      </c>
      <c r="L540" s="11">
        <v>3</v>
      </c>
      <c r="M540" s="14">
        <v>8.67</v>
      </c>
      <c r="N540" s="14">
        <v>26.01</v>
      </c>
      <c r="O540">
        <v>2.8</v>
      </c>
      <c r="P540" t="s">
        <v>3281</v>
      </c>
    </row>
    <row r="541" spans="1:16" x14ac:dyDescent="0.25">
      <c r="A541" t="s">
        <v>2649</v>
      </c>
      <c r="B541" s="1">
        <v>45773.166666666664</v>
      </c>
      <c r="C541" t="s">
        <v>3279</v>
      </c>
      <c r="D541" t="s">
        <v>972</v>
      </c>
      <c r="E541" t="s">
        <v>615</v>
      </c>
      <c r="G541" t="s">
        <v>2650</v>
      </c>
      <c r="H541" t="str" cm="1">
        <f t="array" ref="H541">IF(AND(G541="",
      C541="Receipt"),
      _xlfn.XLOOKUP(1,
      (purchase_order_lines_coldchain!A541:A1539 = F541) *
      (purchase_order_lines_coldchain!G541:G1539 = E541) *
      (purchase_order_lines_coldchain!D541:D1539 = D541),
      purchase_order_lines_coldchain!B$2:B$1000,
      _xlfn.XLOOKUP(F541,purchase_order_lines_coldchain!A$2:A1539,
      purchase_order_lines_coldchain!B$2:B1539)),
      "")</f>
        <v/>
      </c>
      <c r="I541" t="str">
        <f t="shared" si="8"/>
        <v>RET-75706</v>
      </c>
      <c r="K541" s="11">
        <v>3</v>
      </c>
      <c r="L541" s="11">
        <v>3</v>
      </c>
      <c r="M541" s="14">
        <v>6.21</v>
      </c>
      <c r="N541" s="14">
        <v>18.63</v>
      </c>
      <c r="O541">
        <v>1.6</v>
      </c>
      <c r="P541" t="s">
        <v>3280</v>
      </c>
    </row>
    <row r="542" spans="1:16" x14ac:dyDescent="0.25">
      <c r="A542" t="s">
        <v>2651</v>
      </c>
      <c r="B542" s="1">
        <v>45761.666666666664</v>
      </c>
      <c r="C542" t="s">
        <v>3281</v>
      </c>
      <c r="D542" t="s">
        <v>987</v>
      </c>
      <c r="E542" t="s">
        <v>520</v>
      </c>
      <c r="G542" t="s">
        <v>2652</v>
      </c>
      <c r="H542" t="str" cm="1">
        <f t="array" ref="H542">IF(AND(G542="",
      C542="Receipt"),
      _xlfn.XLOOKUP(1,
      (purchase_order_lines_coldchain!A542:A1540 = F542) *
      (purchase_order_lines_coldchain!G542:G1540 = E542) *
      (purchase_order_lines_coldchain!D542:D1540 = D542),
      purchase_order_lines_coldchain!B$2:B$1000,
      _xlfn.XLOOKUP(F542,purchase_order_lines_coldchain!A$2:A1540,
      purchase_order_lines_coldchain!B$2:B1540)),
      "")</f>
        <v/>
      </c>
      <c r="I542" t="str">
        <f t="shared" si="8"/>
        <v>RET-58628</v>
      </c>
      <c r="K542" s="11">
        <v>1</v>
      </c>
      <c r="L542" s="11">
        <v>1</v>
      </c>
      <c r="M542" s="14">
        <v>4.59</v>
      </c>
      <c r="N542" s="14">
        <v>4.59</v>
      </c>
      <c r="O542">
        <v>1</v>
      </c>
      <c r="P542" t="s">
        <v>3281</v>
      </c>
    </row>
    <row r="543" spans="1:16" x14ac:dyDescent="0.25">
      <c r="A543" t="s">
        <v>2653</v>
      </c>
      <c r="B543" s="1">
        <v>45736.25</v>
      </c>
      <c r="C543" t="s">
        <v>3281</v>
      </c>
      <c r="D543" t="s">
        <v>990</v>
      </c>
      <c r="E543" t="s">
        <v>759</v>
      </c>
      <c r="G543" t="s">
        <v>2654</v>
      </c>
      <c r="H543" t="str" cm="1">
        <f t="array" ref="H543">IF(AND(G543="",
      C543="Receipt"),
      _xlfn.XLOOKUP(1,
      (purchase_order_lines_coldchain!A543:A1541 = F543) *
      (purchase_order_lines_coldchain!G543:G1541 = E543) *
      (purchase_order_lines_coldchain!D543:D1541 = D543),
      purchase_order_lines_coldchain!B$2:B$1000,
      _xlfn.XLOOKUP(F543,purchase_order_lines_coldchain!A$2:A1541,
      purchase_order_lines_coldchain!B$2:B1541)),
      "")</f>
        <v/>
      </c>
      <c r="I543" t="str">
        <f t="shared" si="8"/>
        <v>RET-96520</v>
      </c>
      <c r="K543" s="11">
        <v>5</v>
      </c>
      <c r="L543" s="11">
        <v>5</v>
      </c>
      <c r="M543" s="14">
        <v>11.21</v>
      </c>
      <c r="N543" s="14">
        <v>56.05</v>
      </c>
      <c r="O543">
        <v>5.4</v>
      </c>
      <c r="P543" t="s">
        <v>3281</v>
      </c>
    </row>
    <row r="544" spans="1:16" x14ac:dyDescent="0.25">
      <c r="A544" t="s">
        <v>2655</v>
      </c>
      <c r="B544" s="1">
        <v>45749.166666666664</v>
      </c>
      <c r="C544" t="s">
        <v>3281</v>
      </c>
      <c r="D544" t="s">
        <v>999</v>
      </c>
      <c r="E544" t="s">
        <v>496</v>
      </c>
      <c r="G544" t="s">
        <v>2656</v>
      </c>
      <c r="H544" t="str" cm="1">
        <f t="array" ref="H544">IF(AND(G544="",
      C544="Receipt"),
      _xlfn.XLOOKUP(1,
      (purchase_order_lines_coldchain!A544:A1542 = F544) *
      (purchase_order_lines_coldchain!G544:G1542 = E544) *
      (purchase_order_lines_coldchain!D544:D1542 = D544),
      purchase_order_lines_coldchain!B$2:B$1000,
      _xlfn.XLOOKUP(F544,purchase_order_lines_coldchain!A$2:A1542,
      purchase_order_lines_coldchain!B$2:B1542)),
      "")</f>
        <v/>
      </c>
      <c r="I544" t="str">
        <f t="shared" si="8"/>
        <v>RET-53851</v>
      </c>
      <c r="K544" s="11">
        <v>2</v>
      </c>
      <c r="L544" s="11">
        <v>2</v>
      </c>
      <c r="M544" s="14">
        <v>7.65</v>
      </c>
      <c r="N544" s="14">
        <v>15.3</v>
      </c>
      <c r="O544">
        <v>1.1000000000000001</v>
      </c>
      <c r="P544" t="s">
        <v>3281</v>
      </c>
    </row>
    <row r="545" spans="1:16" x14ac:dyDescent="0.25">
      <c r="A545" t="s">
        <v>2657</v>
      </c>
      <c r="B545" s="1">
        <v>45774.125</v>
      </c>
      <c r="C545" t="s">
        <v>3279</v>
      </c>
      <c r="D545" t="s">
        <v>959</v>
      </c>
      <c r="E545" t="s">
        <v>624</v>
      </c>
      <c r="G545" t="s">
        <v>2658</v>
      </c>
      <c r="H545" t="str" cm="1">
        <f t="array" ref="H545">IF(AND(G545="",
      C545="Receipt"),
      _xlfn.XLOOKUP(1,
      (purchase_order_lines_coldchain!A545:A1543 = F545) *
      (purchase_order_lines_coldchain!G545:G1543 = E545) *
      (purchase_order_lines_coldchain!D545:D1543 = D545),
      purchase_order_lines_coldchain!B$2:B$1000,
      _xlfn.XLOOKUP(F545,purchase_order_lines_coldchain!A$2:A1543,
      purchase_order_lines_coldchain!B$2:B1543)),
      "")</f>
        <v/>
      </c>
      <c r="I545" t="str">
        <f t="shared" si="8"/>
        <v>RET-56633</v>
      </c>
      <c r="K545" s="11">
        <v>4</v>
      </c>
      <c r="L545" s="11">
        <v>4</v>
      </c>
      <c r="M545" s="14">
        <v>3.81</v>
      </c>
      <c r="N545" s="14">
        <v>15.24</v>
      </c>
      <c r="O545">
        <v>5</v>
      </c>
      <c r="P545" t="s">
        <v>3280</v>
      </c>
    </row>
    <row r="546" spans="1:16" x14ac:dyDescent="0.25">
      <c r="A546" t="s">
        <v>2659</v>
      </c>
      <c r="B546" s="1">
        <v>45713.166666666664</v>
      </c>
      <c r="C546" t="s">
        <v>3281</v>
      </c>
      <c r="D546" t="s">
        <v>990</v>
      </c>
      <c r="E546" t="s">
        <v>888</v>
      </c>
      <c r="G546" t="s">
        <v>2660</v>
      </c>
      <c r="H546" t="str" cm="1">
        <f t="array" ref="H546">IF(AND(G546="",
      C546="Receipt"),
      _xlfn.XLOOKUP(1,
      (purchase_order_lines_coldchain!A546:A1544 = F546) *
      (purchase_order_lines_coldchain!G546:G1544 = E546) *
      (purchase_order_lines_coldchain!D546:D1544 = D546),
      purchase_order_lines_coldchain!B$2:B$1000,
      _xlfn.XLOOKUP(F546,purchase_order_lines_coldchain!A$2:A1544,
      purchase_order_lines_coldchain!B$2:B1544)),
      "")</f>
        <v/>
      </c>
      <c r="I546" t="str">
        <f t="shared" si="8"/>
        <v>RET-10444</v>
      </c>
      <c r="K546" s="11">
        <v>6</v>
      </c>
      <c r="L546" s="11">
        <v>6</v>
      </c>
      <c r="M546" s="14">
        <v>3.81</v>
      </c>
      <c r="N546" s="14">
        <v>22.86</v>
      </c>
      <c r="O546">
        <v>3.1</v>
      </c>
      <c r="P546" t="s">
        <v>3281</v>
      </c>
    </row>
    <row r="547" spans="1:16" x14ac:dyDescent="0.25">
      <c r="A547" t="s">
        <v>2661</v>
      </c>
      <c r="B547" s="1">
        <v>45745.208333333336</v>
      </c>
      <c r="C547" t="s">
        <v>3279</v>
      </c>
      <c r="D547" t="s">
        <v>996</v>
      </c>
      <c r="E547" t="s">
        <v>554</v>
      </c>
      <c r="G547" t="s">
        <v>2662</v>
      </c>
      <c r="H547" t="str" cm="1">
        <f t="array" ref="H547">IF(AND(G547="",
      C547="Receipt"),
      _xlfn.XLOOKUP(1,
      (purchase_order_lines_coldchain!A547:A1545 = F547) *
      (purchase_order_lines_coldchain!G547:G1545 = E547) *
      (purchase_order_lines_coldchain!D547:D1545 = D547),
      purchase_order_lines_coldchain!B$2:B$1000,
      _xlfn.XLOOKUP(F547,purchase_order_lines_coldchain!A$2:A1545,
      purchase_order_lines_coldchain!B$2:B1545)),
      "")</f>
        <v/>
      </c>
      <c r="I547" t="str">
        <f t="shared" si="8"/>
        <v>RET-99138</v>
      </c>
      <c r="K547" s="11">
        <v>1</v>
      </c>
      <c r="L547" s="11">
        <v>1</v>
      </c>
      <c r="M547" s="14">
        <v>16.690000000000001</v>
      </c>
      <c r="N547" s="14">
        <v>16.690000000000001</v>
      </c>
      <c r="O547">
        <v>2.8</v>
      </c>
      <c r="P547" t="s">
        <v>3280</v>
      </c>
    </row>
    <row r="548" spans="1:16" x14ac:dyDescent="0.25">
      <c r="A548" t="s">
        <v>2663</v>
      </c>
      <c r="B548" s="1">
        <v>45743.583333333336</v>
      </c>
      <c r="C548" t="s">
        <v>3281</v>
      </c>
      <c r="D548" t="s">
        <v>990</v>
      </c>
      <c r="E548" t="s">
        <v>933</v>
      </c>
      <c r="G548" t="s">
        <v>2664</v>
      </c>
      <c r="H548" t="str" cm="1">
        <f t="array" ref="H548">IF(AND(G548="",
      C548="Receipt"),
      _xlfn.XLOOKUP(1,
      (purchase_order_lines_coldchain!A548:A1546 = F548) *
      (purchase_order_lines_coldchain!G548:G1546 = E548) *
      (purchase_order_lines_coldchain!D548:D1546 = D548),
      purchase_order_lines_coldchain!B$2:B$1000,
      _xlfn.XLOOKUP(F548,purchase_order_lines_coldchain!A$2:A1546,
      purchase_order_lines_coldchain!B$2:B1546)),
      "")</f>
        <v/>
      </c>
      <c r="I548" t="str">
        <f t="shared" si="8"/>
        <v>RET-92666</v>
      </c>
      <c r="K548" s="11">
        <v>6</v>
      </c>
      <c r="L548" s="11">
        <v>6</v>
      </c>
      <c r="M548" s="14">
        <v>4.8600000000000003</v>
      </c>
      <c r="N548" s="14">
        <v>29.16</v>
      </c>
      <c r="O548">
        <v>1.1000000000000001</v>
      </c>
      <c r="P548" t="s">
        <v>3281</v>
      </c>
    </row>
    <row r="549" spans="1:16" x14ac:dyDescent="0.25">
      <c r="A549" t="s">
        <v>2665</v>
      </c>
      <c r="B549" s="1">
        <v>45777.416666666664</v>
      </c>
      <c r="C549" t="s">
        <v>3279</v>
      </c>
      <c r="D549" t="s">
        <v>972</v>
      </c>
      <c r="E549" t="s">
        <v>828</v>
      </c>
      <c r="G549" t="s">
        <v>2666</v>
      </c>
      <c r="H549" t="str" cm="1">
        <f t="array" ref="H549">IF(AND(G549="",
      C549="Receipt"),
      _xlfn.XLOOKUP(1,
      (purchase_order_lines_coldchain!A549:A1547 = F549) *
      (purchase_order_lines_coldchain!G549:G1547 = E549) *
      (purchase_order_lines_coldchain!D549:D1547 = D549),
      purchase_order_lines_coldchain!B$2:B$1000,
      _xlfn.XLOOKUP(F549,purchase_order_lines_coldchain!A$2:A1547,
      purchase_order_lines_coldchain!B$2:B1547)),
      "")</f>
        <v/>
      </c>
      <c r="I549" t="str">
        <f t="shared" si="8"/>
        <v>RET-93401</v>
      </c>
      <c r="K549" s="11">
        <v>5</v>
      </c>
      <c r="L549" s="11">
        <v>5</v>
      </c>
      <c r="M549" s="14">
        <v>10.050000000000001</v>
      </c>
      <c r="N549" s="14">
        <v>50.25</v>
      </c>
      <c r="O549">
        <v>2.9</v>
      </c>
      <c r="P549" t="s">
        <v>3281</v>
      </c>
    </row>
    <row r="550" spans="1:16" x14ac:dyDescent="0.25">
      <c r="A550" t="s">
        <v>2667</v>
      </c>
      <c r="B550" s="1">
        <v>45734.5</v>
      </c>
      <c r="C550" t="s">
        <v>3279</v>
      </c>
      <c r="D550" t="s">
        <v>980</v>
      </c>
      <c r="E550" t="s">
        <v>915</v>
      </c>
      <c r="G550" t="s">
        <v>2668</v>
      </c>
      <c r="H550" t="str" cm="1">
        <f t="array" ref="H550">IF(AND(G550="",
      C550="Receipt"),
      _xlfn.XLOOKUP(1,
      (purchase_order_lines_coldchain!A550:A1548 = F550) *
      (purchase_order_lines_coldchain!G550:G1548 = E550) *
      (purchase_order_lines_coldchain!D550:D1548 = D550),
      purchase_order_lines_coldchain!B$2:B$1000,
      _xlfn.XLOOKUP(F550,purchase_order_lines_coldchain!A$2:A1548,
      purchase_order_lines_coldchain!B$2:B1548)),
      "")</f>
        <v/>
      </c>
      <c r="I550" t="str">
        <f t="shared" si="8"/>
        <v>RET-50212</v>
      </c>
      <c r="K550" s="11">
        <v>6</v>
      </c>
      <c r="L550" s="11">
        <v>6</v>
      </c>
      <c r="M550" s="14">
        <v>10.3</v>
      </c>
      <c r="N550" s="14">
        <v>61.8</v>
      </c>
      <c r="O550">
        <v>1.3</v>
      </c>
      <c r="P550" t="s">
        <v>3280</v>
      </c>
    </row>
    <row r="551" spans="1:16" x14ac:dyDescent="0.25">
      <c r="A551" t="s">
        <v>2669</v>
      </c>
      <c r="B551" s="1">
        <v>45741.416666666664</v>
      </c>
      <c r="C551" t="s">
        <v>3281</v>
      </c>
      <c r="D551" t="s">
        <v>959</v>
      </c>
      <c r="E551" t="s">
        <v>648</v>
      </c>
      <c r="G551" t="s">
        <v>2670</v>
      </c>
      <c r="H551" t="str" cm="1">
        <f t="array" ref="H551">IF(AND(G551="",
      C551="Receipt"),
      _xlfn.XLOOKUP(1,
      (purchase_order_lines_coldchain!A551:A1549 = F551) *
      (purchase_order_lines_coldchain!G551:G1549 = E551) *
      (purchase_order_lines_coldchain!D551:D1549 = D551),
      purchase_order_lines_coldchain!B$2:B$1000,
      _xlfn.XLOOKUP(F551,purchase_order_lines_coldchain!A$2:A1549,
      purchase_order_lines_coldchain!B$2:B1549)),
      "")</f>
        <v/>
      </c>
      <c r="I551" t="str">
        <f t="shared" si="8"/>
        <v>RET-58506</v>
      </c>
      <c r="K551" s="11">
        <v>4</v>
      </c>
      <c r="L551" s="11">
        <v>4</v>
      </c>
      <c r="M551" s="14">
        <v>9.6999999999999993</v>
      </c>
      <c r="N551" s="14">
        <v>38.799999999999997</v>
      </c>
      <c r="O551">
        <v>2.1</v>
      </c>
      <c r="P551" t="s">
        <v>3280</v>
      </c>
    </row>
    <row r="552" spans="1:16" x14ac:dyDescent="0.25">
      <c r="A552" t="s">
        <v>2671</v>
      </c>
      <c r="B552" s="1">
        <v>45707.25</v>
      </c>
      <c r="C552" t="s">
        <v>3283</v>
      </c>
      <c r="D552" t="s">
        <v>990</v>
      </c>
      <c r="E552" t="s">
        <v>642</v>
      </c>
      <c r="G552" t="s">
        <v>2672</v>
      </c>
      <c r="H552" t="str" cm="1">
        <f t="array" ref="H552">IF(AND(G552="",
      C552="Receipt"),
      _xlfn.XLOOKUP(1,
      (purchase_order_lines_coldchain!A552:A1550 = F552) *
      (purchase_order_lines_coldchain!G552:G1550 = E552) *
      (purchase_order_lines_coldchain!D552:D1550 = D552),
      purchase_order_lines_coldchain!B$2:B$1000,
      _xlfn.XLOOKUP(F552,purchase_order_lines_coldchain!A$2:A1550,
      purchase_order_lines_coldchain!B$2:B1550)),
      "")</f>
        <v/>
      </c>
      <c r="I552" t="str">
        <f t="shared" si="8"/>
        <v>WO-33795</v>
      </c>
      <c r="K552" s="11">
        <v>2</v>
      </c>
      <c r="L552" s="11">
        <v>-2</v>
      </c>
      <c r="M552" s="14">
        <v>8.31</v>
      </c>
      <c r="N552" s="14">
        <v>-16.62</v>
      </c>
      <c r="O552">
        <v>-1.5</v>
      </c>
      <c r="P552" t="s">
        <v>3284</v>
      </c>
    </row>
    <row r="553" spans="1:16" x14ac:dyDescent="0.25">
      <c r="A553" t="s">
        <v>2673</v>
      </c>
      <c r="B553" s="1">
        <v>45760.291666666664</v>
      </c>
      <c r="C553" t="s">
        <v>3283</v>
      </c>
      <c r="D553" t="s">
        <v>996</v>
      </c>
      <c r="E553" t="s">
        <v>675</v>
      </c>
      <c r="G553" t="s">
        <v>2674</v>
      </c>
      <c r="H553" t="str" cm="1">
        <f t="array" ref="H553">IF(AND(G553="",
      C553="Receipt"),
      _xlfn.XLOOKUP(1,
      (purchase_order_lines_coldchain!A553:A1551 = F553) *
      (purchase_order_lines_coldchain!G553:G1551 = E553) *
      (purchase_order_lines_coldchain!D553:D1551 = D553),
      purchase_order_lines_coldchain!B$2:B$1000,
      _xlfn.XLOOKUP(F553,purchase_order_lines_coldchain!A$2:A1551,
      purchase_order_lines_coldchain!B$2:B1551)),
      "")</f>
        <v/>
      </c>
      <c r="I553" t="str">
        <f t="shared" si="8"/>
        <v>WO-89276</v>
      </c>
      <c r="K553" s="11">
        <v>4</v>
      </c>
      <c r="L553" s="11">
        <v>-4</v>
      </c>
      <c r="M553" s="14">
        <v>6.57</v>
      </c>
      <c r="N553" s="14">
        <v>-26.28</v>
      </c>
      <c r="O553">
        <v>-0.2</v>
      </c>
      <c r="P553" t="s">
        <v>3284</v>
      </c>
    </row>
    <row r="554" spans="1:16" x14ac:dyDescent="0.25">
      <c r="A554" t="s">
        <v>2675</v>
      </c>
      <c r="B554" s="1">
        <v>45704.958333333336</v>
      </c>
      <c r="C554" t="s">
        <v>3283</v>
      </c>
      <c r="D554" t="s">
        <v>959</v>
      </c>
      <c r="E554" t="s">
        <v>530</v>
      </c>
      <c r="G554" t="s">
        <v>2676</v>
      </c>
      <c r="H554" t="str" cm="1">
        <f t="array" ref="H554">IF(AND(G554="",
      C554="Receipt"),
      _xlfn.XLOOKUP(1,
      (purchase_order_lines_coldchain!A554:A1552 = F554) *
      (purchase_order_lines_coldchain!G554:G1552 = E554) *
      (purchase_order_lines_coldchain!D554:D1552 = D554),
      purchase_order_lines_coldchain!B$2:B$1000,
      _xlfn.XLOOKUP(F554,purchase_order_lines_coldchain!A$2:A1552,
      purchase_order_lines_coldchain!B$2:B1552)),
      "")</f>
        <v/>
      </c>
      <c r="I554" t="str">
        <f t="shared" si="8"/>
        <v>WO-15587</v>
      </c>
      <c r="K554" s="11">
        <v>5</v>
      </c>
      <c r="L554" s="11">
        <v>-5</v>
      </c>
      <c r="M554" s="14">
        <v>13.86</v>
      </c>
      <c r="N554" s="14">
        <v>-69.3</v>
      </c>
      <c r="O554">
        <v>1.1000000000000001</v>
      </c>
      <c r="P554" t="s">
        <v>3284</v>
      </c>
    </row>
    <row r="555" spans="1:16" x14ac:dyDescent="0.25">
      <c r="A555" t="s">
        <v>2677</v>
      </c>
      <c r="B555" s="1">
        <v>45722.416666666664</v>
      </c>
      <c r="C555" t="s">
        <v>3283</v>
      </c>
      <c r="D555" t="s">
        <v>968</v>
      </c>
      <c r="E555" t="s">
        <v>413</v>
      </c>
      <c r="G555" t="s">
        <v>2678</v>
      </c>
      <c r="H555" t="str" cm="1">
        <f t="array" ref="H555">IF(AND(G555="",
      C555="Receipt"),
      _xlfn.XLOOKUP(1,
      (purchase_order_lines_coldchain!A555:A1553 = F555) *
      (purchase_order_lines_coldchain!G555:G1553 = E555) *
      (purchase_order_lines_coldchain!D555:D1553 = D555),
      purchase_order_lines_coldchain!B$2:B$1000,
      _xlfn.XLOOKUP(F555,purchase_order_lines_coldchain!A$2:A1553,
      purchase_order_lines_coldchain!B$2:B1553)),
      "")</f>
        <v/>
      </c>
      <c r="I555" t="str">
        <f t="shared" si="8"/>
        <v>WO-60022</v>
      </c>
      <c r="K555" s="11">
        <v>2</v>
      </c>
      <c r="L555" s="11">
        <v>-2</v>
      </c>
      <c r="M555" s="14">
        <v>2.0499999999999998</v>
      </c>
      <c r="N555" s="14">
        <v>-4.0999999999999996</v>
      </c>
      <c r="O555">
        <v>-2.6</v>
      </c>
      <c r="P555" t="s">
        <v>3285</v>
      </c>
    </row>
    <row r="556" spans="1:16" x14ac:dyDescent="0.25">
      <c r="A556" t="s">
        <v>2679</v>
      </c>
      <c r="B556" s="1">
        <v>45720.583333333336</v>
      </c>
      <c r="C556" t="s">
        <v>3283</v>
      </c>
      <c r="D556" t="s">
        <v>996</v>
      </c>
      <c r="E556" t="s">
        <v>675</v>
      </c>
      <c r="G556" t="s">
        <v>2680</v>
      </c>
      <c r="H556" t="str" cm="1">
        <f t="array" ref="H556">IF(AND(G556="",
      C556="Receipt"),
      _xlfn.XLOOKUP(1,
      (purchase_order_lines_coldchain!A556:A1554 = F556) *
      (purchase_order_lines_coldchain!G556:G1554 = E556) *
      (purchase_order_lines_coldchain!D556:D1554 = D556),
      purchase_order_lines_coldchain!B$2:B$1000,
      _xlfn.XLOOKUP(F556,purchase_order_lines_coldchain!A$2:A1554,
      purchase_order_lines_coldchain!B$2:B1554)),
      "")</f>
        <v/>
      </c>
      <c r="I556" t="str">
        <f t="shared" si="8"/>
        <v>WO-72692</v>
      </c>
      <c r="K556" s="11">
        <v>4</v>
      </c>
      <c r="L556" s="11">
        <v>-4</v>
      </c>
      <c r="M556" s="14">
        <v>6.57</v>
      </c>
      <c r="N556" s="14">
        <v>-26.28</v>
      </c>
      <c r="O556">
        <v>0.3</v>
      </c>
      <c r="P556" t="s">
        <v>3285</v>
      </c>
    </row>
    <row r="557" spans="1:16" x14ac:dyDescent="0.25">
      <c r="A557" t="s">
        <v>2681</v>
      </c>
      <c r="B557" s="1">
        <v>45777.458333333336</v>
      </c>
      <c r="C557" t="s">
        <v>3283</v>
      </c>
      <c r="D557" t="s">
        <v>999</v>
      </c>
      <c r="E557" t="s">
        <v>807</v>
      </c>
      <c r="G557" t="s">
        <v>2682</v>
      </c>
      <c r="H557" t="str" cm="1">
        <f t="array" ref="H557">IF(AND(G557="",
      C557="Receipt"),
      _xlfn.XLOOKUP(1,
      (purchase_order_lines_coldchain!A557:A1555 = F557) *
      (purchase_order_lines_coldchain!G557:G1555 = E557) *
      (purchase_order_lines_coldchain!D557:D1555 = D557),
      purchase_order_lines_coldchain!B$2:B$1000,
      _xlfn.XLOOKUP(F557,purchase_order_lines_coldchain!A$2:A1555,
      purchase_order_lines_coldchain!B$2:B1555)),
      "")</f>
        <v/>
      </c>
      <c r="I557" t="str">
        <f t="shared" si="8"/>
        <v>WO-77080</v>
      </c>
      <c r="K557" s="11">
        <v>1</v>
      </c>
      <c r="L557" s="11">
        <v>-1</v>
      </c>
      <c r="M557" s="14">
        <v>13.57</v>
      </c>
      <c r="N557" s="14">
        <v>-13.57</v>
      </c>
      <c r="O557">
        <v>4.7</v>
      </c>
      <c r="P557" t="s">
        <v>3285</v>
      </c>
    </row>
    <row r="558" spans="1:16" x14ac:dyDescent="0.25">
      <c r="A558" t="s">
        <v>2683</v>
      </c>
      <c r="B558" s="1">
        <v>45728.541666666664</v>
      </c>
      <c r="C558" t="s">
        <v>3283</v>
      </c>
      <c r="D558" t="s">
        <v>964</v>
      </c>
      <c r="E558" t="s">
        <v>813</v>
      </c>
      <c r="G558" t="s">
        <v>2684</v>
      </c>
      <c r="H558" t="str" cm="1">
        <f t="array" ref="H558">IF(AND(G558="",
      C558="Receipt"),
      _xlfn.XLOOKUP(1,
      (purchase_order_lines_coldchain!A558:A1556 = F558) *
      (purchase_order_lines_coldchain!G558:G1556 = E558) *
      (purchase_order_lines_coldchain!D558:D1556 = D558),
      purchase_order_lines_coldchain!B$2:B$1000,
      _xlfn.XLOOKUP(F558,purchase_order_lines_coldchain!A$2:A1556,
      purchase_order_lines_coldchain!B$2:B1556)),
      "")</f>
        <v/>
      </c>
      <c r="I558" t="str">
        <f t="shared" si="8"/>
        <v>WO-77294</v>
      </c>
      <c r="K558" s="11">
        <v>4</v>
      </c>
      <c r="L558" s="11">
        <v>-4</v>
      </c>
      <c r="M558" s="14">
        <v>5.94</v>
      </c>
      <c r="N558" s="14">
        <v>-23.76</v>
      </c>
      <c r="O558">
        <v>3.3</v>
      </c>
      <c r="P558" t="s">
        <v>3285</v>
      </c>
    </row>
    <row r="559" spans="1:16" x14ac:dyDescent="0.25">
      <c r="A559" t="s">
        <v>2685</v>
      </c>
      <c r="B559" s="1">
        <v>45735.958333333336</v>
      </c>
      <c r="C559" t="s">
        <v>3283</v>
      </c>
      <c r="D559" t="s">
        <v>968</v>
      </c>
      <c r="E559" t="s">
        <v>939</v>
      </c>
      <c r="G559" t="s">
        <v>2686</v>
      </c>
      <c r="H559" t="str" cm="1">
        <f t="array" ref="H559">IF(AND(G559="",
      C559="Receipt"),
      _xlfn.XLOOKUP(1,
      (purchase_order_lines_coldchain!A559:A1557 = F559) *
      (purchase_order_lines_coldchain!G559:G1557 = E559) *
      (purchase_order_lines_coldchain!D559:D1557 = D559),
      purchase_order_lines_coldchain!B$2:B$1000,
      _xlfn.XLOOKUP(F559,purchase_order_lines_coldchain!A$2:A1557,
      purchase_order_lines_coldchain!B$2:B1557)),
      "")</f>
        <v/>
      </c>
      <c r="I559" t="str">
        <f t="shared" si="8"/>
        <v>WO-70255</v>
      </c>
      <c r="K559" s="11">
        <v>3</v>
      </c>
      <c r="L559" s="11">
        <v>-3</v>
      </c>
      <c r="M559" s="14">
        <v>4.25</v>
      </c>
      <c r="N559" s="14">
        <v>-12.75</v>
      </c>
      <c r="O559">
        <v>6.4</v>
      </c>
      <c r="P559" t="s">
        <v>3286</v>
      </c>
    </row>
    <row r="560" spans="1:16" x14ac:dyDescent="0.25">
      <c r="A560" t="s">
        <v>2687</v>
      </c>
      <c r="B560" s="1">
        <v>45713.291666666664</v>
      </c>
      <c r="C560" t="s">
        <v>3283</v>
      </c>
      <c r="D560" t="s">
        <v>990</v>
      </c>
      <c r="E560" t="s">
        <v>894</v>
      </c>
      <c r="G560" t="s">
        <v>2688</v>
      </c>
      <c r="H560" t="str" cm="1">
        <f t="array" ref="H560">IF(AND(G560="",
      C560="Receipt"),
      _xlfn.XLOOKUP(1,
      (purchase_order_lines_coldchain!A560:A1558 = F560) *
      (purchase_order_lines_coldchain!G560:G1558 = E560) *
      (purchase_order_lines_coldchain!D560:D1558 = D560),
      purchase_order_lines_coldchain!B$2:B$1000,
      _xlfn.XLOOKUP(F560,purchase_order_lines_coldchain!A$2:A1558,
      purchase_order_lines_coldchain!B$2:B1558)),
      "")</f>
        <v/>
      </c>
      <c r="I560" t="str">
        <f t="shared" si="8"/>
        <v>WO-47132</v>
      </c>
      <c r="K560" s="11">
        <v>4</v>
      </c>
      <c r="L560" s="11">
        <v>-4</v>
      </c>
      <c r="M560" s="14">
        <v>8.67</v>
      </c>
      <c r="N560" s="14">
        <v>-34.68</v>
      </c>
      <c r="O560">
        <v>4.5999999999999996</v>
      </c>
      <c r="P560" t="s">
        <v>3285</v>
      </c>
    </row>
    <row r="561" spans="1:16" x14ac:dyDescent="0.25">
      <c r="A561" t="s">
        <v>2689</v>
      </c>
      <c r="B561" s="1">
        <v>45755.041666666664</v>
      </c>
      <c r="C561" t="s">
        <v>3283</v>
      </c>
      <c r="D561" t="s">
        <v>990</v>
      </c>
      <c r="E561" t="s">
        <v>720</v>
      </c>
      <c r="G561" t="s">
        <v>2690</v>
      </c>
      <c r="H561" t="str" cm="1">
        <f t="array" ref="H561">IF(AND(G561="",
      C561="Receipt"),
      _xlfn.XLOOKUP(1,
      (purchase_order_lines_coldchain!A561:A1559 = F561) *
      (purchase_order_lines_coldchain!G561:G1559 = E561) *
      (purchase_order_lines_coldchain!D561:D1559 = D561),
      purchase_order_lines_coldchain!B$2:B$1000,
      _xlfn.XLOOKUP(F561,purchase_order_lines_coldchain!A$2:A1559,
      purchase_order_lines_coldchain!B$2:B1559)),
      "")</f>
        <v/>
      </c>
      <c r="I561" t="str">
        <f t="shared" si="8"/>
        <v>WO-69150</v>
      </c>
      <c r="K561" s="11">
        <v>5</v>
      </c>
      <c r="L561" s="11">
        <v>-5</v>
      </c>
      <c r="M561" s="14">
        <v>8.34</v>
      </c>
      <c r="N561" s="14">
        <v>-41.7</v>
      </c>
      <c r="O561">
        <v>4.8</v>
      </c>
      <c r="P561" t="s">
        <v>3285</v>
      </c>
    </row>
    <row r="562" spans="1:16" x14ac:dyDescent="0.25">
      <c r="A562" t="s">
        <v>2691</v>
      </c>
      <c r="B562" s="1">
        <v>45763.791666666664</v>
      </c>
      <c r="C562" t="s">
        <v>3283</v>
      </c>
      <c r="D562" t="s">
        <v>980</v>
      </c>
      <c r="E562" t="s">
        <v>882</v>
      </c>
      <c r="G562" t="s">
        <v>2692</v>
      </c>
      <c r="H562" t="str" cm="1">
        <f t="array" ref="H562">IF(AND(G562="",
      C562="Receipt"),
      _xlfn.XLOOKUP(1,
      (purchase_order_lines_coldchain!A562:A1560 = F562) *
      (purchase_order_lines_coldchain!G562:G1560 = E562) *
      (purchase_order_lines_coldchain!D562:D1560 = D562),
      purchase_order_lines_coldchain!B$2:B$1000,
      _xlfn.XLOOKUP(F562,purchase_order_lines_coldchain!A$2:A1560,
      purchase_order_lines_coldchain!B$2:B1560)),
      "")</f>
        <v/>
      </c>
      <c r="I562" t="str">
        <f t="shared" si="8"/>
        <v>WO-46812</v>
      </c>
      <c r="K562" s="11">
        <v>4</v>
      </c>
      <c r="L562" s="11">
        <v>-4</v>
      </c>
      <c r="M562" s="14">
        <v>3.49</v>
      </c>
      <c r="N562" s="14">
        <v>-13.96</v>
      </c>
      <c r="O562">
        <v>-0.2</v>
      </c>
      <c r="P562" t="s">
        <v>3284</v>
      </c>
    </row>
    <row r="563" spans="1:16" x14ac:dyDescent="0.25">
      <c r="A563" t="s">
        <v>2693</v>
      </c>
      <c r="B563" s="1">
        <v>45752.041666666664</v>
      </c>
      <c r="C563" t="s">
        <v>3283</v>
      </c>
      <c r="D563" t="s">
        <v>972</v>
      </c>
      <c r="E563" t="s">
        <v>579</v>
      </c>
      <c r="G563" t="s">
        <v>2694</v>
      </c>
      <c r="H563" t="str" cm="1">
        <f t="array" ref="H563">IF(AND(G563="",
      C563="Receipt"),
      _xlfn.XLOOKUP(1,
      (purchase_order_lines_coldchain!A563:A1561 = F563) *
      (purchase_order_lines_coldchain!G563:G1561 = E563) *
      (purchase_order_lines_coldchain!D563:D1561 = D563),
      purchase_order_lines_coldchain!B$2:B$1000,
      _xlfn.XLOOKUP(F563,purchase_order_lines_coldchain!A$2:A1561,
      purchase_order_lines_coldchain!B$2:B1561)),
      "")</f>
        <v/>
      </c>
      <c r="I563" t="str">
        <f t="shared" si="8"/>
        <v>WO-98198</v>
      </c>
      <c r="K563" s="11">
        <v>4</v>
      </c>
      <c r="L563" s="11">
        <v>-4</v>
      </c>
      <c r="M563" s="14">
        <v>6.57</v>
      </c>
      <c r="N563" s="14">
        <v>-26.28</v>
      </c>
      <c r="O563">
        <v>4.5</v>
      </c>
      <c r="P563" t="s">
        <v>3284</v>
      </c>
    </row>
    <row r="564" spans="1:16" x14ac:dyDescent="0.25">
      <c r="A564" t="s">
        <v>2695</v>
      </c>
      <c r="B564" s="1">
        <v>45735.25</v>
      </c>
      <c r="C564" t="s">
        <v>3283</v>
      </c>
      <c r="D564" t="s">
        <v>968</v>
      </c>
      <c r="E564" t="s">
        <v>460</v>
      </c>
      <c r="G564" t="s">
        <v>2696</v>
      </c>
      <c r="H564" t="str" cm="1">
        <f t="array" ref="H564">IF(AND(G564="",
      C564="Receipt"),
      _xlfn.XLOOKUP(1,
      (purchase_order_lines_coldchain!A564:A1562 = F564) *
      (purchase_order_lines_coldchain!G564:G1562 = E564) *
      (purchase_order_lines_coldchain!D564:D1562 = D564),
      purchase_order_lines_coldchain!B$2:B$1000,
      _xlfn.XLOOKUP(F564,purchase_order_lines_coldchain!A$2:A1562,
      purchase_order_lines_coldchain!B$2:B1562)),
      "")</f>
        <v/>
      </c>
      <c r="I564" t="str">
        <f t="shared" si="8"/>
        <v>WO-30660</v>
      </c>
      <c r="K564" s="11">
        <v>3</v>
      </c>
      <c r="L564" s="11">
        <v>-3</v>
      </c>
      <c r="M564" s="14">
        <v>9.6199999999999992</v>
      </c>
      <c r="N564" s="14">
        <v>-28.86</v>
      </c>
      <c r="O564">
        <v>2.7</v>
      </c>
      <c r="P564" t="s">
        <v>3284</v>
      </c>
    </row>
    <row r="565" spans="1:16" x14ac:dyDescent="0.25">
      <c r="A565" t="s">
        <v>2697</v>
      </c>
      <c r="B565" s="1">
        <v>45705.291666666664</v>
      </c>
      <c r="C565" t="s">
        <v>3283</v>
      </c>
      <c r="D565" t="s">
        <v>980</v>
      </c>
      <c r="E565" t="s">
        <v>597</v>
      </c>
      <c r="G565" t="s">
        <v>2698</v>
      </c>
      <c r="H565" t="str" cm="1">
        <f t="array" ref="H565">IF(AND(G565="",
      C565="Receipt"),
      _xlfn.XLOOKUP(1,
      (purchase_order_lines_coldchain!A565:A1563 = F565) *
      (purchase_order_lines_coldchain!G565:G1563 = E565) *
      (purchase_order_lines_coldchain!D565:D1563 = D565),
      purchase_order_lines_coldchain!B$2:B$1000,
      _xlfn.XLOOKUP(F565,purchase_order_lines_coldchain!A$2:A1563,
      purchase_order_lines_coldchain!B$2:B1563)),
      "")</f>
        <v/>
      </c>
      <c r="I565" t="str">
        <f t="shared" si="8"/>
        <v>WO-70754</v>
      </c>
      <c r="K565" s="11">
        <v>3</v>
      </c>
      <c r="L565" s="11">
        <v>-3</v>
      </c>
      <c r="M565" s="14">
        <v>2.84</v>
      </c>
      <c r="N565" s="14">
        <v>-8.52</v>
      </c>
      <c r="O565">
        <v>6.4</v>
      </c>
      <c r="P565" t="s">
        <v>3286</v>
      </c>
    </row>
    <row r="566" spans="1:16" x14ac:dyDescent="0.25">
      <c r="A566" t="s">
        <v>2699</v>
      </c>
      <c r="B566" s="1">
        <v>45773.416666666664</v>
      </c>
      <c r="C566" t="s">
        <v>3283</v>
      </c>
      <c r="D566" t="s">
        <v>976</v>
      </c>
      <c r="E566" t="s">
        <v>597</v>
      </c>
      <c r="G566" t="s">
        <v>2700</v>
      </c>
      <c r="H566" t="str" cm="1">
        <f t="array" ref="H566">IF(AND(G566="",
      C566="Receipt"),
      _xlfn.XLOOKUP(1,
      (purchase_order_lines_coldchain!A566:A1564 = F566) *
      (purchase_order_lines_coldchain!G566:G1564 = E566) *
      (purchase_order_lines_coldchain!D566:D1564 = D566),
      purchase_order_lines_coldchain!B$2:B$1000,
      _xlfn.XLOOKUP(F566,purchase_order_lines_coldchain!A$2:A1564,
      purchase_order_lines_coldchain!B$2:B1564)),
      "")</f>
        <v/>
      </c>
      <c r="I566" t="str">
        <f t="shared" si="8"/>
        <v>WO-30325</v>
      </c>
      <c r="K566" s="11">
        <v>4</v>
      </c>
      <c r="L566" s="11">
        <v>-4</v>
      </c>
      <c r="M566" s="14">
        <v>2.84</v>
      </c>
      <c r="N566" s="14">
        <v>-11.36</v>
      </c>
      <c r="O566">
        <v>2</v>
      </c>
      <c r="P566" t="s">
        <v>3285</v>
      </c>
    </row>
    <row r="567" spans="1:16" x14ac:dyDescent="0.25">
      <c r="A567" t="s">
        <v>2701</v>
      </c>
      <c r="B567" s="1">
        <v>45745.416666666664</v>
      </c>
      <c r="C567" t="s">
        <v>3283</v>
      </c>
      <c r="D567" t="s">
        <v>980</v>
      </c>
      <c r="E567" t="s">
        <v>463</v>
      </c>
      <c r="G567" t="s">
        <v>2702</v>
      </c>
      <c r="H567" t="str" cm="1">
        <f t="array" ref="H567">IF(AND(G567="",
      C567="Receipt"),
      _xlfn.XLOOKUP(1,
      (purchase_order_lines_coldchain!A567:A1565 = F567) *
      (purchase_order_lines_coldchain!G567:G1565 = E567) *
      (purchase_order_lines_coldchain!D567:D1565 = D567),
      purchase_order_lines_coldchain!B$2:B$1000,
      _xlfn.XLOOKUP(F567,purchase_order_lines_coldchain!A$2:A1565,
      purchase_order_lines_coldchain!B$2:B1565)),
      "")</f>
        <v/>
      </c>
      <c r="I567" t="str">
        <f t="shared" si="8"/>
        <v>WO-52972</v>
      </c>
      <c r="K567" s="11">
        <v>5</v>
      </c>
      <c r="L567" s="11">
        <v>-5</v>
      </c>
      <c r="M567" s="14">
        <v>8.31</v>
      </c>
      <c r="N567" s="14">
        <v>-41.55</v>
      </c>
      <c r="O567">
        <v>-1.4</v>
      </c>
      <c r="P567" t="s">
        <v>3284</v>
      </c>
    </row>
    <row r="568" spans="1:16" x14ac:dyDescent="0.25">
      <c r="A568" t="s">
        <v>2703</v>
      </c>
      <c r="B568" s="1">
        <v>45724.5</v>
      </c>
      <c r="C568" t="s">
        <v>3283</v>
      </c>
      <c r="D568" t="s">
        <v>987</v>
      </c>
      <c r="E568" t="s">
        <v>603</v>
      </c>
      <c r="G568" t="s">
        <v>2704</v>
      </c>
      <c r="H568" t="str" cm="1">
        <f t="array" ref="H568">IF(AND(G568="",
      C568="Receipt"),
      _xlfn.XLOOKUP(1,
      (purchase_order_lines_coldchain!A568:A1566 = F568) *
      (purchase_order_lines_coldchain!G568:G1566 = E568) *
      (purchase_order_lines_coldchain!D568:D1566 = D568),
      purchase_order_lines_coldchain!B$2:B$1000,
      _xlfn.XLOOKUP(F568,purchase_order_lines_coldchain!A$2:A1566,
      purchase_order_lines_coldchain!B$2:B1566)),
      "")</f>
        <v/>
      </c>
      <c r="I568" t="str">
        <f t="shared" si="8"/>
        <v>WO-38520</v>
      </c>
      <c r="K568" s="11">
        <v>1</v>
      </c>
      <c r="L568" s="11">
        <v>-1</v>
      </c>
      <c r="M568" s="14">
        <v>4.82</v>
      </c>
      <c r="N568" s="14">
        <v>-4.82</v>
      </c>
      <c r="O568">
        <v>1</v>
      </c>
      <c r="P568" t="s">
        <v>3286</v>
      </c>
    </row>
    <row r="569" spans="1:16" x14ac:dyDescent="0.25">
      <c r="A569" t="s">
        <v>2705</v>
      </c>
      <c r="B569" s="1">
        <v>45721.708333333336</v>
      </c>
      <c r="C569" t="s">
        <v>3283</v>
      </c>
      <c r="D569" t="s">
        <v>968</v>
      </c>
      <c r="E569" t="s">
        <v>666</v>
      </c>
      <c r="G569" t="s">
        <v>2706</v>
      </c>
      <c r="H569" t="str" cm="1">
        <f t="array" ref="H569">IF(AND(G569="",
      C569="Receipt"),
      _xlfn.XLOOKUP(1,
      (purchase_order_lines_coldchain!A569:A1567 = F569) *
      (purchase_order_lines_coldchain!G569:G1567 = E569) *
      (purchase_order_lines_coldchain!D569:D1567 = D569),
      purchase_order_lines_coldchain!B$2:B$1000,
      _xlfn.XLOOKUP(F569,purchase_order_lines_coldchain!A$2:A1567,
      purchase_order_lines_coldchain!B$2:B1567)),
      "")</f>
        <v/>
      </c>
      <c r="I569" t="str">
        <f t="shared" si="8"/>
        <v>WO-41841</v>
      </c>
      <c r="K569" s="11">
        <v>3</v>
      </c>
      <c r="L569" s="11">
        <v>-3</v>
      </c>
      <c r="M569" s="14">
        <v>13.88</v>
      </c>
      <c r="N569" s="14">
        <v>-41.64</v>
      </c>
      <c r="O569">
        <v>2.1</v>
      </c>
      <c r="P569" t="s">
        <v>3286</v>
      </c>
    </row>
    <row r="570" spans="1:16" x14ac:dyDescent="0.25">
      <c r="A570" t="s">
        <v>2707</v>
      </c>
      <c r="B570" s="1">
        <v>45735.666666666664</v>
      </c>
      <c r="C570" t="s">
        <v>3283</v>
      </c>
      <c r="D570" t="s">
        <v>968</v>
      </c>
      <c r="E570" t="s">
        <v>433</v>
      </c>
      <c r="G570" t="s">
        <v>2708</v>
      </c>
      <c r="H570" t="str" cm="1">
        <f t="array" ref="H570">IF(AND(G570="",
      C570="Receipt"),
      _xlfn.XLOOKUP(1,
      (purchase_order_lines_coldchain!A570:A1568 = F570) *
      (purchase_order_lines_coldchain!G570:G1568 = E570) *
      (purchase_order_lines_coldchain!D570:D1568 = D570),
      purchase_order_lines_coldchain!B$2:B$1000,
      _xlfn.XLOOKUP(F570,purchase_order_lines_coldchain!A$2:A1568,
      purchase_order_lines_coldchain!B$2:B1568)),
      "")</f>
        <v/>
      </c>
      <c r="I570" t="str">
        <f t="shared" si="8"/>
        <v>WO-58620</v>
      </c>
      <c r="K570" s="11">
        <v>1</v>
      </c>
      <c r="L570" s="11">
        <v>-1</v>
      </c>
      <c r="M570" s="14">
        <v>4.0599999999999996</v>
      </c>
      <c r="N570" s="14">
        <v>-4.0599999999999996</v>
      </c>
      <c r="O570">
        <v>5.5</v>
      </c>
      <c r="P570" t="s">
        <v>3284</v>
      </c>
    </row>
    <row r="571" spans="1:16" x14ac:dyDescent="0.25">
      <c r="A571" t="s">
        <v>2709</v>
      </c>
      <c r="B571" s="1">
        <v>45772.166666666664</v>
      </c>
      <c r="C571" t="s">
        <v>3283</v>
      </c>
      <c r="D571" t="s">
        <v>990</v>
      </c>
      <c r="E571" t="s">
        <v>696</v>
      </c>
      <c r="G571" t="s">
        <v>2710</v>
      </c>
      <c r="H571" t="str" cm="1">
        <f t="array" ref="H571">IF(AND(G571="",
      C571="Receipt"),
      _xlfn.XLOOKUP(1,
      (purchase_order_lines_coldchain!A571:A1569 = F571) *
      (purchase_order_lines_coldchain!G571:G1569 = E571) *
      (purchase_order_lines_coldchain!D571:D1569 = D571),
      purchase_order_lines_coldchain!B$2:B$1000,
      _xlfn.XLOOKUP(F571,purchase_order_lines_coldchain!A$2:A1569,
      purchase_order_lines_coldchain!B$2:B1569)),
      "")</f>
        <v/>
      </c>
      <c r="I571" t="str">
        <f t="shared" si="8"/>
        <v>WO-70318</v>
      </c>
      <c r="K571" s="11">
        <v>3</v>
      </c>
      <c r="L571" s="11">
        <v>-3</v>
      </c>
      <c r="M571" s="14">
        <v>4.99</v>
      </c>
      <c r="N571" s="14">
        <v>-14.97</v>
      </c>
      <c r="O571">
        <v>9.5</v>
      </c>
      <c r="P571" t="s">
        <v>3285</v>
      </c>
    </row>
    <row r="572" spans="1:16" x14ac:dyDescent="0.25">
      <c r="A572" t="s">
        <v>2711</v>
      </c>
      <c r="B572" s="1">
        <v>45750.875</v>
      </c>
      <c r="C572" t="s">
        <v>3283</v>
      </c>
      <c r="D572" t="s">
        <v>964</v>
      </c>
      <c r="E572" t="s">
        <v>517</v>
      </c>
      <c r="G572" t="s">
        <v>2712</v>
      </c>
      <c r="H572" t="str" cm="1">
        <f t="array" ref="H572">IF(AND(G572="",
      C572="Receipt"),
      _xlfn.XLOOKUP(1,
      (purchase_order_lines_coldchain!A572:A1570 = F572) *
      (purchase_order_lines_coldchain!G572:G1570 = E572) *
      (purchase_order_lines_coldchain!D572:D1570 = D572),
      purchase_order_lines_coldchain!B$2:B$1000,
      _xlfn.XLOOKUP(F572,purchase_order_lines_coldchain!A$2:A1570,
      purchase_order_lines_coldchain!B$2:B1570)),
      "")</f>
        <v/>
      </c>
      <c r="I572" t="str">
        <f t="shared" si="8"/>
        <v>WO-19257</v>
      </c>
      <c r="K572" s="11">
        <v>4</v>
      </c>
      <c r="L572" s="11">
        <v>-4</v>
      </c>
      <c r="M572" s="14">
        <v>9.6</v>
      </c>
      <c r="N572" s="14">
        <v>-38.4</v>
      </c>
      <c r="O572">
        <v>1.2</v>
      </c>
      <c r="P572" t="s">
        <v>3284</v>
      </c>
    </row>
    <row r="573" spans="1:16" x14ac:dyDescent="0.25">
      <c r="A573" t="s">
        <v>2713</v>
      </c>
      <c r="B573" s="1">
        <v>45739.916666666664</v>
      </c>
      <c r="C573" t="s">
        <v>3283</v>
      </c>
      <c r="D573" t="s">
        <v>968</v>
      </c>
      <c r="E573" t="s">
        <v>460</v>
      </c>
      <c r="G573" t="s">
        <v>2714</v>
      </c>
      <c r="H573" t="str" cm="1">
        <f t="array" ref="H573">IF(AND(G573="",
      C573="Receipt"),
      _xlfn.XLOOKUP(1,
      (purchase_order_lines_coldchain!A573:A1571 = F573) *
      (purchase_order_lines_coldchain!G573:G1571 = E573) *
      (purchase_order_lines_coldchain!D573:D1571 = D573),
      purchase_order_lines_coldchain!B$2:B$1000,
      _xlfn.XLOOKUP(F573,purchase_order_lines_coldchain!A$2:A1571,
      purchase_order_lines_coldchain!B$2:B1571)),
      "")</f>
        <v/>
      </c>
      <c r="I573" t="str">
        <f t="shared" si="8"/>
        <v>WO-59078</v>
      </c>
      <c r="K573" s="11">
        <v>4</v>
      </c>
      <c r="L573" s="11">
        <v>-4</v>
      </c>
      <c r="M573" s="14">
        <v>9.6199999999999992</v>
      </c>
      <c r="N573" s="14">
        <v>-38.479999999999997</v>
      </c>
      <c r="O573">
        <v>6.6</v>
      </c>
      <c r="P573" t="s">
        <v>3286</v>
      </c>
    </row>
    <row r="574" spans="1:16" x14ac:dyDescent="0.25">
      <c r="A574" t="s">
        <v>2715</v>
      </c>
      <c r="B574" s="1">
        <v>45739.958333333336</v>
      </c>
      <c r="C574" t="s">
        <v>3283</v>
      </c>
      <c r="D574" t="s">
        <v>959</v>
      </c>
      <c r="E574" t="s">
        <v>624</v>
      </c>
      <c r="G574" t="s">
        <v>2716</v>
      </c>
      <c r="H574" t="str" cm="1">
        <f t="array" ref="H574">IF(AND(G574="",
      C574="Receipt"),
      _xlfn.XLOOKUP(1,
      (purchase_order_lines_coldchain!A574:A1572 = F574) *
      (purchase_order_lines_coldchain!G574:G1572 = E574) *
      (purchase_order_lines_coldchain!D574:D1572 = D574),
      purchase_order_lines_coldchain!B$2:B$1000,
      _xlfn.XLOOKUP(F574,purchase_order_lines_coldchain!A$2:A1572,
      purchase_order_lines_coldchain!B$2:B1572)),
      "")</f>
        <v/>
      </c>
      <c r="I574" t="str">
        <f t="shared" si="8"/>
        <v>WO-14498</v>
      </c>
      <c r="K574" s="11">
        <v>5</v>
      </c>
      <c r="L574" s="11">
        <v>-5</v>
      </c>
      <c r="M574" s="14">
        <v>3.81</v>
      </c>
      <c r="N574" s="14">
        <v>-19.05</v>
      </c>
      <c r="O574">
        <v>3.7</v>
      </c>
      <c r="P574" t="s">
        <v>3286</v>
      </c>
    </row>
    <row r="575" spans="1:16" x14ac:dyDescent="0.25">
      <c r="A575" t="s">
        <v>2717</v>
      </c>
      <c r="B575" s="1">
        <v>45753.208333333336</v>
      </c>
      <c r="C575" t="s">
        <v>3283</v>
      </c>
      <c r="D575" t="s">
        <v>959</v>
      </c>
      <c r="E575" t="s">
        <v>499</v>
      </c>
      <c r="G575" t="s">
        <v>2718</v>
      </c>
      <c r="H575" t="str" cm="1">
        <f t="array" ref="H575">IF(AND(G575="",
      C575="Receipt"),
      _xlfn.XLOOKUP(1,
      (purchase_order_lines_coldchain!A575:A1573 = F575) *
      (purchase_order_lines_coldchain!G575:G1573 = E575) *
      (purchase_order_lines_coldchain!D575:D1573 = D575),
      purchase_order_lines_coldchain!B$2:B$1000,
      _xlfn.XLOOKUP(F575,purchase_order_lines_coldchain!A$2:A1573,
      purchase_order_lines_coldchain!B$2:B1573)),
      "")</f>
        <v/>
      </c>
      <c r="I575" t="str">
        <f t="shared" si="8"/>
        <v>WO-35669</v>
      </c>
      <c r="K575" s="11">
        <v>4</v>
      </c>
      <c r="L575" s="11">
        <v>-4</v>
      </c>
      <c r="M575" s="14">
        <v>2.2999999999999998</v>
      </c>
      <c r="N575" s="14">
        <v>-9.1999999999999993</v>
      </c>
      <c r="O575">
        <v>-1.1000000000000001</v>
      </c>
      <c r="P575" t="s">
        <v>3284</v>
      </c>
    </row>
    <row r="576" spans="1:16" x14ac:dyDescent="0.25">
      <c r="A576" t="s">
        <v>2719</v>
      </c>
      <c r="B576" s="1">
        <v>45741.25</v>
      </c>
      <c r="C576" t="s">
        <v>3283</v>
      </c>
      <c r="D576" t="s">
        <v>990</v>
      </c>
      <c r="E576" t="s">
        <v>846</v>
      </c>
      <c r="G576" t="s">
        <v>2720</v>
      </c>
      <c r="H576" t="str" cm="1">
        <f t="array" ref="H576">IF(AND(G576="",
      C576="Receipt"),
      _xlfn.XLOOKUP(1,
      (purchase_order_lines_coldchain!A576:A1574 = F576) *
      (purchase_order_lines_coldchain!G576:G1574 = E576) *
      (purchase_order_lines_coldchain!D576:D1574 = D576),
      purchase_order_lines_coldchain!B$2:B$1000,
      _xlfn.XLOOKUP(F576,purchase_order_lines_coldchain!A$2:A1574,
      purchase_order_lines_coldchain!B$2:B1574)),
      "")</f>
        <v/>
      </c>
      <c r="I576" t="str">
        <f t="shared" si="8"/>
        <v>WO-11118</v>
      </c>
      <c r="K576" s="11">
        <v>1</v>
      </c>
      <c r="L576" s="11">
        <v>-1</v>
      </c>
      <c r="M576" s="14">
        <v>15.39</v>
      </c>
      <c r="N576" s="14">
        <v>-15.39</v>
      </c>
      <c r="O576">
        <v>3.2</v>
      </c>
      <c r="P576" t="s">
        <v>3285</v>
      </c>
    </row>
    <row r="577" spans="1:16" x14ac:dyDescent="0.25">
      <c r="A577" t="s">
        <v>2721</v>
      </c>
      <c r="B577" s="1">
        <v>45704.833333333336</v>
      </c>
      <c r="C577" t="s">
        <v>3283</v>
      </c>
      <c r="D577" t="s">
        <v>980</v>
      </c>
      <c r="E577" t="s">
        <v>843</v>
      </c>
      <c r="G577" t="s">
        <v>2722</v>
      </c>
      <c r="H577" t="str" cm="1">
        <f t="array" ref="H577">IF(AND(G577="",
      C577="Receipt"),
      _xlfn.XLOOKUP(1,
      (purchase_order_lines_coldchain!A577:A1575 = F577) *
      (purchase_order_lines_coldchain!G577:G1575 = E577) *
      (purchase_order_lines_coldchain!D577:D1575 = D577),
      purchase_order_lines_coldchain!B$2:B$1000,
      _xlfn.XLOOKUP(F577,purchase_order_lines_coldchain!A$2:A1575,
      purchase_order_lines_coldchain!B$2:B1575)),
      "")</f>
        <v/>
      </c>
      <c r="I577" t="str">
        <f t="shared" si="8"/>
        <v>WO-11340</v>
      </c>
      <c r="K577" s="11">
        <v>1</v>
      </c>
      <c r="L577" s="11">
        <v>-1</v>
      </c>
      <c r="M577" s="14">
        <v>8.1300000000000008</v>
      </c>
      <c r="N577" s="14">
        <v>-8.1300000000000008</v>
      </c>
      <c r="O577">
        <v>7.2</v>
      </c>
      <c r="P577" t="s">
        <v>3286</v>
      </c>
    </row>
    <row r="578" spans="1:16" x14ac:dyDescent="0.25">
      <c r="A578" t="s">
        <v>2723</v>
      </c>
      <c r="B578" s="1">
        <v>45743.291666666664</v>
      </c>
      <c r="C578" t="s">
        <v>3283</v>
      </c>
      <c r="D578" t="s">
        <v>990</v>
      </c>
      <c r="E578" t="s">
        <v>846</v>
      </c>
      <c r="G578" t="s">
        <v>2724</v>
      </c>
      <c r="H578" t="str" cm="1">
        <f t="array" ref="H578">IF(AND(G578="",
      C578="Receipt"),
      _xlfn.XLOOKUP(1,
      (purchase_order_lines_coldchain!A578:A1576 = F578) *
      (purchase_order_lines_coldchain!G578:G1576 = E578) *
      (purchase_order_lines_coldchain!D578:D1576 = D578),
      purchase_order_lines_coldchain!B$2:B$1000,
      _xlfn.XLOOKUP(F578,purchase_order_lines_coldchain!A$2:A1576,
      purchase_order_lines_coldchain!B$2:B1576)),
      "")</f>
        <v/>
      </c>
      <c r="I578" t="str">
        <f t="shared" ref="I578:I641" si="9">G578 &amp; H578</f>
        <v>WO-41341</v>
      </c>
      <c r="K578" s="11">
        <v>4</v>
      </c>
      <c r="L578" s="11">
        <v>-4</v>
      </c>
      <c r="M578" s="14">
        <v>15.39</v>
      </c>
      <c r="N578" s="14">
        <v>-61.56</v>
      </c>
      <c r="O578">
        <v>7.2</v>
      </c>
      <c r="P578" t="s">
        <v>3285</v>
      </c>
    </row>
    <row r="579" spans="1:16" x14ac:dyDescent="0.25">
      <c r="A579" t="s">
        <v>2725</v>
      </c>
      <c r="B579" s="1">
        <v>45774.875</v>
      </c>
      <c r="C579" t="s">
        <v>3283</v>
      </c>
      <c r="D579" t="s">
        <v>964</v>
      </c>
      <c r="E579" t="s">
        <v>771</v>
      </c>
      <c r="G579" t="s">
        <v>2726</v>
      </c>
      <c r="H579" t="str" cm="1">
        <f t="array" ref="H579">IF(AND(G579="",
      C579="Receipt"),
      _xlfn.XLOOKUP(1,
      (purchase_order_lines_coldchain!A579:A1577 = F579) *
      (purchase_order_lines_coldchain!G579:G1577 = E579) *
      (purchase_order_lines_coldchain!D579:D1577 = D579),
      purchase_order_lines_coldchain!B$2:B$1000,
      _xlfn.XLOOKUP(F579,purchase_order_lines_coldchain!A$2:A1577,
      purchase_order_lines_coldchain!B$2:B1577)),
      "")</f>
        <v/>
      </c>
      <c r="I579" t="str">
        <f t="shared" si="9"/>
        <v>WO-45511</v>
      </c>
      <c r="K579" s="11">
        <v>3</v>
      </c>
      <c r="L579" s="11">
        <v>-3</v>
      </c>
      <c r="M579" s="14">
        <v>3.82</v>
      </c>
      <c r="N579" s="14">
        <v>-11.46</v>
      </c>
      <c r="O579">
        <v>3.2</v>
      </c>
      <c r="P579" t="s">
        <v>3284</v>
      </c>
    </row>
    <row r="580" spans="1:16" x14ac:dyDescent="0.25">
      <c r="A580" t="s">
        <v>2727</v>
      </c>
      <c r="B580" s="1">
        <v>45777.5</v>
      </c>
      <c r="C580" t="s">
        <v>3283</v>
      </c>
      <c r="D580" t="s">
        <v>959</v>
      </c>
      <c r="E580" t="s">
        <v>708</v>
      </c>
      <c r="G580" t="s">
        <v>2728</v>
      </c>
      <c r="H580" t="str" cm="1">
        <f t="array" ref="H580">IF(AND(G580="",
      C580="Receipt"),
      _xlfn.XLOOKUP(1,
      (purchase_order_lines_coldchain!A580:A1578 = F580) *
      (purchase_order_lines_coldchain!G580:G1578 = E580) *
      (purchase_order_lines_coldchain!D580:D1578 = D580),
      purchase_order_lines_coldchain!B$2:B$1000,
      _xlfn.XLOOKUP(F580,purchase_order_lines_coldchain!A$2:A1578,
      purchase_order_lines_coldchain!B$2:B1578)),
      "")</f>
        <v/>
      </c>
      <c r="I580" t="str">
        <f t="shared" si="9"/>
        <v>WO-78090</v>
      </c>
      <c r="K580" s="11">
        <v>5</v>
      </c>
      <c r="L580" s="11">
        <v>-5</v>
      </c>
      <c r="M580" s="14">
        <v>10.130000000000001</v>
      </c>
      <c r="N580" s="14">
        <v>-50.65</v>
      </c>
      <c r="O580">
        <v>6.2</v>
      </c>
      <c r="P580" t="s">
        <v>3284</v>
      </c>
    </row>
    <row r="581" spans="1:16" x14ac:dyDescent="0.25">
      <c r="A581" t="s">
        <v>2729</v>
      </c>
      <c r="B581" s="1">
        <v>45712.041666666664</v>
      </c>
      <c r="C581" t="s">
        <v>3283</v>
      </c>
      <c r="D581" t="s">
        <v>987</v>
      </c>
      <c r="E581" t="s">
        <v>456</v>
      </c>
      <c r="G581" t="s">
        <v>2730</v>
      </c>
      <c r="H581" t="str" cm="1">
        <f t="array" ref="H581">IF(AND(G581="",
      C581="Receipt"),
      _xlfn.XLOOKUP(1,
      (purchase_order_lines_coldchain!A581:A1579 = F581) *
      (purchase_order_lines_coldchain!G581:G1579 = E581) *
      (purchase_order_lines_coldchain!D581:D1579 = D581),
      purchase_order_lines_coldchain!B$2:B$1000,
      _xlfn.XLOOKUP(F581,purchase_order_lines_coldchain!A$2:A1579,
      purchase_order_lines_coldchain!B$2:B1579)),
      "")</f>
        <v/>
      </c>
      <c r="I581" t="str">
        <f t="shared" si="9"/>
        <v>WO-65694</v>
      </c>
      <c r="K581" s="11">
        <v>4</v>
      </c>
      <c r="L581" s="11">
        <v>-4</v>
      </c>
      <c r="M581" s="14">
        <v>11.69</v>
      </c>
      <c r="N581" s="14">
        <v>-46.76</v>
      </c>
      <c r="O581">
        <v>2.5</v>
      </c>
      <c r="P581" t="s">
        <v>3285</v>
      </c>
    </row>
    <row r="582" spans="1:16" x14ac:dyDescent="0.25">
      <c r="A582" t="s">
        <v>2731</v>
      </c>
      <c r="B582" s="1">
        <v>45756.416666666664</v>
      </c>
      <c r="C582" t="s">
        <v>3287</v>
      </c>
      <c r="D582" t="s">
        <v>990</v>
      </c>
      <c r="E582" t="s">
        <v>852</v>
      </c>
      <c r="G582" t="s">
        <v>2732</v>
      </c>
      <c r="H582" t="str" cm="1">
        <f t="array" ref="H582">IF(AND(G582="",
      C582="Receipt"),
      _xlfn.XLOOKUP(1,
      (purchase_order_lines_coldchain!A582:A1580 = F582) *
      (purchase_order_lines_coldchain!G582:G1580 = E582) *
      (purchase_order_lines_coldchain!D582:D1580 = D582),
      purchase_order_lines_coldchain!B$2:B$1000,
      _xlfn.XLOOKUP(F582,purchase_order_lines_coldchain!A$2:A1580,
      purchase_order_lines_coldchain!B$2:B1580)),
      "")</f>
        <v/>
      </c>
      <c r="I582" t="str">
        <f t="shared" si="9"/>
        <v>ADJ-18965</v>
      </c>
      <c r="K582" s="11">
        <v>3</v>
      </c>
      <c r="L582" s="11">
        <v>-3</v>
      </c>
      <c r="M582" s="14">
        <v>1.55</v>
      </c>
      <c r="N582" s="14">
        <v>-4.6500000000000004</v>
      </c>
      <c r="O582">
        <v>-1.3</v>
      </c>
      <c r="P582" t="s">
        <v>3288</v>
      </c>
    </row>
    <row r="583" spans="1:16" x14ac:dyDescent="0.25">
      <c r="A583" t="s">
        <v>2733</v>
      </c>
      <c r="B583" s="1">
        <v>45757.208333333336</v>
      </c>
      <c r="C583" t="s">
        <v>3287</v>
      </c>
      <c r="D583" t="s">
        <v>959</v>
      </c>
      <c r="E583" t="s">
        <v>699</v>
      </c>
      <c r="G583" t="s">
        <v>2734</v>
      </c>
      <c r="H583" t="str" cm="1">
        <f t="array" ref="H583">IF(AND(G583="",
      C583="Receipt"),
      _xlfn.XLOOKUP(1,
      (purchase_order_lines_coldchain!A583:A1581 = F583) *
      (purchase_order_lines_coldchain!G583:G1581 = E583) *
      (purchase_order_lines_coldchain!D583:D1581 = D583),
      purchase_order_lines_coldchain!B$2:B$1000,
      _xlfn.XLOOKUP(F583,purchase_order_lines_coldchain!A$2:A1581,
      purchase_order_lines_coldchain!B$2:B1581)),
      "")</f>
        <v/>
      </c>
      <c r="I583" t="str">
        <f t="shared" si="9"/>
        <v>ADJ-70680</v>
      </c>
      <c r="K583" s="11">
        <v>2</v>
      </c>
      <c r="L583" s="11">
        <v>-2</v>
      </c>
      <c r="M583" s="14">
        <v>1.8</v>
      </c>
      <c r="N583" s="14">
        <v>-3.6</v>
      </c>
      <c r="O583">
        <v>6.3</v>
      </c>
      <c r="P583" t="s">
        <v>3289</v>
      </c>
    </row>
    <row r="584" spans="1:16" x14ac:dyDescent="0.25">
      <c r="A584" t="s">
        <v>2735</v>
      </c>
      <c r="B584" s="1">
        <v>45701.125</v>
      </c>
      <c r="C584" t="s">
        <v>3287</v>
      </c>
      <c r="D584" t="s">
        <v>990</v>
      </c>
      <c r="E584" t="s">
        <v>642</v>
      </c>
      <c r="G584" t="s">
        <v>2736</v>
      </c>
      <c r="H584" t="str" cm="1">
        <f t="array" ref="H584">IF(AND(G584="",
      C584="Receipt"),
      _xlfn.XLOOKUP(1,
      (purchase_order_lines_coldchain!A584:A1582 = F584) *
      (purchase_order_lines_coldchain!G584:G1582 = E584) *
      (purchase_order_lines_coldchain!D584:D1582 = D584),
      purchase_order_lines_coldchain!B$2:B$1000,
      _xlfn.XLOOKUP(F584,purchase_order_lines_coldchain!A$2:A1582,
      purchase_order_lines_coldchain!B$2:B1582)),
      "")</f>
        <v/>
      </c>
      <c r="I584" t="str">
        <f t="shared" si="9"/>
        <v>ADJ-21114</v>
      </c>
      <c r="K584" s="11">
        <v>2</v>
      </c>
      <c r="L584" s="11">
        <v>2</v>
      </c>
      <c r="M584" s="14">
        <v>8.31</v>
      </c>
      <c r="N584" s="14">
        <v>16.62</v>
      </c>
      <c r="O584">
        <v>0.1</v>
      </c>
      <c r="P584" t="s">
        <v>3288</v>
      </c>
    </row>
    <row r="585" spans="1:16" x14ac:dyDescent="0.25">
      <c r="A585" t="s">
        <v>2737</v>
      </c>
      <c r="B585" s="1">
        <v>45718.583333333336</v>
      </c>
      <c r="C585" t="s">
        <v>3287</v>
      </c>
      <c r="D585" t="s">
        <v>996</v>
      </c>
      <c r="E585" t="s">
        <v>750</v>
      </c>
      <c r="G585" t="s">
        <v>2738</v>
      </c>
      <c r="H585" t="str" cm="1">
        <f t="array" ref="H585">IF(AND(G585="",
      C585="Receipt"),
      _xlfn.XLOOKUP(1,
      (purchase_order_lines_coldchain!A585:A1583 = F585) *
      (purchase_order_lines_coldchain!G585:G1583 = E585) *
      (purchase_order_lines_coldchain!D585:D1583 = D585),
      purchase_order_lines_coldchain!B$2:B$1000,
      _xlfn.XLOOKUP(F585,purchase_order_lines_coldchain!A$2:A1583,
      purchase_order_lines_coldchain!B$2:B1583)),
      "")</f>
        <v/>
      </c>
      <c r="I585" t="str">
        <f t="shared" si="9"/>
        <v>ADJ-36757</v>
      </c>
      <c r="K585" s="11">
        <v>1</v>
      </c>
      <c r="L585" s="11">
        <v>-1</v>
      </c>
      <c r="M585" s="14">
        <v>13.92</v>
      </c>
      <c r="N585" s="14">
        <v>-13.92</v>
      </c>
      <c r="O585">
        <v>2.1</v>
      </c>
      <c r="P585" t="s">
        <v>3288</v>
      </c>
    </row>
    <row r="586" spans="1:16" x14ac:dyDescent="0.25">
      <c r="A586" t="s">
        <v>2739</v>
      </c>
      <c r="B586" s="1">
        <v>45731.458333333336</v>
      </c>
      <c r="C586" t="s">
        <v>3287</v>
      </c>
      <c r="D586" t="s">
        <v>980</v>
      </c>
      <c r="E586" t="s">
        <v>675</v>
      </c>
      <c r="G586" t="s">
        <v>2740</v>
      </c>
      <c r="H586" t="str" cm="1">
        <f t="array" ref="H586">IF(AND(G586="",
      C586="Receipt"),
      _xlfn.XLOOKUP(1,
      (purchase_order_lines_coldchain!A586:A1584 = F586) *
      (purchase_order_lines_coldchain!G586:G1584 = E586) *
      (purchase_order_lines_coldchain!D586:D1584 = D586),
      purchase_order_lines_coldchain!B$2:B$1000,
      _xlfn.XLOOKUP(F586,purchase_order_lines_coldchain!A$2:A1584,
      purchase_order_lines_coldchain!B$2:B1584)),
      "")</f>
        <v/>
      </c>
      <c r="I586" t="str">
        <f t="shared" si="9"/>
        <v>ADJ-93421</v>
      </c>
      <c r="K586" s="11">
        <v>2</v>
      </c>
      <c r="L586" s="11">
        <v>-2</v>
      </c>
      <c r="M586" s="14">
        <v>6.57</v>
      </c>
      <c r="N586" s="14">
        <v>-13.14</v>
      </c>
      <c r="O586">
        <v>1.3</v>
      </c>
      <c r="P586" t="s">
        <v>3289</v>
      </c>
    </row>
    <row r="587" spans="1:16" x14ac:dyDescent="0.25">
      <c r="A587" t="s">
        <v>2741</v>
      </c>
      <c r="B587" s="1">
        <v>45720.416666666664</v>
      </c>
      <c r="C587" t="s">
        <v>3287</v>
      </c>
      <c r="D587" t="s">
        <v>990</v>
      </c>
      <c r="E587" t="s">
        <v>557</v>
      </c>
      <c r="G587" t="s">
        <v>2742</v>
      </c>
      <c r="H587" t="str" cm="1">
        <f t="array" ref="H587">IF(AND(G587="",
      C587="Receipt"),
      _xlfn.XLOOKUP(1,
      (purchase_order_lines_coldchain!A587:A1585 = F587) *
      (purchase_order_lines_coldchain!G587:G1585 = E587) *
      (purchase_order_lines_coldchain!D587:D1585 = D587),
      purchase_order_lines_coldchain!B$2:B$1000,
      _xlfn.XLOOKUP(F587,purchase_order_lines_coldchain!A$2:A1585,
      purchase_order_lines_coldchain!B$2:B1585)),
      "")</f>
        <v/>
      </c>
      <c r="I587" t="str">
        <f t="shared" si="9"/>
        <v>ADJ-62617</v>
      </c>
      <c r="K587" s="11">
        <v>2</v>
      </c>
      <c r="L587" s="11">
        <v>-2</v>
      </c>
      <c r="M587" s="14">
        <v>1.77</v>
      </c>
      <c r="N587" s="14">
        <v>-3.54</v>
      </c>
      <c r="O587">
        <v>2.4</v>
      </c>
      <c r="P587" t="s">
        <v>3289</v>
      </c>
    </row>
    <row r="588" spans="1:16" x14ac:dyDescent="0.25">
      <c r="A588" t="s">
        <v>2743</v>
      </c>
      <c r="B588" s="1">
        <v>45703.166666666664</v>
      </c>
      <c r="C588" t="s">
        <v>3287</v>
      </c>
      <c r="D588" t="s">
        <v>996</v>
      </c>
      <c r="E588" t="s">
        <v>777</v>
      </c>
      <c r="G588" t="s">
        <v>1678</v>
      </c>
      <c r="H588" t="str" cm="1">
        <f t="array" ref="H588">IF(AND(G588="",
      C588="Receipt"),
      _xlfn.XLOOKUP(1,
      (purchase_order_lines_coldchain!A588:A1586 = F588) *
      (purchase_order_lines_coldchain!G588:G1586 = E588) *
      (purchase_order_lines_coldchain!D588:D1586 = D588),
      purchase_order_lines_coldchain!B$2:B$1000,
      _xlfn.XLOOKUP(F588,purchase_order_lines_coldchain!A$2:A1586,
      purchase_order_lines_coldchain!B$2:B1586)),
      "")</f>
        <v/>
      </c>
      <c r="I588" t="str">
        <f t="shared" si="9"/>
        <v/>
      </c>
      <c r="K588" s="11">
        <v>2</v>
      </c>
      <c r="L588" s="11">
        <v>-2</v>
      </c>
      <c r="M588" s="14">
        <v>15.46</v>
      </c>
      <c r="N588" s="14">
        <v>-30.92</v>
      </c>
      <c r="O588">
        <v>3</v>
      </c>
      <c r="P588" t="s">
        <v>3289</v>
      </c>
    </row>
    <row r="589" spans="1:16" x14ac:dyDescent="0.25">
      <c r="A589" t="s">
        <v>2744</v>
      </c>
      <c r="B589" s="1">
        <v>45726.916666666664</v>
      </c>
      <c r="C589" t="s">
        <v>3287</v>
      </c>
      <c r="D589" t="s">
        <v>968</v>
      </c>
      <c r="E589" t="s">
        <v>687</v>
      </c>
      <c r="G589" t="s">
        <v>2745</v>
      </c>
      <c r="H589" t="str" cm="1">
        <f t="array" ref="H589">IF(AND(G589="",
      C589="Receipt"),
      _xlfn.XLOOKUP(1,
      (purchase_order_lines_coldchain!A589:A1587 = F589) *
      (purchase_order_lines_coldchain!G589:G1587 = E589) *
      (purchase_order_lines_coldchain!D589:D1587 = D589),
      purchase_order_lines_coldchain!B$2:B$1000,
      _xlfn.XLOOKUP(F589,purchase_order_lines_coldchain!A$2:A1587,
      purchase_order_lines_coldchain!B$2:B1587)),
      "")</f>
        <v/>
      </c>
      <c r="I589" t="str">
        <f t="shared" si="9"/>
        <v>ADJ-74395</v>
      </c>
      <c r="K589" s="11">
        <v>3</v>
      </c>
      <c r="L589" s="11">
        <v>-3</v>
      </c>
      <c r="M589" s="14">
        <v>15.97</v>
      </c>
      <c r="N589" s="14">
        <v>-47.91</v>
      </c>
      <c r="O589">
        <v>3</v>
      </c>
      <c r="P589" t="s">
        <v>3290</v>
      </c>
    </row>
    <row r="590" spans="1:16" x14ac:dyDescent="0.25">
      <c r="A590" t="s">
        <v>2746</v>
      </c>
      <c r="B590" s="1">
        <v>45712.458333333336</v>
      </c>
      <c r="C590" t="s">
        <v>3287</v>
      </c>
      <c r="D590" t="s">
        <v>972</v>
      </c>
      <c r="E590" t="s">
        <v>440</v>
      </c>
      <c r="G590" t="s">
        <v>2747</v>
      </c>
      <c r="H590" t="str" cm="1">
        <f t="array" ref="H590">IF(AND(G590="",
      C590="Receipt"),
      _xlfn.XLOOKUP(1,
      (purchase_order_lines_coldchain!A590:A1588 = F590) *
      (purchase_order_lines_coldchain!G590:G1588 = E590) *
      (purchase_order_lines_coldchain!D590:D1588 = D590),
      purchase_order_lines_coldchain!B$2:B$1000,
      _xlfn.XLOOKUP(F590,purchase_order_lines_coldchain!A$2:A1588,
      purchase_order_lines_coldchain!B$2:B1588)),
      "")</f>
        <v/>
      </c>
      <c r="I590" t="str">
        <f t="shared" si="9"/>
        <v>ADJ-31351</v>
      </c>
      <c r="K590" s="11">
        <v>1</v>
      </c>
      <c r="L590" s="11">
        <v>-1</v>
      </c>
      <c r="M590" s="14">
        <v>6.07</v>
      </c>
      <c r="N590" s="14">
        <v>-6.07</v>
      </c>
      <c r="O590">
        <v>1.9</v>
      </c>
      <c r="P590" t="s">
        <v>3290</v>
      </c>
    </row>
    <row r="591" spans="1:16" x14ac:dyDescent="0.25">
      <c r="A591" t="s">
        <v>2748</v>
      </c>
      <c r="B591" s="1">
        <v>45718.75</v>
      </c>
      <c r="C591" t="s">
        <v>3287</v>
      </c>
      <c r="D591" t="s">
        <v>976</v>
      </c>
      <c r="E591" t="s">
        <v>609</v>
      </c>
      <c r="G591" t="s">
        <v>2749</v>
      </c>
      <c r="H591" t="str" cm="1">
        <f t="array" ref="H591">IF(AND(G591="",
      C591="Receipt"),
      _xlfn.XLOOKUP(1,
      (purchase_order_lines_coldchain!A591:A1589 = F591) *
      (purchase_order_lines_coldchain!G591:G1589 = E591) *
      (purchase_order_lines_coldchain!D591:D1589 = D591),
      purchase_order_lines_coldchain!B$2:B$1000,
      _xlfn.XLOOKUP(F591,purchase_order_lines_coldchain!A$2:A1589,
      purchase_order_lines_coldchain!B$2:B1589)),
      "")</f>
        <v/>
      </c>
      <c r="I591" t="str">
        <f t="shared" si="9"/>
        <v>ADJ-35949</v>
      </c>
      <c r="K591" s="11">
        <v>1</v>
      </c>
      <c r="L591" s="11">
        <v>-1</v>
      </c>
      <c r="M591" s="14">
        <v>2.68</v>
      </c>
      <c r="N591" s="14">
        <v>-2.68</v>
      </c>
      <c r="O591">
        <v>3.9</v>
      </c>
      <c r="P591" t="s">
        <v>3289</v>
      </c>
    </row>
    <row r="592" spans="1:16" x14ac:dyDescent="0.25">
      <c r="A592" t="s">
        <v>2750</v>
      </c>
      <c r="B592" s="1">
        <v>45761.75</v>
      </c>
      <c r="C592" t="s">
        <v>3287</v>
      </c>
      <c r="D592" t="s">
        <v>987</v>
      </c>
      <c r="E592" t="s">
        <v>449</v>
      </c>
      <c r="G592" t="s">
        <v>2751</v>
      </c>
      <c r="H592" t="str" cm="1">
        <f t="array" ref="H592">IF(AND(G592="",
      C592="Receipt"),
      _xlfn.XLOOKUP(1,
      (purchase_order_lines_coldchain!A592:A1590 = F592) *
      (purchase_order_lines_coldchain!G592:G1590 = E592) *
      (purchase_order_lines_coldchain!D592:D1590 = D592),
      purchase_order_lines_coldchain!B$2:B$1000,
      _xlfn.XLOOKUP(F592,purchase_order_lines_coldchain!A$2:A1590,
      purchase_order_lines_coldchain!B$2:B1590)),
      "")</f>
        <v/>
      </c>
      <c r="I592" t="str">
        <f t="shared" si="9"/>
        <v>ADJ-87934</v>
      </c>
      <c r="K592" s="11">
        <v>3</v>
      </c>
      <c r="L592" s="11">
        <v>-3</v>
      </c>
      <c r="M592" s="14">
        <v>15.08</v>
      </c>
      <c r="N592" s="14">
        <v>-45.24</v>
      </c>
      <c r="O592">
        <v>4.5</v>
      </c>
      <c r="P592" t="s">
        <v>3288</v>
      </c>
    </row>
    <row r="593" spans="1:16" x14ac:dyDescent="0.25">
      <c r="A593" t="s">
        <v>2752</v>
      </c>
      <c r="B593" s="1">
        <v>45739.625</v>
      </c>
      <c r="C593" t="s">
        <v>3287</v>
      </c>
      <c r="D593" t="s">
        <v>987</v>
      </c>
      <c r="E593" t="s">
        <v>618</v>
      </c>
      <c r="G593" t="s">
        <v>2753</v>
      </c>
      <c r="H593" t="str" cm="1">
        <f t="array" ref="H593">IF(AND(G593="",
      C593="Receipt"),
      _xlfn.XLOOKUP(1,
      (purchase_order_lines_coldchain!A593:A1591 = F593) *
      (purchase_order_lines_coldchain!G593:G1591 = E593) *
      (purchase_order_lines_coldchain!D593:D1591 = D593),
      purchase_order_lines_coldchain!B$2:B$1000,
      _xlfn.XLOOKUP(F593,purchase_order_lines_coldchain!A$2:A1591,
      purchase_order_lines_coldchain!B$2:B1591)),
      "")</f>
        <v/>
      </c>
      <c r="I593" t="str">
        <f t="shared" si="9"/>
        <v>ADJ-44842</v>
      </c>
      <c r="K593" s="11">
        <v>2</v>
      </c>
      <c r="L593" s="11">
        <v>2</v>
      </c>
      <c r="M593" s="14">
        <v>10.01</v>
      </c>
      <c r="N593" s="14">
        <v>20.02</v>
      </c>
      <c r="O593">
        <v>8.9</v>
      </c>
      <c r="P593" t="s">
        <v>3288</v>
      </c>
    </row>
    <row r="594" spans="1:16" x14ac:dyDescent="0.25">
      <c r="A594" t="s">
        <v>2754</v>
      </c>
      <c r="B594" s="1">
        <v>45713.375</v>
      </c>
      <c r="C594" t="s">
        <v>3287</v>
      </c>
      <c r="D594" t="s">
        <v>999</v>
      </c>
      <c r="E594" t="s">
        <v>496</v>
      </c>
      <c r="G594" t="s">
        <v>2755</v>
      </c>
      <c r="H594" t="str" cm="1">
        <f t="array" ref="H594">IF(AND(G594="",
      C594="Receipt"),
      _xlfn.XLOOKUP(1,
      (purchase_order_lines_coldchain!A594:A1592 = F594) *
      (purchase_order_lines_coldchain!G594:G1592 = E594) *
      (purchase_order_lines_coldchain!D594:D1592 = D594),
      purchase_order_lines_coldchain!B$2:B$1000,
      _xlfn.XLOOKUP(F594,purchase_order_lines_coldchain!A$2:A1592,
      purchase_order_lines_coldchain!B$2:B1592)),
      "")</f>
        <v/>
      </c>
      <c r="I594" t="str">
        <f t="shared" si="9"/>
        <v>ADJ-29576</v>
      </c>
      <c r="K594" s="11">
        <v>3</v>
      </c>
      <c r="L594" s="11">
        <v>3</v>
      </c>
      <c r="M594" s="14">
        <v>7.65</v>
      </c>
      <c r="N594" s="14">
        <v>22.95</v>
      </c>
      <c r="O594">
        <v>2.5</v>
      </c>
      <c r="P594" t="s">
        <v>3289</v>
      </c>
    </row>
    <row r="595" spans="1:16" x14ac:dyDescent="0.25">
      <c r="A595" t="s">
        <v>2756</v>
      </c>
      <c r="B595" s="1">
        <v>45723.541666666664</v>
      </c>
      <c r="C595" t="s">
        <v>3287</v>
      </c>
      <c r="D595" t="s">
        <v>968</v>
      </c>
      <c r="E595" t="s">
        <v>660</v>
      </c>
      <c r="G595" t="s">
        <v>2757</v>
      </c>
      <c r="H595" t="str" cm="1">
        <f t="array" ref="H595">IF(AND(G595="",
      C595="Receipt"),
      _xlfn.XLOOKUP(1,
      (purchase_order_lines_coldchain!A595:A1593 = F595) *
      (purchase_order_lines_coldchain!G595:G1593 = E595) *
      (purchase_order_lines_coldchain!D595:D1593 = D595),
      purchase_order_lines_coldchain!B$2:B$1000,
      _xlfn.XLOOKUP(F595,purchase_order_lines_coldchain!A$2:A1593,
      purchase_order_lines_coldchain!B$2:B1593)),
      "")</f>
        <v/>
      </c>
      <c r="I595" t="str">
        <f t="shared" si="9"/>
        <v>ADJ-86035</v>
      </c>
      <c r="K595" s="11">
        <v>1</v>
      </c>
      <c r="L595" s="11">
        <v>-1</v>
      </c>
      <c r="M595" s="14">
        <v>13.56</v>
      </c>
      <c r="N595" s="14">
        <v>-13.56</v>
      </c>
      <c r="O595">
        <v>5.8</v>
      </c>
      <c r="P595" t="s">
        <v>3290</v>
      </c>
    </row>
    <row r="596" spans="1:16" x14ac:dyDescent="0.25">
      <c r="A596" t="s">
        <v>2758</v>
      </c>
      <c r="B596" s="1">
        <v>45738.083333333336</v>
      </c>
      <c r="C596" t="s">
        <v>3287</v>
      </c>
      <c r="D596" t="s">
        <v>959</v>
      </c>
      <c r="E596" t="s">
        <v>648</v>
      </c>
      <c r="G596" t="s">
        <v>2759</v>
      </c>
      <c r="H596" t="str" cm="1">
        <f t="array" ref="H596">IF(AND(G596="",
      C596="Receipt"),
      _xlfn.XLOOKUP(1,
      (purchase_order_lines_coldchain!A596:A1594 = F596) *
      (purchase_order_lines_coldchain!G596:G1594 = E596) *
      (purchase_order_lines_coldchain!D596:D1594 = D596),
      purchase_order_lines_coldchain!B$2:B$1000,
      _xlfn.XLOOKUP(F596,purchase_order_lines_coldchain!A$2:A1594,
      purchase_order_lines_coldchain!B$2:B1594)),
      "")</f>
        <v/>
      </c>
      <c r="I596" t="str">
        <f t="shared" si="9"/>
        <v>ADJ-30908</v>
      </c>
      <c r="K596" s="11">
        <v>2</v>
      </c>
      <c r="L596" s="11">
        <v>-2</v>
      </c>
      <c r="M596" s="14">
        <v>9.6999999999999993</v>
      </c>
      <c r="N596" s="14">
        <v>-19.399999999999999</v>
      </c>
      <c r="O596">
        <v>2</v>
      </c>
      <c r="P596" t="s">
        <v>3288</v>
      </c>
    </row>
    <row r="597" spans="1:16" x14ac:dyDescent="0.25">
      <c r="A597" t="s">
        <v>2760</v>
      </c>
      <c r="B597" s="1">
        <v>45720.125</v>
      </c>
      <c r="C597" t="s">
        <v>3287</v>
      </c>
      <c r="D597" t="s">
        <v>999</v>
      </c>
      <c r="E597" t="s">
        <v>551</v>
      </c>
      <c r="G597" t="s">
        <v>2761</v>
      </c>
      <c r="H597" t="str" cm="1">
        <f t="array" ref="H597">IF(AND(G597="",
      C597="Receipt"),
      _xlfn.XLOOKUP(1,
      (purchase_order_lines_coldchain!A597:A1595 = F597) *
      (purchase_order_lines_coldchain!G597:G1595 = E597) *
      (purchase_order_lines_coldchain!D597:D1595 = D597),
      purchase_order_lines_coldchain!B$2:B$1000,
      _xlfn.XLOOKUP(F597,purchase_order_lines_coldchain!A$2:A1595,
      purchase_order_lines_coldchain!B$2:B1595)),
      "")</f>
        <v/>
      </c>
      <c r="I597" t="str">
        <f t="shared" si="9"/>
        <v>ADJ-70258</v>
      </c>
      <c r="K597" s="11">
        <v>2</v>
      </c>
      <c r="L597" s="11">
        <v>-2</v>
      </c>
      <c r="M597" s="14">
        <v>17.78</v>
      </c>
      <c r="N597" s="14">
        <v>-35.56</v>
      </c>
      <c r="O597">
        <v>3.6</v>
      </c>
      <c r="P597" t="s">
        <v>3290</v>
      </c>
    </row>
    <row r="598" spans="1:16" x14ac:dyDescent="0.25">
      <c r="A598" t="s">
        <v>2762</v>
      </c>
      <c r="B598" s="1">
        <v>45776.333333333336</v>
      </c>
      <c r="C598" t="s">
        <v>3287</v>
      </c>
      <c r="D598" t="s">
        <v>964</v>
      </c>
      <c r="E598" t="s">
        <v>681</v>
      </c>
      <c r="G598" t="s">
        <v>2763</v>
      </c>
      <c r="H598" t="str" cm="1">
        <f t="array" ref="H598">IF(AND(G598="",
      C598="Receipt"),
      _xlfn.XLOOKUP(1,
      (purchase_order_lines_coldchain!A598:A1596 = F598) *
      (purchase_order_lines_coldchain!G598:G1596 = E598) *
      (purchase_order_lines_coldchain!D598:D1596 = D598),
      purchase_order_lines_coldchain!B$2:B$1000,
      _xlfn.XLOOKUP(F598,purchase_order_lines_coldchain!A$2:A1596,
      purchase_order_lines_coldchain!B$2:B1596)),
      "")</f>
        <v/>
      </c>
      <c r="I598" t="str">
        <f t="shared" si="9"/>
        <v>ADJ-68133</v>
      </c>
      <c r="K598" s="11">
        <v>3</v>
      </c>
      <c r="L598" s="11">
        <v>-3</v>
      </c>
      <c r="M598" s="14">
        <v>4.38</v>
      </c>
      <c r="N598" s="14">
        <v>-13.14</v>
      </c>
      <c r="O598">
        <v>4.8</v>
      </c>
      <c r="P598" t="s">
        <v>3288</v>
      </c>
    </row>
    <row r="599" spans="1:16" x14ac:dyDescent="0.25">
      <c r="A599" t="s">
        <v>2764</v>
      </c>
      <c r="B599" s="1">
        <v>45712</v>
      </c>
      <c r="C599" t="s">
        <v>3287</v>
      </c>
      <c r="D599" t="s">
        <v>980</v>
      </c>
      <c r="E599" t="s">
        <v>900</v>
      </c>
      <c r="G599" t="s">
        <v>2765</v>
      </c>
      <c r="H599" t="str" cm="1">
        <f t="array" ref="H599">IF(AND(G599="",
      C599="Receipt"),
      _xlfn.XLOOKUP(1,
      (purchase_order_lines_coldchain!A599:A1597 = F599) *
      (purchase_order_lines_coldchain!G599:G1597 = E599) *
      (purchase_order_lines_coldchain!D599:D1597 = D599),
      purchase_order_lines_coldchain!B$2:B$1000,
      _xlfn.XLOOKUP(F599,purchase_order_lines_coldchain!A$2:A1597,
      purchase_order_lines_coldchain!B$2:B1597)),
      "")</f>
        <v/>
      </c>
      <c r="I599" t="str">
        <f t="shared" si="9"/>
        <v>ADJ-87784</v>
      </c>
      <c r="K599" s="11">
        <v>3</v>
      </c>
      <c r="L599" s="11">
        <v>3</v>
      </c>
      <c r="M599" s="14">
        <v>16.18</v>
      </c>
      <c r="N599" s="14">
        <v>48.54</v>
      </c>
      <c r="O599">
        <v>4.4000000000000004</v>
      </c>
      <c r="P599" t="s">
        <v>3288</v>
      </c>
    </row>
    <row r="600" spans="1:16" x14ac:dyDescent="0.25">
      <c r="A600" t="s">
        <v>2766</v>
      </c>
      <c r="B600" s="1">
        <v>45752.166666666664</v>
      </c>
      <c r="C600" t="s">
        <v>3287</v>
      </c>
      <c r="D600" t="s">
        <v>959</v>
      </c>
      <c r="E600" t="s">
        <v>648</v>
      </c>
      <c r="G600" t="s">
        <v>2767</v>
      </c>
      <c r="H600" t="str" cm="1">
        <f t="array" ref="H600">IF(AND(G600="",
      C600="Receipt"),
      _xlfn.XLOOKUP(1,
      (purchase_order_lines_coldchain!A600:A1598 = F600) *
      (purchase_order_lines_coldchain!G600:G1598 = E600) *
      (purchase_order_lines_coldchain!D600:D1598 = D600),
      purchase_order_lines_coldchain!B$2:B$1000,
      _xlfn.XLOOKUP(F600,purchase_order_lines_coldchain!A$2:A1598,
      purchase_order_lines_coldchain!B$2:B1598)),
      "")</f>
        <v/>
      </c>
      <c r="I600" t="str">
        <f t="shared" si="9"/>
        <v>ADJ-35322</v>
      </c>
      <c r="K600" s="11">
        <v>2</v>
      </c>
      <c r="L600" s="11">
        <v>-2</v>
      </c>
      <c r="M600" s="14">
        <v>9.6999999999999993</v>
      </c>
      <c r="N600" s="14">
        <v>-19.399999999999999</v>
      </c>
      <c r="O600">
        <v>3.5</v>
      </c>
      <c r="P600" t="s">
        <v>3288</v>
      </c>
    </row>
    <row r="601" spans="1:16" x14ac:dyDescent="0.25">
      <c r="A601" t="s">
        <v>2768</v>
      </c>
      <c r="B601" s="1">
        <v>45729.708333333336</v>
      </c>
      <c r="C601" t="s">
        <v>3287</v>
      </c>
      <c r="D601" t="s">
        <v>972</v>
      </c>
      <c r="E601" t="s">
        <v>539</v>
      </c>
      <c r="G601" t="s">
        <v>2769</v>
      </c>
      <c r="H601" t="str" cm="1">
        <f t="array" ref="H601">IF(AND(G601="",
      C601="Receipt"),
      _xlfn.XLOOKUP(1,
      (purchase_order_lines_coldchain!A601:A1599 = F601) *
      (purchase_order_lines_coldchain!G601:G1599 = E601) *
      (purchase_order_lines_coldchain!D601:D1599 = D601),
      purchase_order_lines_coldchain!B$2:B$1000,
      _xlfn.XLOOKUP(F601,purchase_order_lines_coldchain!A$2:A1599,
      purchase_order_lines_coldchain!B$2:B1599)),
      "")</f>
        <v/>
      </c>
      <c r="I601" t="str">
        <f t="shared" si="9"/>
        <v>ADJ-53981</v>
      </c>
      <c r="K601" s="11">
        <v>3</v>
      </c>
      <c r="L601" s="11">
        <v>3</v>
      </c>
      <c r="M601" s="14">
        <v>6.71</v>
      </c>
      <c r="N601" s="14">
        <v>20.13</v>
      </c>
      <c r="O601">
        <v>6.9</v>
      </c>
      <c r="P601" t="s">
        <v>3289</v>
      </c>
    </row>
    <row r="602" spans="1:16" x14ac:dyDescent="0.25">
      <c r="A602" t="s">
        <v>2770</v>
      </c>
      <c r="B602" s="1">
        <v>45772.806250000001</v>
      </c>
      <c r="C602" t="s">
        <v>3291</v>
      </c>
      <c r="D602" t="s">
        <v>996</v>
      </c>
      <c r="E602" t="s">
        <v>858</v>
      </c>
      <c r="G602" t="s">
        <v>2771</v>
      </c>
      <c r="H602" t="str" cm="1">
        <f t="array" ref="H602">IF(AND(G602="",
      C602="Receipt"),
      _xlfn.XLOOKUP(1,
      (purchase_order_lines_coldchain!A602:A1600 = F602) *
      (purchase_order_lines_coldchain!G602:G1600 = E602) *
      (purchase_order_lines_coldchain!D602:D1600 = D602),
      purchase_order_lines_coldchain!B$2:B$1000,
      _xlfn.XLOOKUP(F602,purchase_order_lines_coldchain!A$2:A1600,
      purchase_order_lines_coldchain!B$2:B1600)),
      "")</f>
        <v/>
      </c>
      <c r="I602" t="str">
        <f t="shared" si="9"/>
        <v>XFER-000601</v>
      </c>
      <c r="K602" s="11">
        <v>1</v>
      </c>
      <c r="L602" s="11">
        <v>-1</v>
      </c>
      <c r="M602" s="14">
        <v>5.99</v>
      </c>
      <c r="N602" s="14">
        <v>-5.99</v>
      </c>
      <c r="O602">
        <v>1.8</v>
      </c>
      <c r="P602" t="s">
        <v>3292</v>
      </c>
    </row>
    <row r="603" spans="1:16" x14ac:dyDescent="0.25">
      <c r="A603" t="s">
        <v>2772</v>
      </c>
      <c r="B603" s="1">
        <v>45772.813194444447</v>
      </c>
      <c r="C603" t="s">
        <v>3293</v>
      </c>
      <c r="D603" t="s">
        <v>976</v>
      </c>
      <c r="E603" t="s">
        <v>858</v>
      </c>
      <c r="G603" t="s">
        <v>2771</v>
      </c>
      <c r="H603" t="str" cm="1">
        <f t="array" ref="H603">IF(AND(G603="",
      C603="Receipt"),
      _xlfn.XLOOKUP(1,
      (purchase_order_lines_coldchain!A603:A1601 = F603) *
      (purchase_order_lines_coldchain!G603:G1601 = E603) *
      (purchase_order_lines_coldchain!D603:D1601 = D603),
      purchase_order_lines_coldchain!B$2:B$1000,
      _xlfn.XLOOKUP(F603,purchase_order_lines_coldchain!A$2:A1601,
      purchase_order_lines_coldchain!B$2:B1601)),
      "")</f>
        <v/>
      </c>
      <c r="I603" t="str">
        <f t="shared" si="9"/>
        <v>XFER-000601</v>
      </c>
      <c r="K603" s="11">
        <v>1</v>
      </c>
      <c r="L603" s="11">
        <v>1</v>
      </c>
      <c r="M603" s="14">
        <v>5.99</v>
      </c>
      <c r="N603" s="14">
        <v>5.99</v>
      </c>
      <c r="O603">
        <v>-1.2</v>
      </c>
      <c r="P603" t="s">
        <v>3292</v>
      </c>
    </row>
    <row r="604" spans="1:16" x14ac:dyDescent="0.25">
      <c r="A604" t="s">
        <v>2773</v>
      </c>
      <c r="B604" s="1">
        <v>45760.85</v>
      </c>
      <c r="C604" t="s">
        <v>3291</v>
      </c>
      <c r="D604" t="s">
        <v>987</v>
      </c>
      <c r="E604" t="s">
        <v>520</v>
      </c>
      <c r="G604" t="s">
        <v>2774</v>
      </c>
      <c r="H604" t="str" cm="1">
        <f t="array" ref="H604">IF(AND(G604="",
      C604="Receipt"),
      _xlfn.XLOOKUP(1,
      (purchase_order_lines_coldchain!A604:A1602 = F604) *
      (purchase_order_lines_coldchain!G604:G1602 = E604) *
      (purchase_order_lines_coldchain!D604:D1602 = D604),
      purchase_order_lines_coldchain!B$2:B$1000,
      _xlfn.XLOOKUP(F604,purchase_order_lines_coldchain!A$2:A1602,
      purchase_order_lines_coldchain!B$2:B1602)),
      "")</f>
        <v/>
      </c>
      <c r="I604" t="str">
        <f t="shared" si="9"/>
        <v>XFER-000603</v>
      </c>
      <c r="K604" s="11">
        <v>4</v>
      </c>
      <c r="L604" s="11">
        <v>-4</v>
      </c>
      <c r="M604" s="14">
        <v>4.59</v>
      </c>
      <c r="N604" s="14">
        <v>-18.36</v>
      </c>
      <c r="O604">
        <v>1.1000000000000001</v>
      </c>
      <c r="P604" t="s">
        <v>3292</v>
      </c>
    </row>
    <row r="605" spans="1:16" x14ac:dyDescent="0.25">
      <c r="A605" t="s">
        <v>2775</v>
      </c>
      <c r="B605" s="1">
        <v>45760.856944444444</v>
      </c>
      <c r="C605" t="s">
        <v>3293</v>
      </c>
      <c r="D605" t="s">
        <v>990</v>
      </c>
      <c r="E605" t="s">
        <v>520</v>
      </c>
      <c r="G605" t="s">
        <v>2774</v>
      </c>
      <c r="H605" t="str" cm="1">
        <f t="array" ref="H605">IF(AND(G605="",
      C605="Receipt"),
      _xlfn.XLOOKUP(1,
      (purchase_order_lines_coldchain!A605:A1603 = F605) *
      (purchase_order_lines_coldchain!G605:G1603 = E605) *
      (purchase_order_lines_coldchain!D605:D1603 = D605),
      purchase_order_lines_coldchain!B$2:B$1000,
      _xlfn.XLOOKUP(F605,purchase_order_lines_coldchain!A$2:A1603,
      purchase_order_lines_coldchain!B$2:B1603)),
      "")</f>
        <v/>
      </c>
      <c r="I605" t="str">
        <f t="shared" si="9"/>
        <v>XFER-000603</v>
      </c>
      <c r="K605" s="11">
        <v>4</v>
      </c>
      <c r="L605" s="11">
        <v>4</v>
      </c>
      <c r="M605" s="14">
        <v>4.59</v>
      </c>
      <c r="N605" s="14">
        <v>18.36</v>
      </c>
      <c r="O605">
        <v>4.5</v>
      </c>
      <c r="P605" t="s">
        <v>3292</v>
      </c>
    </row>
    <row r="606" spans="1:16" x14ac:dyDescent="0.25">
      <c r="A606" t="s">
        <v>2776</v>
      </c>
      <c r="B606" s="1">
        <v>45750.412499999999</v>
      </c>
      <c r="C606" t="s">
        <v>3291</v>
      </c>
      <c r="D606" t="s">
        <v>976</v>
      </c>
      <c r="E606" t="s">
        <v>813</v>
      </c>
      <c r="G606" t="s">
        <v>2777</v>
      </c>
      <c r="H606" t="str" cm="1">
        <f t="array" ref="H606">IF(AND(G606="",
      C606="Receipt"),
      _xlfn.XLOOKUP(1,
      (purchase_order_lines_coldchain!A606:A1604 = F606) *
      (purchase_order_lines_coldchain!G606:G1604 = E606) *
      (purchase_order_lines_coldchain!D606:D1604 = D606),
      purchase_order_lines_coldchain!B$2:B$1000,
      _xlfn.XLOOKUP(F606,purchase_order_lines_coldchain!A$2:A1604,
      purchase_order_lines_coldchain!B$2:B1604)),
      "")</f>
        <v/>
      </c>
      <c r="I606" t="str">
        <f t="shared" si="9"/>
        <v>XFER-000605</v>
      </c>
      <c r="K606" s="11">
        <v>5</v>
      </c>
      <c r="L606" s="11">
        <v>-5</v>
      </c>
      <c r="M606" s="14">
        <v>5.94</v>
      </c>
      <c r="N606" s="14">
        <v>-29.7</v>
      </c>
      <c r="O606">
        <v>2.7</v>
      </c>
      <c r="P606" t="s">
        <v>3292</v>
      </c>
    </row>
    <row r="607" spans="1:16" x14ac:dyDescent="0.25">
      <c r="A607" t="s">
        <v>2778</v>
      </c>
      <c r="B607" s="1">
        <v>45750.419444444444</v>
      </c>
      <c r="C607" t="s">
        <v>3293</v>
      </c>
      <c r="D607" t="s">
        <v>959</v>
      </c>
      <c r="E607" t="s">
        <v>813</v>
      </c>
      <c r="G607" t="s">
        <v>2777</v>
      </c>
      <c r="H607" t="str" cm="1">
        <f t="array" ref="H607">IF(AND(G607="",
      C607="Receipt"),
      _xlfn.XLOOKUP(1,
      (purchase_order_lines_coldchain!A607:A1605 = F607) *
      (purchase_order_lines_coldchain!G607:G1605 = E607) *
      (purchase_order_lines_coldchain!D607:D1605 = D607),
      purchase_order_lines_coldchain!B$2:B$1000,
      _xlfn.XLOOKUP(F607,purchase_order_lines_coldchain!A$2:A1605,
      purchase_order_lines_coldchain!B$2:B1605)),
      "")</f>
        <v/>
      </c>
      <c r="I607" t="str">
        <f t="shared" si="9"/>
        <v>XFER-000605</v>
      </c>
      <c r="K607" s="11">
        <v>5</v>
      </c>
      <c r="L607" s="11">
        <v>5</v>
      </c>
      <c r="M607" s="14">
        <v>5.94</v>
      </c>
      <c r="N607" s="14">
        <v>29.7</v>
      </c>
      <c r="O607">
        <v>2.7</v>
      </c>
      <c r="P607" t="s">
        <v>3292</v>
      </c>
    </row>
    <row r="608" spans="1:16" x14ac:dyDescent="0.25">
      <c r="A608" t="s">
        <v>2779</v>
      </c>
      <c r="B608" s="1">
        <v>45775.320138888892</v>
      </c>
      <c r="C608" t="s">
        <v>3291</v>
      </c>
      <c r="D608" t="s">
        <v>959</v>
      </c>
      <c r="E608" t="s">
        <v>708</v>
      </c>
      <c r="G608" t="s">
        <v>2780</v>
      </c>
      <c r="H608" t="str" cm="1">
        <f t="array" ref="H608">IF(AND(G608="",
      C608="Receipt"),
      _xlfn.XLOOKUP(1,
      (purchase_order_lines_coldchain!A608:A1606 = F608) *
      (purchase_order_lines_coldchain!G608:G1606 = E608) *
      (purchase_order_lines_coldchain!D608:D1606 = D608),
      purchase_order_lines_coldchain!B$2:B$1000,
      _xlfn.XLOOKUP(F608,purchase_order_lines_coldchain!A$2:A1606,
      purchase_order_lines_coldchain!B$2:B1606)),
      "")</f>
        <v/>
      </c>
      <c r="I608" t="str">
        <f t="shared" si="9"/>
        <v>XFER-000607</v>
      </c>
      <c r="K608" s="11">
        <v>2</v>
      </c>
      <c r="L608" s="11">
        <v>-2</v>
      </c>
      <c r="M608" s="14">
        <v>10.130000000000001</v>
      </c>
      <c r="N608" s="14">
        <v>-20.260000000000002</v>
      </c>
      <c r="O608">
        <v>6.2</v>
      </c>
      <c r="P608" t="s">
        <v>3292</v>
      </c>
    </row>
    <row r="609" spans="1:16" x14ac:dyDescent="0.25">
      <c r="A609" t="s">
        <v>2781</v>
      </c>
      <c r="B609" s="1">
        <v>45775.32708333333</v>
      </c>
      <c r="C609" t="s">
        <v>3293</v>
      </c>
      <c r="D609" t="s">
        <v>980</v>
      </c>
      <c r="E609" t="s">
        <v>708</v>
      </c>
      <c r="G609" t="s">
        <v>2780</v>
      </c>
      <c r="H609" t="str" cm="1">
        <f t="array" ref="H609">IF(AND(G609="",
      C609="Receipt"),
      _xlfn.XLOOKUP(1,
      (purchase_order_lines_coldchain!A609:A1607 = F609) *
      (purchase_order_lines_coldchain!G609:G1607 = E609) *
      (purchase_order_lines_coldchain!D609:D1607 = D609),
      purchase_order_lines_coldchain!B$2:B$1000,
      _xlfn.XLOOKUP(F609,purchase_order_lines_coldchain!A$2:A1607,
      purchase_order_lines_coldchain!B$2:B1607)),
      "")</f>
        <v/>
      </c>
      <c r="I609" t="str">
        <f t="shared" si="9"/>
        <v>XFER-000607</v>
      </c>
      <c r="K609" s="11">
        <v>2</v>
      </c>
      <c r="L609" s="11">
        <v>2</v>
      </c>
      <c r="M609" s="14">
        <v>10.130000000000001</v>
      </c>
      <c r="N609" s="14">
        <v>20.260000000000002</v>
      </c>
      <c r="O609">
        <v>2.1</v>
      </c>
      <c r="P609" t="s">
        <v>3292</v>
      </c>
    </row>
    <row r="610" spans="1:16" x14ac:dyDescent="0.25">
      <c r="A610" t="s">
        <v>2782</v>
      </c>
      <c r="B610" s="1">
        <v>45769.031944444447</v>
      </c>
      <c r="C610" t="s">
        <v>3291</v>
      </c>
      <c r="D610" t="s">
        <v>999</v>
      </c>
      <c r="E610" t="s">
        <v>401</v>
      </c>
      <c r="G610" t="s">
        <v>2783</v>
      </c>
      <c r="H610" t="str" cm="1">
        <f t="array" ref="H610">IF(AND(G610="",
      C610="Receipt"),
      _xlfn.XLOOKUP(1,
      (purchase_order_lines_coldchain!A610:A1608 = F610) *
      (purchase_order_lines_coldchain!G610:G1608 = E610) *
      (purchase_order_lines_coldchain!D610:D1608 = D610),
      purchase_order_lines_coldchain!B$2:B$1000,
      _xlfn.XLOOKUP(F610,purchase_order_lines_coldchain!A$2:A1608,
      purchase_order_lines_coldchain!B$2:B1608)),
      "")</f>
        <v/>
      </c>
      <c r="I610" t="str">
        <f t="shared" si="9"/>
        <v>XFER-000609</v>
      </c>
      <c r="K610" s="11">
        <v>1</v>
      </c>
      <c r="L610" s="11">
        <v>-1</v>
      </c>
      <c r="M610" s="14">
        <v>5.85</v>
      </c>
      <c r="N610" s="14">
        <v>-5.85</v>
      </c>
      <c r="O610">
        <v>5.9</v>
      </c>
      <c r="P610" t="s">
        <v>3292</v>
      </c>
    </row>
    <row r="611" spans="1:16" x14ac:dyDescent="0.25">
      <c r="A611" t="s">
        <v>2784</v>
      </c>
      <c r="B611" s="1">
        <v>45769.038888888892</v>
      </c>
      <c r="C611" t="s">
        <v>3293</v>
      </c>
      <c r="D611" t="s">
        <v>964</v>
      </c>
      <c r="E611" t="s">
        <v>401</v>
      </c>
      <c r="G611" t="s">
        <v>2783</v>
      </c>
      <c r="H611" t="str" cm="1">
        <f t="array" ref="H611">IF(AND(G611="",
      C611="Receipt"),
      _xlfn.XLOOKUP(1,
      (purchase_order_lines_coldchain!A611:A1609 = F611) *
      (purchase_order_lines_coldchain!G611:G1609 = E611) *
      (purchase_order_lines_coldchain!D611:D1609 = D611),
      purchase_order_lines_coldchain!B$2:B$1000,
      _xlfn.XLOOKUP(F611,purchase_order_lines_coldchain!A$2:A1609,
      purchase_order_lines_coldchain!B$2:B1609)),
      "")</f>
        <v/>
      </c>
      <c r="I611" t="str">
        <f t="shared" si="9"/>
        <v>XFER-000609</v>
      </c>
      <c r="K611" s="11">
        <v>1</v>
      </c>
      <c r="L611" s="11">
        <v>1</v>
      </c>
      <c r="M611" s="14">
        <v>5.85</v>
      </c>
      <c r="N611" s="14">
        <v>5.85</v>
      </c>
      <c r="O611">
        <v>3</v>
      </c>
      <c r="P611" t="s">
        <v>3292</v>
      </c>
    </row>
    <row r="612" spans="1:16" x14ac:dyDescent="0.25">
      <c r="A612" t="s">
        <v>2785</v>
      </c>
      <c r="B612" s="1">
        <v>45723.506944444445</v>
      </c>
      <c r="C612" t="s">
        <v>3291</v>
      </c>
      <c r="D612" t="s">
        <v>959</v>
      </c>
      <c r="E612" t="s">
        <v>530</v>
      </c>
      <c r="G612" t="s">
        <v>2786</v>
      </c>
      <c r="H612" t="str" cm="1">
        <f t="array" ref="H612">IF(AND(G612="",
      C612="Receipt"),
      _xlfn.XLOOKUP(1,
      (purchase_order_lines_coldchain!A612:A1610 = F612) *
      (purchase_order_lines_coldchain!G612:G1610 = E612) *
      (purchase_order_lines_coldchain!D612:D1610 = D612),
      purchase_order_lines_coldchain!B$2:B$1000,
      _xlfn.XLOOKUP(F612,purchase_order_lines_coldchain!A$2:A1610,
      purchase_order_lines_coldchain!B$2:B1610)),
      "")</f>
        <v/>
      </c>
      <c r="I612" t="str">
        <f t="shared" si="9"/>
        <v>XFER-000611</v>
      </c>
      <c r="K612" s="11">
        <v>7</v>
      </c>
      <c r="L612" s="11">
        <v>-7</v>
      </c>
      <c r="M612" s="14">
        <v>13.86</v>
      </c>
      <c r="N612" s="14">
        <v>-97.02</v>
      </c>
      <c r="O612">
        <v>0.6</v>
      </c>
      <c r="P612" t="s">
        <v>3292</v>
      </c>
    </row>
    <row r="613" spans="1:16" x14ac:dyDescent="0.25">
      <c r="A613" t="s">
        <v>2787</v>
      </c>
      <c r="B613" s="1">
        <v>45723.513888888891</v>
      </c>
      <c r="C613" t="s">
        <v>3293</v>
      </c>
      <c r="D613" t="s">
        <v>980</v>
      </c>
      <c r="E613" t="s">
        <v>530</v>
      </c>
      <c r="G613" t="s">
        <v>2786</v>
      </c>
      <c r="H613" t="str" cm="1">
        <f t="array" ref="H613">IF(AND(G613="",
      C613="Receipt"),
      _xlfn.XLOOKUP(1,
      (purchase_order_lines_coldchain!A613:A1611 = F613) *
      (purchase_order_lines_coldchain!G613:G1611 = E613) *
      (purchase_order_lines_coldchain!D613:D1611 = D613),
      purchase_order_lines_coldchain!B$2:B$1000,
      _xlfn.XLOOKUP(F613,purchase_order_lines_coldchain!A$2:A1611,
      purchase_order_lines_coldchain!B$2:B1611)),
      "")</f>
        <v/>
      </c>
      <c r="I613" t="str">
        <f t="shared" si="9"/>
        <v>XFER-000611</v>
      </c>
      <c r="K613" s="11">
        <v>7</v>
      </c>
      <c r="L613" s="11">
        <v>7</v>
      </c>
      <c r="M613" s="14">
        <v>13.86</v>
      </c>
      <c r="N613" s="14">
        <v>97.02</v>
      </c>
      <c r="O613">
        <v>1</v>
      </c>
      <c r="P613" t="s">
        <v>3292</v>
      </c>
    </row>
    <row r="614" spans="1:16" x14ac:dyDescent="0.25">
      <c r="A614" t="s">
        <v>2788</v>
      </c>
      <c r="B614" s="1">
        <v>45751.791666666664</v>
      </c>
      <c r="C614" t="s">
        <v>3291</v>
      </c>
      <c r="D614" t="s">
        <v>959</v>
      </c>
      <c r="E614" t="s">
        <v>708</v>
      </c>
      <c r="G614" t="s">
        <v>2789</v>
      </c>
      <c r="H614" t="str" cm="1">
        <f t="array" ref="H614">IF(AND(G614="",
      C614="Receipt"),
      _xlfn.XLOOKUP(1,
      (purchase_order_lines_coldchain!A614:A1612 = F614) *
      (purchase_order_lines_coldchain!G614:G1612 = E614) *
      (purchase_order_lines_coldchain!D614:D1612 = D614),
      purchase_order_lines_coldchain!B$2:B$1000,
      _xlfn.XLOOKUP(F614,purchase_order_lines_coldchain!A$2:A1612,
      purchase_order_lines_coldchain!B$2:B1612)),
      "")</f>
        <v/>
      </c>
      <c r="I614" t="str">
        <f t="shared" si="9"/>
        <v>XFER-000613</v>
      </c>
      <c r="K614" s="11">
        <v>5</v>
      </c>
      <c r="L614" s="11">
        <v>-5</v>
      </c>
      <c r="M614" s="14">
        <v>10.130000000000001</v>
      </c>
      <c r="N614" s="14">
        <v>-50.65</v>
      </c>
      <c r="O614">
        <v>6.9</v>
      </c>
      <c r="P614" t="s">
        <v>3292</v>
      </c>
    </row>
    <row r="615" spans="1:16" x14ac:dyDescent="0.25">
      <c r="A615" t="s">
        <v>2790</v>
      </c>
      <c r="B615" s="1">
        <v>45751.798611111109</v>
      </c>
      <c r="C615" t="s">
        <v>3293</v>
      </c>
      <c r="D615" t="s">
        <v>968</v>
      </c>
      <c r="E615" t="s">
        <v>708</v>
      </c>
      <c r="G615" t="s">
        <v>2789</v>
      </c>
      <c r="H615" t="str" cm="1">
        <f t="array" ref="H615">IF(AND(G615="",
      C615="Receipt"),
      _xlfn.XLOOKUP(1,
      (purchase_order_lines_coldchain!A615:A1613 = F615) *
      (purchase_order_lines_coldchain!G615:G1613 = E615) *
      (purchase_order_lines_coldchain!D615:D1613 = D615),
      purchase_order_lines_coldchain!B$2:B$1000,
      _xlfn.XLOOKUP(F615,purchase_order_lines_coldchain!A$2:A1613,
      purchase_order_lines_coldchain!B$2:B1613)),
      "")</f>
        <v/>
      </c>
      <c r="I615" t="str">
        <f t="shared" si="9"/>
        <v>XFER-000613</v>
      </c>
      <c r="K615" s="11">
        <v>5</v>
      </c>
      <c r="L615" s="11">
        <v>5</v>
      </c>
      <c r="M615" s="14">
        <v>10.130000000000001</v>
      </c>
      <c r="N615" s="14">
        <v>50.65</v>
      </c>
      <c r="O615">
        <v>5.0999999999999996</v>
      </c>
      <c r="P615" t="s">
        <v>3292</v>
      </c>
    </row>
    <row r="616" spans="1:16" x14ac:dyDescent="0.25">
      <c r="A616" t="s">
        <v>2791</v>
      </c>
      <c r="B616" s="1">
        <v>45744.972222222219</v>
      </c>
      <c r="C616" t="s">
        <v>3291</v>
      </c>
      <c r="D616" t="s">
        <v>999</v>
      </c>
      <c r="E616" t="s">
        <v>624</v>
      </c>
      <c r="G616" t="s">
        <v>2792</v>
      </c>
      <c r="H616" t="str" cm="1">
        <f t="array" ref="H616">IF(AND(G616="",
      C616="Receipt"),
      _xlfn.XLOOKUP(1,
      (purchase_order_lines_coldchain!A616:A1614 = F616) *
      (purchase_order_lines_coldchain!G616:G1614 = E616) *
      (purchase_order_lines_coldchain!D616:D1614 = D616),
      purchase_order_lines_coldchain!B$2:B$1000,
      _xlfn.XLOOKUP(F616,purchase_order_lines_coldchain!A$2:A1614,
      purchase_order_lines_coldchain!B$2:B1614)),
      "")</f>
        <v/>
      </c>
      <c r="I616" t="str">
        <f t="shared" si="9"/>
        <v>XFER-000615</v>
      </c>
      <c r="K616" s="11">
        <v>7</v>
      </c>
      <c r="L616" s="11">
        <v>-7</v>
      </c>
      <c r="M616" s="14">
        <v>3.81</v>
      </c>
      <c r="N616" s="14">
        <v>-26.67</v>
      </c>
      <c r="O616">
        <v>6.6</v>
      </c>
      <c r="P616" t="s">
        <v>3292</v>
      </c>
    </row>
    <row r="617" spans="1:16" x14ac:dyDescent="0.25">
      <c r="A617" t="s">
        <v>2793</v>
      </c>
      <c r="B617" s="1">
        <v>45744.979166666664</v>
      </c>
      <c r="C617" t="s">
        <v>3293</v>
      </c>
      <c r="D617" t="s">
        <v>987</v>
      </c>
      <c r="E617" t="s">
        <v>624</v>
      </c>
      <c r="G617" t="s">
        <v>2792</v>
      </c>
      <c r="H617" t="str" cm="1">
        <f t="array" ref="H617">IF(AND(G617="",
      C617="Receipt"),
      _xlfn.XLOOKUP(1,
      (purchase_order_lines_coldchain!A617:A1615 = F617) *
      (purchase_order_lines_coldchain!G617:G1615 = E617) *
      (purchase_order_lines_coldchain!D617:D1615 = D617),
      purchase_order_lines_coldchain!B$2:B$1000,
      _xlfn.XLOOKUP(F617,purchase_order_lines_coldchain!A$2:A1615,
      purchase_order_lines_coldchain!B$2:B1615)),
      "")</f>
        <v/>
      </c>
      <c r="I617" t="str">
        <f t="shared" si="9"/>
        <v>XFER-000615</v>
      </c>
      <c r="K617" s="11">
        <v>7</v>
      </c>
      <c r="L617" s="11">
        <v>7</v>
      </c>
      <c r="M617" s="14">
        <v>3.81</v>
      </c>
      <c r="N617" s="14">
        <v>26.67</v>
      </c>
      <c r="O617">
        <v>6</v>
      </c>
      <c r="P617" t="s">
        <v>3292</v>
      </c>
    </row>
    <row r="618" spans="1:16" x14ac:dyDescent="0.25">
      <c r="A618" t="s">
        <v>2794</v>
      </c>
      <c r="B618" s="1">
        <v>45746.01458333333</v>
      </c>
      <c r="C618" t="s">
        <v>3291</v>
      </c>
      <c r="D618" t="s">
        <v>959</v>
      </c>
      <c r="E618" t="s">
        <v>708</v>
      </c>
      <c r="G618" t="s">
        <v>2795</v>
      </c>
      <c r="H618" t="str" cm="1">
        <f t="array" ref="H618">IF(AND(G618="",
      C618="Receipt"),
      _xlfn.XLOOKUP(1,
      (purchase_order_lines_coldchain!A618:A1616 = F618) *
      (purchase_order_lines_coldchain!G618:G1616 = E618) *
      (purchase_order_lines_coldchain!D618:D1616 = D618),
      purchase_order_lines_coldchain!B$2:B$1000,
      _xlfn.XLOOKUP(F618,purchase_order_lines_coldchain!A$2:A1616,
      purchase_order_lines_coldchain!B$2:B1616)),
      "")</f>
        <v/>
      </c>
      <c r="I618" t="str">
        <f t="shared" si="9"/>
        <v>XFER-000617</v>
      </c>
      <c r="K618" s="11">
        <v>4</v>
      </c>
      <c r="L618" s="11">
        <v>-4</v>
      </c>
      <c r="M618" s="14">
        <v>10.130000000000001</v>
      </c>
      <c r="N618" s="14">
        <v>-40.520000000000003</v>
      </c>
      <c r="O618">
        <v>7.4</v>
      </c>
      <c r="P618" t="s">
        <v>3292</v>
      </c>
    </row>
    <row r="619" spans="1:16" x14ac:dyDescent="0.25">
      <c r="A619" t="s">
        <v>2796</v>
      </c>
      <c r="B619" s="1">
        <v>45746.021527777775</v>
      </c>
      <c r="C619" t="s">
        <v>3293</v>
      </c>
      <c r="D619" t="s">
        <v>972</v>
      </c>
      <c r="E619" t="s">
        <v>708</v>
      </c>
      <c r="G619" t="s">
        <v>2795</v>
      </c>
      <c r="H619" t="str" cm="1">
        <f t="array" ref="H619">IF(AND(G619="",
      C619="Receipt"),
      _xlfn.XLOOKUP(1,
      (purchase_order_lines_coldchain!A619:A1617 = F619) *
      (purchase_order_lines_coldchain!G619:G1617 = E619) *
      (purchase_order_lines_coldchain!D619:D1617 = D619),
      purchase_order_lines_coldchain!B$2:B$1000,
      _xlfn.XLOOKUP(F619,purchase_order_lines_coldchain!A$2:A1617,
      purchase_order_lines_coldchain!B$2:B1617)),
      "")</f>
        <v/>
      </c>
      <c r="I619" t="str">
        <f t="shared" si="9"/>
        <v>XFER-000617</v>
      </c>
      <c r="K619" s="11">
        <v>4</v>
      </c>
      <c r="L619" s="11">
        <v>4</v>
      </c>
      <c r="M619" s="14">
        <v>10.130000000000001</v>
      </c>
      <c r="N619" s="14">
        <v>40.520000000000003</v>
      </c>
      <c r="O619">
        <v>4.5999999999999996</v>
      </c>
      <c r="P619" t="s">
        <v>3292</v>
      </c>
    </row>
    <row r="620" spans="1:16" x14ac:dyDescent="0.25">
      <c r="A620" t="s">
        <v>2797</v>
      </c>
      <c r="B620" s="1">
        <v>45760.685416666667</v>
      </c>
      <c r="C620" t="s">
        <v>3291</v>
      </c>
      <c r="D620" t="s">
        <v>976</v>
      </c>
      <c r="E620" t="s">
        <v>579</v>
      </c>
      <c r="G620" t="s">
        <v>2798</v>
      </c>
      <c r="H620" t="str" cm="1">
        <f t="array" ref="H620">IF(AND(G620="",
      C620="Receipt"),
      _xlfn.XLOOKUP(1,
      (purchase_order_lines_coldchain!A620:A1618 = F620) *
      (purchase_order_lines_coldchain!G620:G1618 = E620) *
      (purchase_order_lines_coldchain!D620:D1618 = D620),
      purchase_order_lines_coldchain!B$2:B$1000,
      _xlfn.XLOOKUP(F620,purchase_order_lines_coldchain!A$2:A1618,
      purchase_order_lines_coldchain!B$2:B1618)),
      "")</f>
        <v/>
      </c>
      <c r="I620" t="str">
        <f t="shared" si="9"/>
        <v>XFER-000619</v>
      </c>
      <c r="K620" s="11">
        <v>3</v>
      </c>
      <c r="L620" s="11">
        <v>-3</v>
      </c>
      <c r="M620" s="14">
        <v>6.57</v>
      </c>
      <c r="N620" s="14">
        <v>-19.71</v>
      </c>
      <c r="O620">
        <v>5.2</v>
      </c>
      <c r="P620" t="s">
        <v>3292</v>
      </c>
    </row>
    <row r="621" spans="1:16" x14ac:dyDescent="0.25">
      <c r="A621" t="s">
        <v>2799</v>
      </c>
      <c r="B621" s="1">
        <v>45760.692361111112</v>
      </c>
      <c r="C621" t="s">
        <v>3293</v>
      </c>
      <c r="D621" t="s">
        <v>972</v>
      </c>
      <c r="E621" t="s">
        <v>579</v>
      </c>
      <c r="G621" t="s">
        <v>2798</v>
      </c>
      <c r="H621" t="str" cm="1">
        <f t="array" ref="H621">IF(AND(G621="",
      C621="Receipt"),
      _xlfn.XLOOKUP(1,
      (purchase_order_lines_coldchain!A621:A1619 = F621) *
      (purchase_order_lines_coldchain!G621:G1619 = E621) *
      (purchase_order_lines_coldchain!D621:D1619 = D621),
      purchase_order_lines_coldchain!B$2:B$1000,
      _xlfn.XLOOKUP(F621,purchase_order_lines_coldchain!A$2:A1619,
      purchase_order_lines_coldchain!B$2:B1619)),
      "")</f>
        <v/>
      </c>
      <c r="I621" t="str">
        <f t="shared" si="9"/>
        <v>XFER-000619</v>
      </c>
      <c r="K621" s="11">
        <v>3</v>
      </c>
      <c r="L621" s="11">
        <v>3</v>
      </c>
      <c r="M621" s="14">
        <v>6.57</v>
      </c>
      <c r="N621" s="14">
        <v>19.71</v>
      </c>
      <c r="O621">
        <v>8</v>
      </c>
      <c r="P621" t="s">
        <v>3292</v>
      </c>
    </row>
    <row r="622" spans="1:16" x14ac:dyDescent="0.25">
      <c r="A622" t="s">
        <v>2800</v>
      </c>
      <c r="B622" s="1">
        <v>45740.336111111108</v>
      </c>
      <c r="C622" t="s">
        <v>3291</v>
      </c>
      <c r="D622" t="s">
        <v>959</v>
      </c>
      <c r="E622" t="s">
        <v>810</v>
      </c>
      <c r="G622" t="s">
        <v>2801</v>
      </c>
      <c r="H622" t="str" cm="1">
        <f t="array" ref="H622">IF(AND(G622="",
      C622="Receipt"),
      _xlfn.XLOOKUP(1,
      (purchase_order_lines_coldchain!A622:A1620 = F622) *
      (purchase_order_lines_coldchain!G622:G1620 = E622) *
      (purchase_order_lines_coldchain!D622:D1620 = D622),
      purchase_order_lines_coldchain!B$2:B$1000,
      _xlfn.XLOOKUP(F622,purchase_order_lines_coldchain!A$2:A1620,
      purchase_order_lines_coldchain!B$2:B1620)),
      "")</f>
        <v/>
      </c>
      <c r="I622" t="str">
        <f t="shared" si="9"/>
        <v>XFER-000621</v>
      </c>
      <c r="K622" s="11">
        <v>7</v>
      </c>
      <c r="L622" s="11">
        <v>-7</v>
      </c>
      <c r="M622" s="14">
        <v>11.96</v>
      </c>
      <c r="N622" s="14">
        <v>-83.72</v>
      </c>
      <c r="O622">
        <v>-0.7</v>
      </c>
      <c r="P622" t="s">
        <v>3292</v>
      </c>
    </row>
    <row r="623" spans="1:16" x14ac:dyDescent="0.25">
      <c r="A623" t="s">
        <v>2802</v>
      </c>
      <c r="B623" s="1">
        <v>45740.343055555553</v>
      </c>
      <c r="C623" t="s">
        <v>3293</v>
      </c>
      <c r="D623" t="s">
        <v>980</v>
      </c>
      <c r="E623" t="s">
        <v>810</v>
      </c>
      <c r="G623" t="s">
        <v>2801</v>
      </c>
      <c r="H623" t="str" cm="1">
        <f t="array" ref="H623">IF(AND(G623="",
      C623="Receipt"),
      _xlfn.XLOOKUP(1,
      (purchase_order_lines_coldchain!A623:A1621 = F623) *
      (purchase_order_lines_coldchain!G623:G1621 = E623) *
      (purchase_order_lines_coldchain!D623:D1621 = D623),
      purchase_order_lines_coldchain!B$2:B$1000,
      _xlfn.XLOOKUP(F623,purchase_order_lines_coldchain!A$2:A1621,
      purchase_order_lines_coldchain!B$2:B1621)),
      "")</f>
        <v/>
      </c>
      <c r="I623" t="str">
        <f t="shared" si="9"/>
        <v>XFER-000621</v>
      </c>
      <c r="K623" s="11">
        <v>7</v>
      </c>
      <c r="L623" s="11">
        <v>7</v>
      </c>
      <c r="M623" s="14">
        <v>11.96</v>
      </c>
      <c r="N623" s="14">
        <v>83.72</v>
      </c>
      <c r="O623">
        <v>-1.5</v>
      </c>
      <c r="P623" t="s">
        <v>3292</v>
      </c>
    </row>
    <row r="624" spans="1:16" x14ac:dyDescent="0.25">
      <c r="A624" t="s">
        <v>2803</v>
      </c>
      <c r="B624" s="1">
        <v>45751.684027777781</v>
      </c>
      <c r="C624" t="s">
        <v>3291</v>
      </c>
      <c r="D624" t="s">
        <v>990</v>
      </c>
      <c r="E624" t="s">
        <v>666</v>
      </c>
      <c r="G624" t="s">
        <v>2804</v>
      </c>
      <c r="H624" t="str" cm="1">
        <f t="array" ref="H624">IF(AND(G624="",
      C624="Receipt"),
      _xlfn.XLOOKUP(1,
      (purchase_order_lines_coldchain!A624:A1622 = F624) *
      (purchase_order_lines_coldchain!G624:G1622 = E624) *
      (purchase_order_lines_coldchain!D624:D1622 = D624),
      purchase_order_lines_coldchain!B$2:B$1000,
      _xlfn.XLOOKUP(F624,purchase_order_lines_coldchain!A$2:A1622,
      purchase_order_lines_coldchain!B$2:B1622)),
      "")</f>
        <v/>
      </c>
      <c r="I624" t="str">
        <f t="shared" si="9"/>
        <v>XFER-000623</v>
      </c>
      <c r="K624" s="11">
        <v>4</v>
      </c>
      <c r="L624" s="11">
        <v>-4</v>
      </c>
      <c r="M624" s="14">
        <v>13.88</v>
      </c>
      <c r="N624" s="14">
        <v>-55.52</v>
      </c>
      <c r="O624">
        <v>5.6</v>
      </c>
      <c r="P624" t="s">
        <v>3292</v>
      </c>
    </row>
    <row r="625" spans="1:16" x14ac:dyDescent="0.25">
      <c r="A625" t="s">
        <v>2805</v>
      </c>
      <c r="B625" s="1">
        <v>45751.690972222219</v>
      </c>
      <c r="C625" t="s">
        <v>3293</v>
      </c>
      <c r="D625" t="s">
        <v>999</v>
      </c>
      <c r="E625" t="s">
        <v>666</v>
      </c>
      <c r="G625" t="s">
        <v>2804</v>
      </c>
      <c r="H625" t="str" cm="1">
        <f t="array" ref="H625">IF(AND(G625="",
      C625="Receipt"),
      _xlfn.XLOOKUP(1,
      (purchase_order_lines_coldchain!A625:A1623 = F625) *
      (purchase_order_lines_coldchain!G625:G1623 = E625) *
      (purchase_order_lines_coldchain!D625:D1623 = D625),
      purchase_order_lines_coldchain!B$2:B$1000,
      _xlfn.XLOOKUP(F625,purchase_order_lines_coldchain!A$2:A1623,
      purchase_order_lines_coldchain!B$2:B1623)),
      "")</f>
        <v/>
      </c>
      <c r="I625" t="str">
        <f t="shared" si="9"/>
        <v>XFER-000623</v>
      </c>
      <c r="K625" s="11">
        <v>4</v>
      </c>
      <c r="L625" s="11">
        <v>4</v>
      </c>
      <c r="M625" s="14">
        <v>13.88</v>
      </c>
      <c r="N625" s="14">
        <v>55.52</v>
      </c>
      <c r="O625">
        <v>2.2999999999999998</v>
      </c>
      <c r="P625" t="s">
        <v>3292</v>
      </c>
    </row>
    <row r="626" spans="1:16" x14ac:dyDescent="0.25">
      <c r="A626" t="s">
        <v>2806</v>
      </c>
      <c r="B626" s="1">
        <v>45758.154861111114</v>
      </c>
      <c r="C626" t="s">
        <v>3291</v>
      </c>
      <c r="D626" t="s">
        <v>990</v>
      </c>
      <c r="E626" t="s">
        <v>858</v>
      </c>
      <c r="G626" t="s">
        <v>2807</v>
      </c>
      <c r="H626" t="str" cm="1">
        <f t="array" ref="H626">IF(AND(G626="",
      C626="Receipt"),
      _xlfn.XLOOKUP(1,
      (purchase_order_lines_coldchain!A626:A1624 = F626) *
      (purchase_order_lines_coldchain!G626:G1624 = E626) *
      (purchase_order_lines_coldchain!D626:D1624 = D626),
      purchase_order_lines_coldchain!B$2:B$1000,
      _xlfn.XLOOKUP(F626,purchase_order_lines_coldchain!A$2:A1624,
      purchase_order_lines_coldchain!B$2:B1624)),
      "")</f>
        <v/>
      </c>
      <c r="I626" t="str">
        <f t="shared" si="9"/>
        <v>XFER-000625</v>
      </c>
      <c r="K626" s="11">
        <v>6</v>
      </c>
      <c r="L626" s="11">
        <v>-6</v>
      </c>
      <c r="M626" s="14">
        <v>5.99</v>
      </c>
      <c r="N626" s="14">
        <v>-35.94</v>
      </c>
      <c r="O626">
        <v>2.1</v>
      </c>
      <c r="P626" t="s">
        <v>3292</v>
      </c>
    </row>
    <row r="627" spans="1:16" x14ac:dyDescent="0.25">
      <c r="A627" t="s">
        <v>2808</v>
      </c>
      <c r="B627" s="1">
        <v>45758.161805555559</v>
      </c>
      <c r="C627" t="s">
        <v>3293</v>
      </c>
      <c r="D627" t="s">
        <v>976</v>
      </c>
      <c r="E627" t="s">
        <v>858</v>
      </c>
      <c r="G627" t="s">
        <v>2807</v>
      </c>
      <c r="H627" t="str" cm="1">
        <f t="array" ref="H627">IF(AND(G627="",
      C627="Receipt"),
      _xlfn.XLOOKUP(1,
      (purchase_order_lines_coldchain!A627:A1625 = F627) *
      (purchase_order_lines_coldchain!G627:G1625 = E627) *
      (purchase_order_lines_coldchain!D627:D1625 = D627),
      purchase_order_lines_coldchain!B$2:B$1000,
      _xlfn.XLOOKUP(F627,purchase_order_lines_coldchain!A$2:A1625,
      purchase_order_lines_coldchain!B$2:B1625)),
      "")</f>
        <v/>
      </c>
      <c r="I627" t="str">
        <f t="shared" si="9"/>
        <v>XFER-000625</v>
      </c>
      <c r="K627" s="11">
        <v>6</v>
      </c>
      <c r="L627" s="11">
        <v>6</v>
      </c>
      <c r="M627" s="14">
        <v>5.99</v>
      </c>
      <c r="N627" s="14">
        <v>35.94</v>
      </c>
      <c r="O627">
        <v>1.4</v>
      </c>
      <c r="P627" t="s">
        <v>3292</v>
      </c>
    </row>
    <row r="628" spans="1:16" x14ac:dyDescent="0.25">
      <c r="A628" t="s">
        <v>2809</v>
      </c>
      <c r="B628" s="1">
        <v>45772.788888888892</v>
      </c>
      <c r="C628" t="s">
        <v>3291</v>
      </c>
      <c r="D628" t="s">
        <v>972</v>
      </c>
      <c r="E628" t="s">
        <v>554</v>
      </c>
      <c r="G628" t="s">
        <v>2810</v>
      </c>
      <c r="H628" t="str" cm="1">
        <f t="array" ref="H628">IF(AND(G628="",
      C628="Receipt"),
      _xlfn.XLOOKUP(1,
      (purchase_order_lines_coldchain!A628:A1626 = F628) *
      (purchase_order_lines_coldchain!G628:G1626 = E628) *
      (purchase_order_lines_coldchain!D628:D1626 = D628),
      purchase_order_lines_coldchain!B$2:B$1000,
      _xlfn.XLOOKUP(F628,purchase_order_lines_coldchain!A$2:A1626,
      purchase_order_lines_coldchain!B$2:B1626)),
      "")</f>
        <v/>
      </c>
      <c r="I628" t="str">
        <f t="shared" si="9"/>
        <v>XFER-000627</v>
      </c>
      <c r="K628" s="11">
        <v>2</v>
      </c>
      <c r="L628" s="11">
        <v>-2</v>
      </c>
      <c r="M628" s="14">
        <v>16.690000000000001</v>
      </c>
      <c r="N628" s="14">
        <v>-33.380000000000003</v>
      </c>
      <c r="O628">
        <v>4.7</v>
      </c>
      <c r="P628" t="s">
        <v>3292</v>
      </c>
    </row>
    <row r="629" spans="1:16" x14ac:dyDescent="0.25">
      <c r="A629" t="s">
        <v>2811</v>
      </c>
      <c r="B629" s="1">
        <v>45772.79583333333</v>
      </c>
      <c r="C629" t="s">
        <v>3293</v>
      </c>
      <c r="D629" t="s">
        <v>959</v>
      </c>
      <c r="E629" t="s">
        <v>554</v>
      </c>
      <c r="G629" t="s">
        <v>2810</v>
      </c>
      <c r="H629" t="str" cm="1">
        <f t="array" ref="H629">IF(AND(G629="",
      C629="Receipt"),
      _xlfn.XLOOKUP(1,
      (purchase_order_lines_coldchain!A629:A1627 = F629) *
      (purchase_order_lines_coldchain!G629:G1627 = E629) *
      (purchase_order_lines_coldchain!D629:D1627 = D629),
      purchase_order_lines_coldchain!B$2:B$1000,
      _xlfn.XLOOKUP(F629,purchase_order_lines_coldchain!A$2:A1627,
      purchase_order_lines_coldchain!B$2:B1627)),
      "")</f>
        <v/>
      </c>
      <c r="I629" t="str">
        <f t="shared" si="9"/>
        <v>XFER-000627</v>
      </c>
      <c r="K629" s="11">
        <v>2</v>
      </c>
      <c r="L629" s="11">
        <v>2</v>
      </c>
      <c r="M629" s="14">
        <v>16.690000000000001</v>
      </c>
      <c r="N629" s="14">
        <v>33.380000000000003</v>
      </c>
      <c r="O629">
        <v>0.2</v>
      </c>
      <c r="P629" t="s">
        <v>3292</v>
      </c>
    </row>
    <row r="630" spans="1:16" x14ac:dyDescent="0.25">
      <c r="A630" t="s">
        <v>2812</v>
      </c>
      <c r="B630" s="1">
        <v>45727.332638888889</v>
      </c>
      <c r="C630" t="s">
        <v>3291</v>
      </c>
      <c r="D630" t="s">
        <v>999</v>
      </c>
      <c r="E630" t="s">
        <v>440</v>
      </c>
      <c r="G630" t="s">
        <v>2813</v>
      </c>
      <c r="H630" t="str" cm="1">
        <f t="array" ref="H630">IF(AND(G630="",
      C630="Receipt"),
      _xlfn.XLOOKUP(1,
      (purchase_order_lines_coldchain!A630:A1628 = F630) *
      (purchase_order_lines_coldchain!G630:G1628 = E630) *
      (purchase_order_lines_coldchain!D630:D1628 = D630),
      purchase_order_lines_coldchain!B$2:B$1000,
      _xlfn.XLOOKUP(F630,purchase_order_lines_coldchain!A$2:A1628,
      purchase_order_lines_coldchain!B$2:B1628)),
      "")</f>
        <v/>
      </c>
      <c r="I630" t="str">
        <f t="shared" si="9"/>
        <v>XFER-000629</v>
      </c>
      <c r="K630" s="11">
        <v>2</v>
      </c>
      <c r="L630" s="11">
        <v>-2</v>
      </c>
      <c r="M630" s="14">
        <v>6.07</v>
      </c>
      <c r="N630" s="14">
        <v>-12.14</v>
      </c>
      <c r="O630">
        <v>4.9000000000000004</v>
      </c>
      <c r="P630" t="s">
        <v>3292</v>
      </c>
    </row>
    <row r="631" spans="1:16" x14ac:dyDescent="0.25">
      <c r="A631" t="s">
        <v>2814</v>
      </c>
      <c r="B631" s="1">
        <v>45727.339583333334</v>
      </c>
      <c r="C631" t="s">
        <v>3293</v>
      </c>
      <c r="D631" t="s">
        <v>968</v>
      </c>
      <c r="E631" t="s">
        <v>440</v>
      </c>
      <c r="G631" t="s">
        <v>2813</v>
      </c>
      <c r="H631" t="str" cm="1">
        <f t="array" ref="H631">IF(AND(G631="",
      C631="Receipt"),
      _xlfn.XLOOKUP(1,
      (purchase_order_lines_coldchain!A631:A1629 = F631) *
      (purchase_order_lines_coldchain!G631:G1629 = E631) *
      (purchase_order_lines_coldchain!D631:D1629 = D631),
      purchase_order_lines_coldchain!B$2:B$1000,
      _xlfn.XLOOKUP(F631,purchase_order_lines_coldchain!A$2:A1629,
      purchase_order_lines_coldchain!B$2:B1629)),
      "")</f>
        <v/>
      </c>
      <c r="I631" t="str">
        <f t="shared" si="9"/>
        <v>XFER-000629</v>
      </c>
      <c r="K631" s="11">
        <v>2</v>
      </c>
      <c r="L631" s="11">
        <v>2</v>
      </c>
      <c r="M631" s="14">
        <v>6.07</v>
      </c>
      <c r="N631" s="14">
        <v>12.14</v>
      </c>
      <c r="O631">
        <v>5.7</v>
      </c>
      <c r="P631" t="s">
        <v>3292</v>
      </c>
    </row>
  </sheetData>
  <sheetProtection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804E-D0C0-4BDB-96C9-D5355618573E}">
  <sheetPr>
    <tabColor theme="9" tint="0.39997558519241921"/>
  </sheetPr>
  <dimension ref="A1:L181"/>
  <sheetViews>
    <sheetView workbookViewId="0">
      <selection activeCell="H7" sqref="H7"/>
    </sheetView>
  </sheetViews>
  <sheetFormatPr defaultRowHeight="15" x14ac:dyDescent="0.25"/>
  <cols>
    <col min="1" max="1" width="11" bestFit="1" customWidth="1"/>
    <col min="2" max="2" width="16" bestFit="1" customWidth="1"/>
    <col min="3" max="3" width="12.85546875" bestFit="1" customWidth="1"/>
    <col min="4" max="4" width="14.85546875" bestFit="1" customWidth="1"/>
    <col min="5" max="5" width="13.42578125" bestFit="1" customWidth="1"/>
    <col min="6" max="6" width="20" hidden="1" customWidth="1"/>
    <col min="7" max="7" width="14.42578125" bestFit="1" customWidth="1"/>
    <col min="8" max="8" width="10.7109375" bestFit="1" customWidth="1"/>
    <col min="9" max="9" width="16.85546875" hidden="1" customWidth="1"/>
    <col min="10" max="10" width="13.28515625" bestFit="1" customWidth="1"/>
    <col min="11" max="11" width="13.7109375" bestFit="1" customWidth="1"/>
    <col min="12" max="12" width="18.42578125" bestFit="1" customWidth="1"/>
  </cols>
  <sheetData>
    <row r="1" spans="1:12" x14ac:dyDescent="0.25">
      <c r="A1" t="s">
        <v>2815</v>
      </c>
      <c r="B1" t="s">
        <v>949</v>
      </c>
      <c r="C1" t="s">
        <v>385</v>
      </c>
      <c r="D1" t="s">
        <v>2816</v>
      </c>
      <c r="E1" t="s">
        <v>2817</v>
      </c>
      <c r="F1" t="s">
        <v>3311</v>
      </c>
      <c r="G1" t="s">
        <v>2818</v>
      </c>
      <c r="H1" t="s">
        <v>2819</v>
      </c>
      <c r="I1" t="s">
        <v>3315</v>
      </c>
      <c r="J1" t="s">
        <v>2820</v>
      </c>
      <c r="K1" t="s">
        <v>2821</v>
      </c>
      <c r="L1" t="s">
        <v>2822</v>
      </c>
    </row>
    <row r="2" spans="1:12" x14ac:dyDescent="0.25">
      <c r="A2" t="s">
        <v>2823</v>
      </c>
      <c r="B2" t="s">
        <v>976</v>
      </c>
      <c r="C2" t="s">
        <v>533</v>
      </c>
      <c r="D2" s="1">
        <v>45774.433333333334</v>
      </c>
      <c r="E2" s="11">
        <v>0</v>
      </c>
      <c r="F2" s="11" t="str">
        <f>IF(E2=(SUMIFS(stock_movements_coldchain[signed_qty],stock_movements_coldchain[product_id],C2,stock_movements_coldchain[warehouse_id],B2,stock_movements_coldchain[movement_date],"&lt;" &amp;'cycle_counts_coldchain'!D2)),"Pass","Investigate")</f>
        <v>Pass</v>
      </c>
      <c r="G2" s="11">
        <v>0</v>
      </c>
      <c r="H2" s="11">
        <v>0</v>
      </c>
      <c r="I2" t="str">
        <f t="shared" ref="I2:I33" si="0">IF((G2-E2)=H2,"Pass","Investigate")</f>
        <v>Pass</v>
      </c>
      <c r="J2" t="s">
        <v>3294</v>
      </c>
      <c r="K2" t="s">
        <v>2824</v>
      </c>
      <c r="L2" t="s">
        <v>3295</v>
      </c>
    </row>
    <row r="3" spans="1:12" x14ac:dyDescent="0.25">
      <c r="A3" t="s">
        <v>2825</v>
      </c>
      <c r="B3" t="s">
        <v>976</v>
      </c>
      <c r="C3" t="s">
        <v>520</v>
      </c>
      <c r="D3" s="1">
        <v>45757.539583333331</v>
      </c>
      <c r="E3" s="11">
        <v>0</v>
      </c>
      <c r="F3" s="11" t="str">
        <f>IF(E3=(SUMIFS(stock_movements_coldchain[signed_qty],stock_movements_coldchain[product_id],C3,stock_movements_coldchain[warehouse_id],B3,stock_movements_coldchain[movement_date],"&lt;" &amp;'cycle_counts_coldchain'!D3)),"Pass","Investigate")</f>
        <v>Pass</v>
      </c>
      <c r="G3" s="11">
        <v>0</v>
      </c>
      <c r="H3" s="11">
        <v>0</v>
      </c>
      <c r="I3" t="str">
        <f t="shared" si="0"/>
        <v>Pass</v>
      </c>
      <c r="J3" t="s">
        <v>3296</v>
      </c>
      <c r="K3" t="s">
        <v>2824</v>
      </c>
      <c r="L3" t="s">
        <v>3297</v>
      </c>
    </row>
    <row r="4" spans="1:12" x14ac:dyDescent="0.25">
      <c r="A4" t="s">
        <v>2826</v>
      </c>
      <c r="B4" t="s">
        <v>990</v>
      </c>
      <c r="C4" t="s">
        <v>548</v>
      </c>
      <c r="D4" s="1">
        <v>45749.372916666667</v>
      </c>
      <c r="E4" s="11">
        <v>0</v>
      </c>
      <c r="F4" s="11" t="str">
        <f>IF(E4=(SUMIFS(stock_movements_coldchain[signed_qty],stock_movements_coldchain[product_id],C4,stock_movements_coldchain[warehouse_id],B4,stock_movements_coldchain[movement_date],"&lt;" &amp;'cycle_counts_coldchain'!D4)),"Pass","Investigate")</f>
        <v>Pass</v>
      </c>
      <c r="G4" s="11">
        <v>4</v>
      </c>
      <c r="H4" s="11">
        <v>4</v>
      </c>
      <c r="I4" t="str">
        <f t="shared" si="0"/>
        <v>Pass</v>
      </c>
      <c r="J4" t="s">
        <v>3298</v>
      </c>
      <c r="K4" t="s">
        <v>2827</v>
      </c>
      <c r="L4" t="s">
        <v>1678</v>
      </c>
    </row>
    <row r="5" spans="1:12" x14ac:dyDescent="0.25">
      <c r="A5" t="s">
        <v>2828</v>
      </c>
      <c r="B5" t="s">
        <v>972</v>
      </c>
      <c r="C5" t="s">
        <v>452</v>
      </c>
      <c r="D5" s="1">
        <v>45774.117361111108</v>
      </c>
      <c r="E5" s="11">
        <v>0</v>
      </c>
      <c r="F5" s="11" t="str">
        <f>IF(E5=(SUMIFS(stock_movements_coldchain[signed_qty],stock_movements_coldchain[product_id],C5,stock_movements_coldchain[warehouse_id],B5,stock_movements_coldchain[movement_date],"&lt;" &amp;'cycle_counts_coldchain'!D5)),"Pass","Investigate")</f>
        <v>Pass</v>
      </c>
      <c r="G5" s="11">
        <v>0</v>
      </c>
      <c r="H5" s="11">
        <v>0</v>
      </c>
      <c r="I5" t="str">
        <f t="shared" si="0"/>
        <v>Pass</v>
      </c>
      <c r="J5" t="s">
        <v>3298</v>
      </c>
      <c r="K5" t="s">
        <v>2829</v>
      </c>
      <c r="L5" t="s">
        <v>3295</v>
      </c>
    </row>
    <row r="6" spans="1:12" x14ac:dyDescent="0.25">
      <c r="A6" t="s">
        <v>2830</v>
      </c>
      <c r="B6" t="s">
        <v>980</v>
      </c>
      <c r="C6" t="s">
        <v>777</v>
      </c>
      <c r="D6" s="1">
        <v>45689.584027777775</v>
      </c>
      <c r="E6" s="11">
        <v>0</v>
      </c>
      <c r="F6" s="11" t="str">
        <f>IF(E6=(SUMIFS(stock_movements_coldchain[signed_qty],stock_movements_coldchain[product_id],C6,stock_movements_coldchain[warehouse_id],B6,stock_movements_coldchain[movement_date],"&lt;" &amp;'cycle_counts_coldchain'!D6)),"Pass","Investigate")</f>
        <v>Pass</v>
      </c>
      <c r="G6" s="11">
        <v>0</v>
      </c>
      <c r="H6" s="11">
        <v>0</v>
      </c>
      <c r="I6" t="str">
        <f t="shared" si="0"/>
        <v>Pass</v>
      </c>
      <c r="J6" t="s">
        <v>3298</v>
      </c>
      <c r="K6" t="s">
        <v>2824</v>
      </c>
      <c r="L6" t="s">
        <v>3299</v>
      </c>
    </row>
    <row r="7" spans="1:12" x14ac:dyDescent="0.25">
      <c r="A7" t="s">
        <v>2831</v>
      </c>
      <c r="B7" t="s">
        <v>964</v>
      </c>
      <c r="C7" t="s">
        <v>681</v>
      </c>
      <c r="D7" s="1">
        <v>45760.556944444441</v>
      </c>
      <c r="E7" s="11">
        <v>740</v>
      </c>
      <c r="F7" s="11" t="str">
        <f>IF(E7=(SUMIFS(stock_movements_coldchain[signed_qty],stock_movements_coldchain[product_id],C7,stock_movements_coldchain[warehouse_id],B7,stock_movements_coldchain[movement_date],"&lt;" &amp;'cycle_counts_coldchain'!D7)),"Pass","Investigate")</f>
        <v>Pass</v>
      </c>
      <c r="G7" s="11">
        <v>737</v>
      </c>
      <c r="H7" s="11">
        <v>-3</v>
      </c>
      <c r="I7" t="str">
        <f t="shared" si="0"/>
        <v>Pass</v>
      </c>
      <c r="J7" t="s">
        <v>3298</v>
      </c>
      <c r="K7" t="s">
        <v>2832</v>
      </c>
      <c r="L7" t="s">
        <v>3295</v>
      </c>
    </row>
    <row r="8" spans="1:12" x14ac:dyDescent="0.25">
      <c r="A8" t="s">
        <v>2833</v>
      </c>
      <c r="B8" t="s">
        <v>996</v>
      </c>
      <c r="C8" t="s">
        <v>469</v>
      </c>
      <c r="D8" s="1">
        <v>45678.000694444447</v>
      </c>
      <c r="E8" s="11">
        <v>0</v>
      </c>
      <c r="F8" s="11" t="str">
        <f>IF(E8=(SUMIFS(stock_movements_coldchain[signed_qty],stock_movements_coldchain[product_id],C8,stock_movements_coldchain[warehouse_id],B8,stock_movements_coldchain[movement_date],"&lt;" &amp;'cycle_counts_coldchain'!D8)),"Pass","Investigate")</f>
        <v>Pass</v>
      </c>
      <c r="G8" s="11">
        <v>3</v>
      </c>
      <c r="H8" s="11">
        <v>3</v>
      </c>
      <c r="I8" t="str">
        <f t="shared" si="0"/>
        <v>Pass</v>
      </c>
      <c r="J8" t="s">
        <v>3298</v>
      </c>
      <c r="K8" t="s">
        <v>2824</v>
      </c>
      <c r="L8" t="s">
        <v>3299</v>
      </c>
    </row>
    <row r="9" spans="1:12" x14ac:dyDescent="0.25">
      <c r="A9" t="s">
        <v>2834</v>
      </c>
      <c r="B9" t="s">
        <v>999</v>
      </c>
      <c r="C9" t="s">
        <v>591</v>
      </c>
      <c r="D9" s="1">
        <v>45746.143750000003</v>
      </c>
      <c r="E9" s="11">
        <v>0</v>
      </c>
      <c r="F9" s="11" t="str">
        <f>IF(E9=(SUMIFS(stock_movements_coldchain[signed_qty],stock_movements_coldchain[product_id],C9,stock_movements_coldchain[warehouse_id],B9,stock_movements_coldchain[movement_date],"&lt;" &amp;'cycle_counts_coldchain'!D9)),"Pass","Investigate")</f>
        <v>Pass</v>
      </c>
      <c r="G9" s="11">
        <v>0</v>
      </c>
      <c r="H9" s="11">
        <v>0</v>
      </c>
      <c r="I9" t="str">
        <f t="shared" si="0"/>
        <v>Pass</v>
      </c>
      <c r="J9" t="s">
        <v>3296</v>
      </c>
      <c r="K9" t="s">
        <v>2827</v>
      </c>
      <c r="L9" t="s">
        <v>1678</v>
      </c>
    </row>
    <row r="10" spans="1:12" x14ac:dyDescent="0.25">
      <c r="A10" t="s">
        <v>2835</v>
      </c>
      <c r="B10" t="s">
        <v>987</v>
      </c>
      <c r="C10" t="s">
        <v>819</v>
      </c>
      <c r="D10" s="1">
        <v>45776.60833333333</v>
      </c>
      <c r="E10" s="11">
        <v>0</v>
      </c>
      <c r="F10" s="11" t="str">
        <f>IF(E10=(SUMIFS(stock_movements_coldchain[signed_qty],stock_movements_coldchain[product_id],C10,stock_movements_coldchain[warehouse_id],B10,stock_movements_coldchain[movement_date],"&lt;" &amp;'cycle_counts_coldchain'!D10)),"Pass","Investigate")</f>
        <v>Pass</v>
      </c>
      <c r="G10" s="11">
        <v>0</v>
      </c>
      <c r="H10" s="11">
        <v>0</v>
      </c>
      <c r="I10" t="str">
        <f t="shared" si="0"/>
        <v>Pass</v>
      </c>
      <c r="J10" t="s">
        <v>3298</v>
      </c>
      <c r="K10" t="s">
        <v>2829</v>
      </c>
      <c r="L10" t="s">
        <v>3299</v>
      </c>
    </row>
    <row r="11" spans="1:12" x14ac:dyDescent="0.25">
      <c r="A11" t="s">
        <v>2836</v>
      </c>
      <c r="B11" t="s">
        <v>990</v>
      </c>
      <c r="C11" t="s">
        <v>594</v>
      </c>
      <c r="D11" s="1">
        <v>45743.109027777777</v>
      </c>
      <c r="E11" s="11">
        <v>0</v>
      </c>
      <c r="F11" s="11" t="str">
        <f>IF(E11=(SUMIFS(stock_movements_coldchain[signed_qty],stock_movements_coldchain[product_id],C11,stock_movements_coldchain[warehouse_id],B11,stock_movements_coldchain[movement_date],"&lt;" &amp;'cycle_counts_coldchain'!D11)),"Pass","Investigate")</f>
        <v>Pass</v>
      </c>
      <c r="G11" s="11">
        <v>0</v>
      </c>
      <c r="H11" s="11">
        <v>0</v>
      </c>
      <c r="I11" t="str">
        <f t="shared" si="0"/>
        <v>Pass</v>
      </c>
      <c r="J11" t="s">
        <v>3296</v>
      </c>
      <c r="K11" t="s">
        <v>2832</v>
      </c>
      <c r="L11" t="s">
        <v>1678</v>
      </c>
    </row>
    <row r="12" spans="1:12" x14ac:dyDescent="0.25">
      <c r="A12" t="s">
        <v>2837</v>
      </c>
      <c r="B12" t="s">
        <v>990</v>
      </c>
      <c r="C12" t="s">
        <v>744</v>
      </c>
      <c r="D12" s="1">
        <v>45725.145833333336</v>
      </c>
      <c r="E12" s="11">
        <v>0</v>
      </c>
      <c r="F12" s="11" t="str">
        <f>IF(E12=(SUMIFS(stock_movements_coldchain[signed_qty],stock_movements_coldchain[product_id],C12,stock_movements_coldchain[warehouse_id],B12,stock_movements_coldchain[movement_date],"&lt;" &amp;'cycle_counts_coldchain'!D12)),"Pass","Investigate")</f>
        <v>Pass</v>
      </c>
      <c r="G12" s="11">
        <v>2</v>
      </c>
      <c r="H12" s="11">
        <v>2</v>
      </c>
      <c r="I12" t="str">
        <f t="shared" si="0"/>
        <v>Pass</v>
      </c>
      <c r="J12" t="s">
        <v>3298</v>
      </c>
      <c r="K12" t="s">
        <v>2832</v>
      </c>
      <c r="L12" t="s">
        <v>1678</v>
      </c>
    </row>
    <row r="13" spans="1:12" x14ac:dyDescent="0.25">
      <c r="A13" t="s">
        <v>2838</v>
      </c>
      <c r="B13" t="s">
        <v>999</v>
      </c>
      <c r="C13" t="s">
        <v>542</v>
      </c>
      <c r="D13" s="1">
        <v>45701.228472222225</v>
      </c>
      <c r="E13" s="11">
        <v>0</v>
      </c>
      <c r="F13" s="11" t="str">
        <f>IF(E13=(SUMIFS(stock_movements_coldchain[signed_qty],stock_movements_coldchain[product_id],C13,stock_movements_coldchain[warehouse_id],B13,stock_movements_coldchain[movement_date],"&lt;" &amp;'cycle_counts_coldchain'!D13)),"Pass","Investigate")</f>
        <v>Pass</v>
      </c>
      <c r="G13" s="11">
        <v>0</v>
      </c>
      <c r="H13" s="11">
        <v>0</v>
      </c>
      <c r="I13" t="str">
        <f t="shared" si="0"/>
        <v>Pass</v>
      </c>
      <c r="J13" t="s">
        <v>3294</v>
      </c>
      <c r="K13" t="s">
        <v>2827</v>
      </c>
      <c r="L13" t="s">
        <v>1678</v>
      </c>
    </row>
    <row r="14" spans="1:12" x14ac:dyDescent="0.25">
      <c r="A14" t="s">
        <v>2839</v>
      </c>
      <c r="B14" t="s">
        <v>996</v>
      </c>
      <c r="C14" t="s">
        <v>855</v>
      </c>
      <c r="D14" s="1">
        <v>45707.963194444441</v>
      </c>
      <c r="E14" s="11">
        <v>0</v>
      </c>
      <c r="F14" s="11" t="str">
        <f>IF(E14=(SUMIFS(stock_movements_coldchain[signed_qty],stock_movements_coldchain[product_id],C14,stock_movements_coldchain[warehouse_id],B14,stock_movements_coldchain[movement_date],"&lt;" &amp;'cycle_counts_coldchain'!D14)),"Pass","Investigate")</f>
        <v>Pass</v>
      </c>
      <c r="G14" s="11">
        <v>0</v>
      </c>
      <c r="H14" s="11">
        <v>0</v>
      </c>
      <c r="I14" t="str">
        <f t="shared" si="0"/>
        <v>Pass</v>
      </c>
      <c r="J14" t="s">
        <v>3294</v>
      </c>
      <c r="K14" t="s">
        <v>2832</v>
      </c>
      <c r="L14" t="s">
        <v>3297</v>
      </c>
    </row>
    <row r="15" spans="1:12" x14ac:dyDescent="0.25">
      <c r="A15" t="s">
        <v>2840</v>
      </c>
      <c r="B15" t="s">
        <v>972</v>
      </c>
      <c r="C15" t="s">
        <v>551</v>
      </c>
      <c r="D15" s="1">
        <v>45682.875694444447</v>
      </c>
      <c r="E15" s="11">
        <v>0</v>
      </c>
      <c r="F15" s="11" t="str">
        <f>IF(E15=(SUMIFS(stock_movements_coldchain[signed_qty],stock_movements_coldchain[product_id],C15,stock_movements_coldchain[warehouse_id],B15,stock_movements_coldchain[movement_date],"&lt;" &amp;'cycle_counts_coldchain'!D15)),"Pass","Investigate")</f>
        <v>Pass</v>
      </c>
      <c r="G15" s="11">
        <v>0</v>
      </c>
      <c r="H15" s="11">
        <v>0</v>
      </c>
      <c r="I15" t="str">
        <f t="shared" si="0"/>
        <v>Pass</v>
      </c>
      <c r="J15" t="s">
        <v>3298</v>
      </c>
      <c r="K15" t="s">
        <v>2829</v>
      </c>
      <c r="L15" t="s">
        <v>3299</v>
      </c>
    </row>
    <row r="16" spans="1:12" x14ac:dyDescent="0.25">
      <c r="A16" t="s">
        <v>2841</v>
      </c>
      <c r="B16" t="s">
        <v>999</v>
      </c>
      <c r="C16" t="s">
        <v>548</v>
      </c>
      <c r="D16" s="1">
        <v>45682.701388888891</v>
      </c>
      <c r="E16" s="11">
        <v>0</v>
      </c>
      <c r="F16" s="11" t="str">
        <f>IF(E16=(SUMIFS(stock_movements_coldchain[signed_qty],stock_movements_coldchain[product_id],C16,stock_movements_coldchain[warehouse_id],B16,stock_movements_coldchain[movement_date],"&lt;" &amp;'cycle_counts_coldchain'!D16)),"Pass","Investigate")</f>
        <v>Pass</v>
      </c>
      <c r="G16" s="11">
        <v>0</v>
      </c>
      <c r="H16" s="11">
        <v>0</v>
      </c>
      <c r="I16" t="str">
        <f t="shared" si="0"/>
        <v>Pass</v>
      </c>
      <c r="J16" t="s">
        <v>3298</v>
      </c>
      <c r="K16" t="s">
        <v>2827</v>
      </c>
      <c r="L16" t="s">
        <v>3297</v>
      </c>
    </row>
    <row r="17" spans="1:12" x14ac:dyDescent="0.25">
      <c r="A17" t="s">
        <v>2842</v>
      </c>
      <c r="B17" t="s">
        <v>968</v>
      </c>
      <c r="C17" t="s">
        <v>585</v>
      </c>
      <c r="D17" s="1">
        <v>45678.722222222219</v>
      </c>
      <c r="E17" s="11">
        <v>0</v>
      </c>
      <c r="F17" s="11" t="str">
        <f>IF(E17=(SUMIFS(stock_movements_coldchain[signed_qty],stock_movements_coldchain[product_id],C17,stock_movements_coldchain[warehouse_id],B17,stock_movements_coldchain[movement_date],"&lt;" &amp;'cycle_counts_coldchain'!D17)),"Pass","Investigate")</f>
        <v>Pass</v>
      </c>
      <c r="G17" s="11">
        <v>0</v>
      </c>
      <c r="H17" s="11">
        <v>0</v>
      </c>
      <c r="I17" t="str">
        <f t="shared" si="0"/>
        <v>Pass</v>
      </c>
      <c r="J17" t="s">
        <v>3296</v>
      </c>
      <c r="K17" t="s">
        <v>2824</v>
      </c>
      <c r="L17" t="s">
        <v>3297</v>
      </c>
    </row>
    <row r="18" spans="1:12" x14ac:dyDescent="0.25">
      <c r="A18" t="s">
        <v>2843</v>
      </c>
      <c r="B18" t="s">
        <v>990</v>
      </c>
      <c r="C18" t="s">
        <v>433</v>
      </c>
      <c r="D18" s="1">
        <v>45769.398611111108</v>
      </c>
      <c r="E18" s="11">
        <v>0</v>
      </c>
      <c r="F18" s="11" t="str">
        <f>IF(E18=(SUMIFS(stock_movements_coldchain[signed_qty],stock_movements_coldchain[product_id],C18,stock_movements_coldchain[warehouse_id],B18,stock_movements_coldchain[movement_date],"&lt;" &amp;'cycle_counts_coldchain'!D18)),"Pass","Investigate")</f>
        <v>Pass</v>
      </c>
      <c r="G18" s="11">
        <v>3</v>
      </c>
      <c r="H18" s="11">
        <v>3</v>
      </c>
      <c r="I18" t="str">
        <f t="shared" si="0"/>
        <v>Pass</v>
      </c>
      <c r="J18" t="s">
        <v>3298</v>
      </c>
      <c r="K18" t="s">
        <v>2832</v>
      </c>
      <c r="L18" t="s">
        <v>3299</v>
      </c>
    </row>
    <row r="19" spans="1:12" x14ac:dyDescent="0.25">
      <c r="A19" t="s">
        <v>2844</v>
      </c>
      <c r="B19" t="s">
        <v>990</v>
      </c>
      <c r="C19" t="s">
        <v>912</v>
      </c>
      <c r="D19" s="1">
        <v>45718.38958333333</v>
      </c>
      <c r="E19" s="11">
        <v>0</v>
      </c>
      <c r="F19" s="11" t="str">
        <f>IF(E19=(SUMIFS(stock_movements_coldchain[signed_qty],stock_movements_coldchain[product_id],C19,stock_movements_coldchain[warehouse_id],B19,stock_movements_coldchain[movement_date],"&lt;" &amp;'cycle_counts_coldchain'!D19)),"Pass","Investigate")</f>
        <v>Pass</v>
      </c>
      <c r="G19" s="11">
        <v>0</v>
      </c>
      <c r="H19" s="11">
        <v>0</v>
      </c>
      <c r="I19" t="str">
        <f t="shared" si="0"/>
        <v>Pass</v>
      </c>
      <c r="J19" t="s">
        <v>3294</v>
      </c>
      <c r="K19" t="s">
        <v>2832</v>
      </c>
      <c r="L19" t="s">
        <v>3295</v>
      </c>
    </row>
    <row r="20" spans="1:12" x14ac:dyDescent="0.25">
      <c r="A20" t="s">
        <v>2845</v>
      </c>
      <c r="B20" t="s">
        <v>996</v>
      </c>
      <c r="C20" t="s">
        <v>696</v>
      </c>
      <c r="D20" s="1">
        <v>45742.142361111109</v>
      </c>
      <c r="E20" s="11">
        <v>0</v>
      </c>
      <c r="F20" s="11" t="str">
        <f>IF(E20=(SUMIFS(stock_movements_coldchain[signed_qty],stock_movements_coldchain[product_id],C20,stock_movements_coldchain[warehouse_id],B20,stock_movements_coldchain[movement_date],"&lt;" &amp;'cycle_counts_coldchain'!D20)),"Pass","Investigate")</f>
        <v>Pass</v>
      </c>
      <c r="G20" s="11">
        <v>3</v>
      </c>
      <c r="H20" s="11">
        <v>3</v>
      </c>
      <c r="I20" t="str">
        <f t="shared" si="0"/>
        <v>Pass</v>
      </c>
      <c r="J20" t="s">
        <v>3296</v>
      </c>
      <c r="K20" t="s">
        <v>2832</v>
      </c>
      <c r="L20" t="s">
        <v>3299</v>
      </c>
    </row>
    <row r="21" spans="1:12" x14ac:dyDescent="0.25">
      <c r="A21" t="s">
        <v>2846</v>
      </c>
      <c r="B21" t="s">
        <v>980</v>
      </c>
      <c r="C21" t="s">
        <v>548</v>
      </c>
      <c r="D21" s="1">
        <v>45739.583333333336</v>
      </c>
      <c r="E21" s="11">
        <v>0</v>
      </c>
      <c r="F21" s="11" t="str">
        <f>IF(E21=(SUMIFS(stock_movements_coldchain[signed_qty],stock_movements_coldchain[product_id],C21,stock_movements_coldchain[warehouse_id],B21,stock_movements_coldchain[movement_date],"&lt;" &amp;'cycle_counts_coldchain'!D21)),"Pass","Investigate")</f>
        <v>Pass</v>
      </c>
      <c r="G21" s="11">
        <v>0</v>
      </c>
      <c r="H21" s="11">
        <v>0</v>
      </c>
      <c r="I21" t="str">
        <f t="shared" si="0"/>
        <v>Pass</v>
      </c>
      <c r="J21" t="s">
        <v>3294</v>
      </c>
      <c r="K21" t="s">
        <v>2827</v>
      </c>
      <c r="L21" t="s">
        <v>3297</v>
      </c>
    </row>
    <row r="22" spans="1:12" x14ac:dyDescent="0.25">
      <c r="A22" t="s">
        <v>2847</v>
      </c>
      <c r="B22" t="s">
        <v>987</v>
      </c>
      <c r="C22" t="s">
        <v>469</v>
      </c>
      <c r="D22" s="1">
        <v>45699.421527777777</v>
      </c>
      <c r="E22" s="11">
        <v>0</v>
      </c>
      <c r="F22" s="11" t="str">
        <f>IF(E22=(SUMIFS(stock_movements_coldchain[signed_qty],stock_movements_coldchain[product_id],C22,stock_movements_coldchain[warehouse_id],B22,stock_movements_coldchain[movement_date],"&lt;" &amp;'cycle_counts_coldchain'!D22)),"Pass","Investigate")</f>
        <v>Pass</v>
      </c>
      <c r="G22" s="11">
        <v>0</v>
      </c>
      <c r="H22" s="11">
        <v>0</v>
      </c>
      <c r="I22" t="str">
        <f t="shared" si="0"/>
        <v>Pass</v>
      </c>
      <c r="J22" t="s">
        <v>3298</v>
      </c>
      <c r="K22" t="s">
        <v>2829</v>
      </c>
      <c r="L22" t="s">
        <v>1678</v>
      </c>
    </row>
    <row r="23" spans="1:12" x14ac:dyDescent="0.25">
      <c r="A23" t="s">
        <v>2848</v>
      </c>
      <c r="B23" t="s">
        <v>996</v>
      </c>
      <c r="C23" t="s">
        <v>573</v>
      </c>
      <c r="D23" s="1">
        <v>45689.245138888888</v>
      </c>
      <c r="E23" s="11">
        <v>0</v>
      </c>
      <c r="F23" s="11" t="str">
        <f>IF(E23=(SUMIFS(stock_movements_coldchain[signed_qty],stock_movements_coldchain[product_id],C23,stock_movements_coldchain[warehouse_id],B23,stock_movements_coldchain[movement_date],"&lt;" &amp;'cycle_counts_coldchain'!D23)),"Pass","Investigate")</f>
        <v>Pass</v>
      </c>
      <c r="G23" s="11">
        <v>4</v>
      </c>
      <c r="H23" s="11">
        <v>4</v>
      </c>
      <c r="I23" t="str">
        <f t="shared" si="0"/>
        <v>Pass</v>
      </c>
      <c r="J23" t="s">
        <v>3298</v>
      </c>
      <c r="K23" t="s">
        <v>2832</v>
      </c>
      <c r="L23" t="s">
        <v>3297</v>
      </c>
    </row>
    <row r="24" spans="1:12" x14ac:dyDescent="0.25">
      <c r="A24" t="s">
        <v>2849</v>
      </c>
      <c r="B24" t="s">
        <v>987</v>
      </c>
      <c r="C24" t="s">
        <v>909</v>
      </c>
      <c r="D24" s="1">
        <v>45682.425694444442</v>
      </c>
      <c r="E24" s="11">
        <v>0</v>
      </c>
      <c r="F24" s="11" t="str">
        <f>IF(E24=(SUMIFS(stock_movements_coldchain[signed_qty],stock_movements_coldchain[product_id],C24,stock_movements_coldchain[warehouse_id],B24,stock_movements_coldchain[movement_date],"&lt;" &amp;'cycle_counts_coldchain'!D24)),"Pass","Investigate")</f>
        <v>Pass</v>
      </c>
      <c r="G24" s="11">
        <v>0</v>
      </c>
      <c r="H24" s="11">
        <v>0</v>
      </c>
      <c r="I24" t="str">
        <f t="shared" si="0"/>
        <v>Pass</v>
      </c>
      <c r="J24" t="s">
        <v>3294</v>
      </c>
      <c r="K24" t="s">
        <v>2829</v>
      </c>
      <c r="L24" t="s">
        <v>1678</v>
      </c>
    </row>
    <row r="25" spans="1:12" x14ac:dyDescent="0.25">
      <c r="A25" t="s">
        <v>2850</v>
      </c>
      <c r="B25" t="s">
        <v>976</v>
      </c>
      <c r="C25" t="s">
        <v>807</v>
      </c>
      <c r="D25" s="1">
        <v>45770.458333333336</v>
      </c>
      <c r="E25" s="11">
        <v>0</v>
      </c>
      <c r="F25" s="11" t="str">
        <f>IF(E25=(SUMIFS(stock_movements_coldchain[signed_qty],stock_movements_coldchain[product_id],C25,stock_movements_coldchain[warehouse_id],B25,stock_movements_coldchain[movement_date],"&lt;" &amp;'cycle_counts_coldchain'!D25)),"Pass","Investigate")</f>
        <v>Pass</v>
      </c>
      <c r="G25" s="11">
        <v>4</v>
      </c>
      <c r="H25" s="11">
        <v>4</v>
      </c>
      <c r="I25" t="str">
        <f t="shared" si="0"/>
        <v>Pass</v>
      </c>
      <c r="J25" t="s">
        <v>3296</v>
      </c>
      <c r="K25" t="s">
        <v>2824</v>
      </c>
      <c r="L25" t="s">
        <v>1678</v>
      </c>
    </row>
    <row r="26" spans="1:12" x14ac:dyDescent="0.25">
      <c r="A26" t="s">
        <v>2851</v>
      </c>
      <c r="B26" t="s">
        <v>976</v>
      </c>
      <c r="C26" t="s">
        <v>879</v>
      </c>
      <c r="D26" s="1">
        <v>45686.350694444445</v>
      </c>
      <c r="E26" s="11">
        <v>0</v>
      </c>
      <c r="F26" s="11" t="str">
        <f>IF(E26=(SUMIFS(stock_movements_coldchain[signed_qty],stock_movements_coldchain[product_id],C26,stock_movements_coldchain[warehouse_id],B26,stock_movements_coldchain[movement_date],"&lt;" &amp;'cycle_counts_coldchain'!D26)),"Pass","Investigate")</f>
        <v>Pass</v>
      </c>
      <c r="G26" s="11">
        <v>4</v>
      </c>
      <c r="H26" s="11">
        <v>4</v>
      </c>
      <c r="I26" t="str">
        <f t="shared" si="0"/>
        <v>Pass</v>
      </c>
      <c r="J26" t="s">
        <v>3294</v>
      </c>
      <c r="K26" t="s">
        <v>2829</v>
      </c>
      <c r="L26" t="s">
        <v>3297</v>
      </c>
    </row>
    <row r="27" spans="1:12" x14ac:dyDescent="0.25">
      <c r="A27" t="s">
        <v>2852</v>
      </c>
      <c r="B27" t="s">
        <v>976</v>
      </c>
      <c r="C27" t="s">
        <v>508</v>
      </c>
      <c r="D27" s="1">
        <v>45698.62777777778</v>
      </c>
      <c r="E27" s="11">
        <v>0</v>
      </c>
      <c r="F27" s="11" t="str">
        <f>IF(E27=(SUMIFS(stock_movements_coldchain[signed_qty],stock_movements_coldchain[product_id],C27,stock_movements_coldchain[warehouse_id],B27,stock_movements_coldchain[movement_date],"&lt;" &amp;'cycle_counts_coldchain'!D27)),"Pass","Investigate")</f>
        <v>Pass</v>
      </c>
      <c r="G27" s="11">
        <v>0</v>
      </c>
      <c r="H27" s="11">
        <v>0</v>
      </c>
      <c r="I27" t="str">
        <f t="shared" si="0"/>
        <v>Pass</v>
      </c>
      <c r="J27" t="s">
        <v>3296</v>
      </c>
      <c r="K27" t="s">
        <v>2824</v>
      </c>
      <c r="L27" t="s">
        <v>3299</v>
      </c>
    </row>
    <row r="28" spans="1:12" x14ac:dyDescent="0.25">
      <c r="A28" t="s">
        <v>2853</v>
      </c>
      <c r="B28" t="s">
        <v>980</v>
      </c>
      <c r="C28" t="s">
        <v>918</v>
      </c>
      <c r="D28" s="1">
        <v>45773.512499999997</v>
      </c>
      <c r="E28" s="11">
        <v>75</v>
      </c>
      <c r="F28" s="11" t="str">
        <f>IF(E28=(SUMIFS(stock_movements_coldchain[signed_qty],stock_movements_coldchain[product_id],C28,stock_movements_coldchain[warehouse_id],B28,stock_movements_coldchain[movement_date],"&lt;" &amp;'cycle_counts_coldchain'!D28)),"Pass","Investigate")</f>
        <v>Pass</v>
      </c>
      <c r="G28" s="11">
        <v>78</v>
      </c>
      <c r="H28" s="11">
        <v>3</v>
      </c>
      <c r="I28" t="str">
        <f t="shared" si="0"/>
        <v>Pass</v>
      </c>
      <c r="J28" t="s">
        <v>3298</v>
      </c>
      <c r="K28" t="s">
        <v>2829</v>
      </c>
      <c r="L28" t="s">
        <v>1678</v>
      </c>
    </row>
    <row r="29" spans="1:12" x14ac:dyDescent="0.25">
      <c r="A29" t="s">
        <v>2854</v>
      </c>
      <c r="B29" t="s">
        <v>972</v>
      </c>
      <c r="C29" t="s">
        <v>600</v>
      </c>
      <c r="D29" s="1">
        <v>45731.347916666666</v>
      </c>
      <c r="E29" s="11">
        <v>0</v>
      </c>
      <c r="F29" s="11" t="str">
        <f>IF(E29=(SUMIFS(stock_movements_coldchain[signed_qty],stock_movements_coldchain[product_id],C29,stock_movements_coldchain[warehouse_id],B29,stock_movements_coldchain[movement_date],"&lt;" &amp;'cycle_counts_coldchain'!D29)),"Pass","Investigate")</f>
        <v>Pass</v>
      </c>
      <c r="G29" s="11">
        <v>2</v>
      </c>
      <c r="H29" s="11">
        <v>2</v>
      </c>
      <c r="I29" t="str">
        <f t="shared" si="0"/>
        <v>Pass</v>
      </c>
      <c r="J29" t="s">
        <v>3294</v>
      </c>
      <c r="K29" t="s">
        <v>2827</v>
      </c>
      <c r="L29" t="s">
        <v>3299</v>
      </c>
    </row>
    <row r="30" spans="1:12" x14ac:dyDescent="0.25">
      <c r="A30" t="s">
        <v>2855</v>
      </c>
      <c r="B30" t="s">
        <v>972</v>
      </c>
      <c r="C30" t="s">
        <v>469</v>
      </c>
      <c r="D30" s="1">
        <v>45749.201388888891</v>
      </c>
      <c r="E30" s="11">
        <v>0</v>
      </c>
      <c r="F30" s="11" t="str">
        <f>IF(E30=(SUMIFS(stock_movements_coldchain[signed_qty],stock_movements_coldchain[product_id],C30,stock_movements_coldchain[warehouse_id],B30,stock_movements_coldchain[movement_date],"&lt;" &amp;'cycle_counts_coldchain'!D30)),"Pass","Investigate")</f>
        <v>Pass</v>
      </c>
      <c r="G30" s="11">
        <v>0</v>
      </c>
      <c r="H30" s="11">
        <v>0</v>
      </c>
      <c r="I30" t="str">
        <f t="shared" si="0"/>
        <v>Pass</v>
      </c>
      <c r="J30" t="s">
        <v>3298</v>
      </c>
      <c r="K30" t="s">
        <v>2824</v>
      </c>
      <c r="L30" t="s">
        <v>3299</v>
      </c>
    </row>
    <row r="31" spans="1:12" x14ac:dyDescent="0.25">
      <c r="A31" t="s">
        <v>2856</v>
      </c>
      <c r="B31" t="s">
        <v>976</v>
      </c>
      <c r="C31" t="s">
        <v>496</v>
      </c>
      <c r="D31" s="1">
        <v>45752.886805555558</v>
      </c>
      <c r="E31" s="11">
        <v>0</v>
      </c>
      <c r="F31" s="11" t="str">
        <f>IF(E31=(SUMIFS(stock_movements_coldchain[signed_qty],stock_movements_coldchain[product_id],C31,stock_movements_coldchain[warehouse_id],B31,stock_movements_coldchain[movement_date],"&lt;" &amp;'cycle_counts_coldchain'!D31)),"Pass","Investigate")</f>
        <v>Pass</v>
      </c>
      <c r="G31" s="11">
        <v>3</v>
      </c>
      <c r="H31" s="11">
        <v>3</v>
      </c>
      <c r="I31" t="str">
        <f t="shared" si="0"/>
        <v>Pass</v>
      </c>
      <c r="J31" t="s">
        <v>3298</v>
      </c>
      <c r="K31" t="s">
        <v>2824</v>
      </c>
      <c r="L31" t="s">
        <v>3295</v>
      </c>
    </row>
    <row r="32" spans="1:12" x14ac:dyDescent="0.25">
      <c r="A32" t="s">
        <v>2857</v>
      </c>
      <c r="B32" t="s">
        <v>996</v>
      </c>
      <c r="C32" t="s">
        <v>505</v>
      </c>
      <c r="D32" s="1">
        <v>45772.913194444445</v>
      </c>
      <c r="E32" s="11">
        <v>0</v>
      </c>
      <c r="F32" s="11" t="str">
        <f>IF(E32=(SUMIFS(stock_movements_coldchain[signed_qty],stock_movements_coldchain[product_id],C32,stock_movements_coldchain[warehouse_id],B32,stock_movements_coldchain[movement_date],"&lt;" &amp;'cycle_counts_coldchain'!D32)),"Pass","Investigate")</f>
        <v>Pass</v>
      </c>
      <c r="G32" s="11">
        <v>0</v>
      </c>
      <c r="H32" s="11">
        <v>0</v>
      </c>
      <c r="I32" t="str">
        <f t="shared" si="0"/>
        <v>Pass</v>
      </c>
      <c r="J32" t="s">
        <v>3294</v>
      </c>
      <c r="K32" t="s">
        <v>2829</v>
      </c>
      <c r="L32" t="s">
        <v>3297</v>
      </c>
    </row>
    <row r="33" spans="1:12" x14ac:dyDescent="0.25">
      <c r="A33" t="s">
        <v>2858</v>
      </c>
      <c r="B33" t="s">
        <v>964</v>
      </c>
      <c r="C33" t="s">
        <v>627</v>
      </c>
      <c r="D33" s="1">
        <v>45749.213888888888</v>
      </c>
      <c r="E33" s="11">
        <v>0</v>
      </c>
      <c r="F33" s="11" t="str">
        <f>IF(E33=(SUMIFS(stock_movements_coldchain[signed_qty],stock_movements_coldchain[product_id],C33,stock_movements_coldchain[warehouse_id],B33,stock_movements_coldchain[movement_date],"&lt;" &amp;'cycle_counts_coldchain'!D33)),"Pass","Investigate")</f>
        <v>Pass</v>
      </c>
      <c r="G33" s="11">
        <v>0</v>
      </c>
      <c r="H33" s="11">
        <v>0</v>
      </c>
      <c r="I33" t="str">
        <f t="shared" si="0"/>
        <v>Pass</v>
      </c>
      <c r="J33" t="s">
        <v>3298</v>
      </c>
      <c r="K33" t="s">
        <v>2829</v>
      </c>
      <c r="L33" t="s">
        <v>3295</v>
      </c>
    </row>
    <row r="34" spans="1:12" x14ac:dyDescent="0.25">
      <c r="A34" t="s">
        <v>2859</v>
      </c>
      <c r="B34" t="s">
        <v>976</v>
      </c>
      <c r="C34" t="s">
        <v>867</v>
      </c>
      <c r="D34" s="1">
        <v>45752.058333333334</v>
      </c>
      <c r="E34" s="11">
        <v>0</v>
      </c>
      <c r="F34" s="11" t="str">
        <f>IF(E34=(SUMIFS(stock_movements_coldchain[signed_qty],stock_movements_coldchain[product_id],C34,stock_movements_coldchain[warehouse_id],B34,stock_movements_coldchain[movement_date],"&lt;" &amp;'cycle_counts_coldchain'!D34)),"Pass","Investigate")</f>
        <v>Pass</v>
      </c>
      <c r="G34" s="11">
        <v>1</v>
      </c>
      <c r="H34" s="11">
        <v>1</v>
      </c>
      <c r="I34" t="str">
        <f t="shared" ref="I34:I65" si="1">IF((G34-E34)=H34,"Pass","Investigate")</f>
        <v>Pass</v>
      </c>
      <c r="J34" t="s">
        <v>3296</v>
      </c>
      <c r="K34" t="s">
        <v>2832</v>
      </c>
      <c r="L34" t="s">
        <v>3295</v>
      </c>
    </row>
    <row r="35" spans="1:12" x14ac:dyDescent="0.25">
      <c r="A35" t="s">
        <v>2860</v>
      </c>
      <c r="B35" t="s">
        <v>996</v>
      </c>
      <c r="C35" t="s">
        <v>681</v>
      </c>
      <c r="D35" s="1">
        <v>45709.022222222222</v>
      </c>
      <c r="E35" s="11">
        <v>0</v>
      </c>
      <c r="F35" s="11" t="str">
        <f>IF(E35=(SUMIFS(stock_movements_coldchain[signed_qty],stock_movements_coldchain[product_id],C35,stock_movements_coldchain[warehouse_id],B35,stock_movements_coldchain[movement_date],"&lt;" &amp;'cycle_counts_coldchain'!D35)),"Pass","Investigate")</f>
        <v>Pass</v>
      </c>
      <c r="G35" s="11">
        <v>1</v>
      </c>
      <c r="H35" s="11">
        <v>1</v>
      </c>
      <c r="I35" t="str">
        <f t="shared" si="1"/>
        <v>Pass</v>
      </c>
      <c r="J35" t="s">
        <v>3298</v>
      </c>
      <c r="K35" t="s">
        <v>2829</v>
      </c>
      <c r="L35" t="s">
        <v>3297</v>
      </c>
    </row>
    <row r="36" spans="1:12" x14ac:dyDescent="0.25">
      <c r="A36" t="s">
        <v>2861</v>
      </c>
      <c r="B36" t="s">
        <v>980</v>
      </c>
      <c r="C36" t="s">
        <v>774</v>
      </c>
      <c r="D36" s="1">
        <v>45718.223611111112</v>
      </c>
      <c r="E36" s="11">
        <v>0</v>
      </c>
      <c r="F36" s="11" t="str">
        <f>IF(E36=(SUMIFS(stock_movements_coldchain[signed_qty],stock_movements_coldchain[product_id],C36,stock_movements_coldchain[warehouse_id],B36,stock_movements_coldchain[movement_date],"&lt;" &amp;'cycle_counts_coldchain'!D36)),"Pass","Investigate")</f>
        <v>Pass</v>
      </c>
      <c r="G36" s="11">
        <v>0</v>
      </c>
      <c r="H36" s="11">
        <v>0</v>
      </c>
      <c r="I36" t="str">
        <f t="shared" si="1"/>
        <v>Pass</v>
      </c>
      <c r="J36" t="s">
        <v>3294</v>
      </c>
      <c r="K36" t="s">
        <v>2827</v>
      </c>
      <c r="L36" t="s">
        <v>3297</v>
      </c>
    </row>
    <row r="37" spans="1:12" x14ac:dyDescent="0.25">
      <c r="A37" t="s">
        <v>2862</v>
      </c>
      <c r="B37" t="s">
        <v>996</v>
      </c>
      <c r="C37" t="s">
        <v>717</v>
      </c>
      <c r="D37" s="1">
        <v>45695.481944444444</v>
      </c>
      <c r="E37" s="11">
        <v>0</v>
      </c>
      <c r="F37" s="11" t="str">
        <f>IF(E37=(SUMIFS(stock_movements_coldchain[signed_qty],stock_movements_coldchain[product_id],C37,stock_movements_coldchain[warehouse_id],B37,stock_movements_coldchain[movement_date],"&lt;" &amp;'cycle_counts_coldchain'!D37)),"Pass","Investigate")</f>
        <v>Pass</v>
      </c>
      <c r="G37" s="11">
        <v>0</v>
      </c>
      <c r="H37" s="11">
        <v>0</v>
      </c>
      <c r="I37" t="str">
        <f t="shared" si="1"/>
        <v>Pass</v>
      </c>
      <c r="J37" t="s">
        <v>3296</v>
      </c>
      <c r="K37" t="s">
        <v>2827</v>
      </c>
      <c r="L37" t="s">
        <v>3295</v>
      </c>
    </row>
    <row r="38" spans="1:12" x14ac:dyDescent="0.25">
      <c r="A38" t="s">
        <v>2863</v>
      </c>
      <c r="B38" t="s">
        <v>964</v>
      </c>
      <c r="C38" t="s">
        <v>741</v>
      </c>
      <c r="D38" s="1">
        <v>45728.136805555558</v>
      </c>
      <c r="E38" s="11">
        <v>0</v>
      </c>
      <c r="F38" s="11" t="str">
        <f>IF(E38=(SUMIFS(stock_movements_coldchain[signed_qty],stock_movements_coldchain[product_id],C38,stock_movements_coldchain[warehouse_id],B38,stock_movements_coldchain[movement_date],"&lt;" &amp;'cycle_counts_coldchain'!D38)),"Pass","Investigate")</f>
        <v>Pass</v>
      </c>
      <c r="G38" s="11">
        <v>0</v>
      </c>
      <c r="H38" s="11">
        <v>0</v>
      </c>
      <c r="I38" t="str">
        <f t="shared" si="1"/>
        <v>Pass</v>
      </c>
      <c r="J38" t="s">
        <v>3298</v>
      </c>
      <c r="K38" t="s">
        <v>2829</v>
      </c>
      <c r="L38" t="s">
        <v>3297</v>
      </c>
    </row>
    <row r="39" spans="1:12" x14ac:dyDescent="0.25">
      <c r="A39" t="s">
        <v>2864</v>
      </c>
      <c r="B39" t="s">
        <v>968</v>
      </c>
      <c r="C39" t="s">
        <v>705</v>
      </c>
      <c r="D39" s="1">
        <v>45706.200694444444</v>
      </c>
      <c r="E39" s="11">
        <v>0</v>
      </c>
      <c r="F39" s="11" t="str">
        <f>IF(E39=(SUMIFS(stock_movements_coldchain[signed_qty],stock_movements_coldchain[product_id],C39,stock_movements_coldchain[warehouse_id],B39,stock_movements_coldchain[movement_date],"&lt;" &amp;'cycle_counts_coldchain'!D39)),"Pass","Investigate")</f>
        <v>Pass</v>
      </c>
      <c r="G39" s="11">
        <v>4</v>
      </c>
      <c r="H39" s="11">
        <v>4</v>
      </c>
      <c r="I39" t="str">
        <f t="shared" si="1"/>
        <v>Pass</v>
      </c>
      <c r="J39" t="s">
        <v>3296</v>
      </c>
      <c r="K39" t="s">
        <v>2824</v>
      </c>
      <c r="L39" t="s">
        <v>1678</v>
      </c>
    </row>
    <row r="40" spans="1:12" x14ac:dyDescent="0.25">
      <c r="A40" t="s">
        <v>2865</v>
      </c>
      <c r="B40" t="s">
        <v>990</v>
      </c>
      <c r="C40" t="s">
        <v>514</v>
      </c>
      <c r="D40" s="1">
        <v>45694.4375</v>
      </c>
      <c r="E40" s="11">
        <v>0</v>
      </c>
      <c r="F40" s="11" t="str">
        <f>IF(E40=(SUMIFS(stock_movements_coldchain[signed_qty],stock_movements_coldchain[product_id],C40,stock_movements_coldchain[warehouse_id],B40,stock_movements_coldchain[movement_date],"&lt;" &amp;'cycle_counts_coldchain'!D40)),"Pass","Investigate")</f>
        <v>Pass</v>
      </c>
      <c r="G40" s="11">
        <v>1</v>
      </c>
      <c r="H40" s="11">
        <v>1</v>
      </c>
      <c r="I40" t="str">
        <f t="shared" si="1"/>
        <v>Pass</v>
      </c>
      <c r="J40" t="s">
        <v>3294</v>
      </c>
      <c r="K40" t="s">
        <v>2829</v>
      </c>
      <c r="L40" t="s">
        <v>3295</v>
      </c>
    </row>
    <row r="41" spans="1:12" x14ac:dyDescent="0.25">
      <c r="A41" t="s">
        <v>2866</v>
      </c>
      <c r="B41" t="s">
        <v>976</v>
      </c>
      <c r="C41" t="s">
        <v>858</v>
      </c>
      <c r="D41" s="1">
        <v>45772.629861111112</v>
      </c>
      <c r="E41" s="11">
        <v>6</v>
      </c>
      <c r="F41" s="11" t="str">
        <f>IF(E41=(SUMIFS(stock_movements_coldchain[signed_qty],stock_movements_coldchain[product_id],C41,stock_movements_coldchain[warehouse_id],B41,stock_movements_coldchain[movement_date],"&lt;" &amp;'cycle_counts_coldchain'!D41)),"Pass","Investigate")</f>
        <v>Pass</v>
      </c>
      <c r="G41" s="11">
        <v>6</v>
      </c>
      <c r="H41" s="11">
        <v>0</v>
      </c>
      <c r="I41" t="str">
        <f t="shared" si="1"/>
        <v>Pass</v>
      </c>
      <c r="J41" t="s">
        <v>3298</v>
      </c>
      <c r="K41" t="s">
        <v>2829</v>
      </c>
      <c r="L41" t="s">
        <v>3299</v>
      </c>
    </row>
    <row r="42" spans="1:12" x14ac:dyDescent="0.25">
      <c r="A42" t="s">
        <v>2867</v>
      </c>
      <c r="B42" t="s">
        <v>987</v>
      </c>
      <c r="C42" t="s">
        <v>678</v>
      </c>
      <c r="D42" s="1">
        <v>45736.720138888886</v>
      </c>
      <c r="E42" s="11">
        <v>0</v>
      </c>
      <c r="F42" s="11" t="str">
        <f>IF(E42=(SUMIFS(stock_movements_coldchain[signed_qty],stock_movements_coldchain[product_id],C42,stock_movements_coldchain[warehouse_id],B42,stock_movements_coldchain[movement_date],"&lt;" &amp;'cycle_counts_coldchain'!D42)),"Pass","Investigate")</f>
        <v>Pass</v>
      </c>
      <c r="G42" s="11">
        <v>3</v>
      </c>
      <c r="H42" s="11">
        <v>3</v>
      </c>
      <c r="I42" t="str">
        <f t="shared" si="1"/>
        <v>Pass</v>
      </c>
      <c r="J42" t="s">
        <v>3296</v>
      </c>
      <c r="K42" t="s">
        <v>2829</v>
      </c>
      <c r="L42" t="s">
        <v>1678</v>
      </c>
    </row>
    <row r="43" spans="1:12" x14ac:dyDescent="0.25">
      <c r="A43" t="s">
        <v>2868</v>
      </c>
      <c r="B43" t="s">
        <v>972</v>
      </c>
      <c r="C43" t="s">
        <v>517</v>
      </c>
      <c r="D43" s="1">
        <v>45723.580555555556</v>
      </c>
      <c r="E43" s="11">
        <v>0</v>
      </c>
      <c r="F43" s="11" t="str">
        <f>IF(E43=(SUMIFS(stock_movements_coldchain[signed_qty],stock_movements_coldchain[product_id],C43,stock_movements_coldchain[warehouse_id],B43,stock_movements_coldchain[movement_date],"&lt;" &amp;'cycle_counts_coldchain'!D43)),"Pass","Investigate")</f>
        <v>Pass</v>
      </c>
      <c r="G43" s="11">
        <v>0</v>
      </c>
      <c r="H43" s="11">
        <v>0</v>
      </c>
      <c r="I43" t="str">
        <f t="shared" si="1"/>
        <v>Pass</v>
      </c>
      <c r="J43" t="s">
        <v>3298</v>
      </c>
      <c r="K43" t="s">
        <v>2824</v>
      </c>
      <c r="L43" t="s">
        <v>1678</v>
      </c>
    </row>
    <row r="44" spans="1:12" x14ac:dyDescent="0.25">
      <c r="A44" t="s">
        <v>2869</v>
      </c>
      <c r="B44" t="s">
        <v>964</v>
      </c>
      <c r="C44" t="s">
        <v>780</v>
      </c>
      <c r="D44" s="1">
        <v>45756.54583333333</v>
      </c>
      <c r="E44" s="11">
        <v>0</v>
      </c>
      <c r="F44" s="11" t="str">
        <f>IF(E44=(SUMIFS(stock_movements_coldchain[signed_qty],stock_movements_coldchain[product_id],C44,stock_movements_coldchain[warehouse_id],B44,stock_movements_coldchain[movement_date],"&lt;" &amp;'cycle_counts_coldchain'!D44)),"Pass","Investigate")</f>
        <v>Pass</v>
      </c>
      <c r="G44" s="11">
        <v>0</v>
      </c>
      <c r="H44" s="11">
        <v>0</v>
      </c>
      <c r="I44" t="str">
        <f t="shared" si="1"/>
        <v>Pass</v>
      </c>
      <c r="J44" t="s">
        <v>3296</v>
      </c>
      <c r="K44" t="s">
        <v>2827</v>
      </c>
      <c r="L44" t="s">
        <v>3299</v>
      </c>
    </row>
    <row r="45" spans="1:12" x14ac:dyDescent="0.25">
      <c r="A45" t="s">
        <v>2870</v>
      </c>
      <c r="B45" t="s">
        <v>980</v>
      </c>
      <c r="C45" t="s">
        <v>735</v>
      </c>
      <c r="D45" s="1">
        <v>45751.393750000003</v>
      </c>
      <c r="E45" s="11">
        <v>0</v>
      </c>
      <c r="F45" s="11" t="str">
        <f>IF(E45=(SUMIFS(stock_movements_coldchain[signed_qty],stock_movements_coldchain[product_id],C45,stock_movements_coldchain[warehouse_id],B45,stock_movements_coldchain[movement_date],"&lt;" &amp;'cycle_counts_coldchain'!D45)),"Pass","Investigate")</f>
        <v>Pass</v>
      </c>
      <c r="G45" s="11">
        <v>1</v>
      </c>
      <c r="H45" s="11">
        <v>1</v>
      </c>
      <c r="I45" t="str">
        <f t="shared" si="1"/>
        <v>Pass</v>
      </c>
      <c r="J45" t="s">
        <v>3298</v>
      </c>
      <c r="K45" t="s">
        <v>2824</v>
      </c>
      <c r="L45" t="s">
        <v>1678</v>
      </c>
    </row>
    <row r="46" spans="1:12" x14ac:dyDescent="0.25">
      <c r="A46" t="s">
        <v>2871</v>
      </c>
      <c r="B46" t="s">
        <v>980</v>
      </c>
      <c r="C46" t="s">
        <v>530</v>
      </c>
      <c r="D46" s="1">
        <v>45743.479861111111</v>
      </c>
      <c r="E46" s="11">
        <v>7</v>
      </c>
      <c r="F46" s="11" t="str">
        <f>IF(E46=(SUMIFS(stock_movements_coldchain[signed_qty],stock_movements_coldchain[product_id],C46,stock_movements_coldchain[warehouse_id],B46,stock_movements_coldchain[movement_date],"&lt;" &amp;'cycle_counts_coldchain'!D46)),"Pass","Investigate")</f>
        <v>Pass</v>
      </c>
      <c r="G46" s="11">
        <v>5</v>
      </c>
      <c r="H46" s="11">
        <v>-2</v>
      </c>
      <c r="I46" t="str">
        <f t="shared" si="1"/>
        <v>Pass</v>
      </c>
      <c r="J46" t="s">
        <v>3294</v>
      </c>
      <c r="K46" t="s">
        <v>2832</v>
      </c>
      <c r="L46" t="s">
        <v>3295</v>
      </c>
    </row>
    <row r="47" spans="1:12" x14ac:dyDescent="0.25">
      <c r="A47" t="s">
        <v>2872</v>
      </c>
      <c r="B47" t="s">
        <v>959</v>
      </c>
      <c r="C47" t="s">
        <v>681</v>
      </c>
      <c r="D47" s="1">
        <v>45705.612500000003</v>
      </c>
      <c r="E47" s="11">
        <v>0</v>
      </c>
      <c r="F47" s="11" t="str">
        <f>IF(E47=(SUMIFS(stock_movements_coldchain[signed_qty],stock_movements_coldchain[product_id],C47,stock_movements_coldchain[warehouse_id],B47,stock_movements_coldchain[movement_date],"&lt;" &amp;'cycle_counts_coldchain'!D47)),"Pass","Investigate")</f>
        <v>Pass</v>
      </c>
      <c r="G47" s="11">
        <v>1</v>
      </c>
      <c r="H47" s="11">
        <v>1</v>
      </c>
      <c r="I47" t="str">
        <f t="shared" si="1"/>
        <v>Pass</v>
      </c>
      <c r="J47" t="s">
        <v>3296</v>
      </c>
      <c r="K47" t="s">
        <v>2832</v>
      </c>
      <c r="L47" t="s">
        <v>3297</v>
      </c>
    </row>
    <row r="48" spans="1:12" x14ac:dyDescent="0.25">
      <c r="A48" t="s">
        <v>2873</v>
      </c>
      <c r="B48" t="s">
        <v>987</v>
      </c>
      <c r="C48" t="s">
        <v>774</v>
      </c>
      <c r="D48" s="1">
        <v>45763.427083333336</v>
      </c>
      <c r="E48" s="11">
        <v>0</v>
      </c>
      <c r="F48" s="11" t="str">
        <f>IF(E48=(SUMIFS(stock_movements_coldchain[signed_qty],stock_movements_coldchain[product_id],C48,stock_movements_coldchain[warehouse_id],B48,stock_movements_coldchain[movement_date],"&lt;" &amp;'cycle_counts_coldchain'!D48)),"Pass","Investigate")</f>
        <v>Pass</v>
      </c>
      <c r="G48" s="11">
        <v>0</v>
      </c>
      <c r="H48" s="11">
        <v>0</v>
      </c>
      <c r="I48" t="str">
        <f t="shared" si="1"/>
        <v>Pass</v>
      </c>
      <c r="J48" t="s">
        <v>3298</v>
      </c>
      <c r="K48" t="s">
        <v>2824</v>
      </c>
      <c r="L48" t="s">
        <v>3295</v>
      </c>
    </row>
    <row r="49" spans="1:12" x14ac:dyDescent="0.25">
      <c r="A49" t="s">
        <v>2874</v>
      </c>
      <c r="B49" t="s">
        <v>976</v>
      </c>
      <c r="C49" t="s">
        <v>573</v>
      </c>
      <c r="D49" s="1">
        <v>45736.158333333333</v>
      </c>
      <c r="E49" s="11">
        <v>0</v>
      </c>
      <c r="F49" s="11" t="str">
        <f>IF(E49=(SUMIFS(stock_movements_coldchain[signed_qty],stock_movements_coldchain[product_id],C49,stock_movements_coldchain[warehouse_id],B49,stock_movements_coldchain[movement_date],"&lt;" &amp;'cycle_counts_coldchain'!D49)),"Pass","Investigate")</f>
        <v>Pass</v>
      </c>
      <c r="G49" s="11">
        <v>3</v>
      </c>
      <c r="H49" s="11">
        <v>3</v>
      </c>
      <c r="I49" t="str">
        <f t="shared" si="1"/>
        <v>Pass</v>
      </c>
      <c r="J49" t="s">
        <v>3296</v>
      </c>
      <c r="K49" t="s">
        <v>2829</v>
      </c>
      <c r="L49" t="s">
        <v>3299</v>
      </c>
    </row>
    <row r="50" spans="1:12" x14ac:dyDescent="0.25">
      <c r="A50" t="s">
        <v>2875</v>
      </c>
      <c r="B50" t="s">
        <v>987</v>
      </c>
      <c r="C50" t="s">
        <v>657</v>
      </c>
      <c r="D50" s="1">
        <v>45736.769444444442</v>
      </c>
      <c r="E50" s="11">
        <v>0</v>
      </c>
      <c r="F50" s="11" t="str">
        <f>IF(E50=(SUMIFS(stock_movements_coldchain[signed_qty],stock_movements_coldchain[product_id],C50,stock_movements_coldchain[warehouse_id],B50,stock_movements_coldchain[movement_date],"&lt;" &amp;'cycle_counts_coldchain'!D50)),"Pass","Investigate")</f>
        <v>Pass</v>
      </c>
      <c r="G50" s="11">
        <v>0</v>
      </c>
      <c r="H50" s="11">
        <v>0</v>
      </c>
      <c r="I50" t="str">
        <f t="shared" si="1"/>
        <v>Pass</v>
      </c>
      <c r="J50" t="s">
        <v>3294</v>
      </c>
      <c r="K50" t="s">
        <v>2827</v>
      </c>
      <c r="L50" t="s">
        <v>1678</v>
      </c>
    </row>
    <row r="51" spans="1:12" x14ac:dyDescent="0.25">
      <c r="A51" t="s">
        <v>2876</v>
      </c>
      <c r="B51" t="s">
        <v>980</v>
      </c>
      <c r="C51" t="s">
        <v>606</v>
      </c>
      <c r="D51" s="1">
        <v>45743.494444444441</v>
      </c>
      <c r="E51" s="11">
        <v>182</v>
      </c>
      <c r="F51" s="11" t="str">
        <f>IF(E51=(SUMIFS(stock_movements_coldchain[signed_qty],stock_movements_coldchain[product_id],C51,stock_movements_coldchain[warehouse_id],B51,stock_movements_coldchain[movement_date],"&lt;" &amp;'cycle_counts_coldchain'!D51)),"Pass","Investigate")</f>
        <v>Pass</v>
      </c>
      <c r="G51" s="11">
        <v>178</v>
      </c>
      <c r="H51" s="11">
        <v>-4</v>
      </c>
      <c r="I51" t="str">
        <f t="shared" si="1"/>
        <v>Pass</v>
      </c>
      <c r="J51" t="s">
        <v>3294</v>
      </c>
      <c r="K51" t="s">
        <v>2829</v>
      </c>
      <c r="L51" t="s">
        <v>3295</v>
      </c>
    </row>
    <row r="52" spans="1:12" x14ac:dyDescent="0.25">
      <c r="A52" t="s">
        <v>2877</v>
      </c>
      <c r="B52" t="s">
        <v>996</v>
      </c>
      <c r="C52" t="s">
        <v>891</v>
      </c>
      <c r="D52" s="1">
        <v>45727.32916666667</v>
      </c>
      <c r="E52" s="11">
        <v>0</v>
      </c>
      <c r="F52" s="11" t="str">
        <f>IF(E52=(SUMIFS(stock_movements_coldchain[signed_qty],stock_movements_coldchain[product_id],C52,stock_movements_coldchain[warehouse_id],B52,stock_movements_coldchain[movement_date],"&lt;" &amp;'cycle_counts_coldchain'!D52)),"Pass","Investigate")</f>
        <v>Pass</v>
      </c>
      <c r="G52" s="11">
        <v>1</v>
      </c>
      <c r="H52" s="11">
        <v>1</v>
      </c>
      <c r="I52" t="str">
        <f t="shared" si="1"/>
        <v>Pass</v>
      </c>
      <c r="J52" t="s">
        <v>3296</v>
      </c>
      <c r="K52" t="s">
        <v>2824</v>
      </c>
      <c r="L52" t="s">
        <v>1678</v>
      </c>
    </row>
    <row r="53" spans="1:12" x14ac:dyDescent="0.25">
      <c r="A53" t="s">
        <v>2878</v>
      </c>
      <c r="B53" t="s">
        <v>959</v>
      </c>
      <c r="C53" t="s">
        <v>576</v>
      </c>
      <c r="D53" s="1">
        <v>45714.545138888891</v>
      </c>
      <c r="E53" s="11">
        <v>0</v>
      </c>
      <c r="F53" s="11" t="str">
        <f>IF(E53=(SUMIFS(stock_movements_coldchain[signed_qty],stock_movements_coldchain[product_id],C53,stock_movements_coldchain[warehouse_id],B53,stock_movements_coldchain[movement_date],"&lt;" &amp;'cycle_counts_coldchain'!D53)),"Pass","Investigate")</f>
        <v>Pass</v>
      </c>
      <c r="G53" s="11">
        <v>4</v>
      </c>
      <c r="H53" s="11">
        <v>4</v>
      </c>
      <c r="I53" t="str">
        <f t="shared" si="1"/>
        <v>Pass</v>
      </c>
      <c r="J53" t="s">
        <v>3298</v>
      </c>
      <c r="K53" t="s">
        <v>2829</v>
      </c>
      <c r="L53" t="s">
        <v>3295</v>
      </c>
    </row>
    <row r="54" spans="1:12" x14ac:dyDescent="0.25">
      <c r="A54" t="s">
        <v>2879</v>
      </c>
      <c r="B54" t="s">
        <v>996</v>
      </c>
      <c r="C54" t="s">
        <v>475</v>
      </c>
      <c r="D54" s="1">
        <v>45740.554166666669</v>
      </c>
      <c r="E54" s="11">
        <v>0</v>
      </c>
      <c r="F54" s="11" t="str">
        <f>IF(E54=(SUMIFS(stock_movements_coldchain[signed_qty],stock_movements_coldchain[product_id],C54,stock_movements_coldchain[warehouse_id],B54,stock_movements_coldchain[movement_date],"&lt;" &amp;'cycle_counts_coldchain'!D54)),"Pass","Investigate")</f>
        <v>Pass</v>
      </c>
      <c r="G54" s="11">
        <v>2</v>
      </c>
      <c r="H54" s="11">
        <v>2</v>
      </c>
      <c r="I54" t="str">
        <f t="shared" si="1"/>
        <v>Pass</v>
      </c>
      <c r="J54" t="s">
        <v>3298</v>
      </c>
      <c r="K54" t="s">
        <v>2829</v>
      </c>
      <c r="L54" t="s">
        <v>3299</v>
      </c>
    </row>
    <row r="55" spans="1:12" x14ac:dyDescent="0.25">
      <c r="A55" t="s">
        <v>2880</v>
      </c>
      <c r="B55" t="s">
        <v>990</v>
      </c>
      <c r="C55" t="s">
        <v>651</v>
      </c>
      <c r="D55" s="1">
        <v>45698.840277777781</v>
      </c>
      <c r="E55" s="11">
        <v>0</v>
      </c>
      <c r="F55" s="11" t="str">
        <f>IF(E55=(SUMIFS(stock_movements_coldchain[signed_qty],stock_movements_coldchain[product_id],C55,stock_movements_coldchain[warehouse_id],B55,stock_movements_coldchain[movement_date],"&lt;" &amp;'cycle_counts_coldchain'!D55)),"Pass","Investigate")</f>
        <v>Pass</v>
      </c>
      <c r="G55" s="11">
        <v>0</v>
      </c>
      <c r="H55" s="11">
        <v>0</v>
      </c>
      <c r="I55" t="str">
        <f t="shared" si="1"/>
        <v>Pass</v>
      </c>
      <c r="J55" t="s">
        <v>3298</v>
      </c>
      <c r="K55" t="s">
        <v>2829</v>
      </c>
      <c r="L55" t="s">
        <v>3299</v>
      </c>
    </row>
    <row r="56" spans="1:12" x14ac:dyDescent="0.25">
      <c r="A56" t="s">
        <v>2881</v>
      </c>
      <c r="B56" t="s">
        <v>976</v>
      </c>
      <c r="C56" t="s">
        <v>780</v>
      </c>
      <c r="D56" s="1">
        <v>45700.785416666666</v>
      </c>
      <c r="E56" s="11">
        <v>0</v>
      </c>
      <c r="F56" s="11" t="str">
        <f>IF(E56=(SUMIFS(stock_movements_coldchain[signed_qty],stock_movements_coldchain[product_id],C56,stock_movements_coldchain[warehouse_id],B56,stock_movements_coldchain[movement_date],"&lt;" &amp;'cycle_counts_coldchain'!D56)),"Pass","Investigate")</f>
        <v>Pass</v>
      </c>
      <c r="G56" s="11">
        <v>1</v>
      </c>
      <c r="H56" s="11">
        <v>1</v>
      </c>
      <c r="I56" t="str">
        <f t="shared" si="1"/>
        <v>Pass</v>
      </c>
      <c r="J56" t="s">
        <v>3296</v>
      </c>
      <c r="K56" t="s">
        <v>2832</v>
      </c>
      <c r="L56" t="s">
        <v>3297</v>
      </c>
    </row>
    <row r="57" spans="1:12" x14ac:dyDescent="0.25">
      <c r="A57" t="s">
        <v>2882</v>
      </c>
      <c r="B57" t="s">
        <v>964</v>
      </c>
      <c r="C57" t="s">
        <v>840</v>
      </c>
      <c r="D57" s="1">
        <v>45738.19027777778</v>
      </c>
      <c r="E57" s="11">
        <v>0</v>
      </c>
      <c r="F57" s="11" t="str">
        <f>IF(E57=(SUMIFS(stock_movements_coldchain[signed_qty],stock_movements_coldchain[product_id],C57,stock_movements_coldchain[warehouse_id],B57,stock_movements_coldchain[movement_date],"&lt;" &amp;'cycle_counts_coldchain'!D57)),"Pass","Investigate")</f>
        <v>Pass</v>
      </c>
      <c r="G57" s="11">
        <v>0</v>
      </c>
      <c r="H57" s="11">
        <v>0</v>
      </c>
      <c r="I57" t="str">
        <f t="shared" si="1"/>
        <v>Pass</v>
      </c>
      <c r="J57" t="s">
        <v>3298</v>
      </c>
      <c r="K57" t="s">
        <v>2824</v>
      </c>
      <c r="L57" t="s">
        <v>3299</v>
      </c>
    </row>
    <row r="58" spans="1:12" x14ac:dyDescent="0.25">
      <c r="A58" t="s">
        <v>2883</v>
      </c>
      <c r="B58" t="s">
        <v>987</v>
      </c>
      <c r="C58" t="s">
        <v>708</v>
      </c>
      <c r="D58" s="1">
        <v>45732.943055555559</v>
      </c>
      <c r="E58" s="11">
        <v>0</v>
      </c>
      <c r="F58" s="11" t="str">
        <f>IF(E58=(SUMIFS(stock_movements_coldchain[signed_qty],stock_movements_coldchain[product_id],C58,stock_movements_coldchain[warehouse_id],B58,stock_movements_coldchain[movement_date],"&lt;" &amp;'cycle_counts_coldchain'!D58)),"Pass","Investigate")</f>
        <v>Pass</v>
      </c>
      <c r="G58" s="11">
        <v>3</v>
      </c>
      <c r="H58" s="11">
        <v>3</v>
      </c>
      <c r="I58" t="str">
        <f t="shared" si="1"/>
        <v>Pass</v>
      </c>
      <c r="J58" t="s">
        <v>3296</v>
      </c>
      <c r="K58" t="s">
        <v>2827</v>
      </c>
      <c r="L58" t="s">
        <v>3297</v>
      </c>
    </row>
    <row r="59" spans="1:12" x14ac:dyDescent="0.25">
      <c r="A59" t="s">
        <v>2884</v>
      </c>
      <c r="B59" t="s">
        <v>999</v>
      </c>
      <c r="C59" t="s">
        <v>849</v>
      </c>
      <c r="D59" s="1">
        <v>45687.131249999999</v>
      </c>
      <c r="E59" s="11">
        <v>0</v>
      </c>
      <c r="F59" s="11" t="str">
        <f>IF(E59=(SUMIFS(stock_movements_coldchain[signed_qty],stock_movements_coldchain[product_id],C59,stock_movements_coldchain[warehouse_id],B59,stock_movements_coldchain[movement_date],"&lt;" &amp;'cycle_counts_coldchain'!D59)),"Pass","Investigate")</f>
        <v>Pass</v>
      </c>
      <c r="G59" s="11">
        <v>3</v>
      </c>
      <c r="H59" s="11">
        <v>3</v>
      </c>
      <c r="I59" t="str">
        <f t="shared" si="1"/>
        <v>Pass</v>
      </c>
      <c r="J59" t="s">
        <v>3294</v>
      </c>
      <c r="K59" t="s">
        <v>2827</v>
      </c>
      <c r="L59" t="s">
        <v>3299</v>
      </c>
    </row>
    <row r="60" spans="1:12" x14ac:dyDescent="0.25">
      <c r="A60" t="s">
        <v>2885</v>
      </c>
      <c r="B60" t="s">
        <v>996</v>
      </c>
      <c r="C60" t="s">
        <v>711</v>
      </c>
      <c r="D60" s="1">
        <v>45731.602777777778</v>
      </c>
      <c r="E60" s="11">
        <v>60</v>
      </c>
      <c r="F60" s="11" t="str">
        <f>IF(E60=(SUMIFS(stock_movements_coldchain[signed_qty],stock_movements_coldchain[product_id],C60,stock_movements_coldchain[warehouse_id],B60,stock_movements_coldchain[movement_date],"&lt;" &amp;'cycle_counts_coldchain'!D60)),"Pass","Investigate")</f>
        <v>Pass</v>
      </c>
      <c r="G60" s="11">
        <v>59</v>
      </c>
      <c r="H60" s="11">
        <v>-1</v>
      </c>
      <c r="I60" t="str">
        <f t="shared" si="1"/>
        <v>Pass</v>
      </c>
      <c r="J60" t="s">
        <v>3298</v>
      </c>
      <c r="K60" t="s">
        <v>2832</v>
      </c>
      <c r="L60" t="s">
        <v>3295</v>
      </c>
    </row>
    <row r="61" spans="1:12" x14ac:dyDescent="0.25">
      <c r="A61" t="s">
        <v>2886</v>
      </c>
      <c r="B61" t="s">
        <v>999</v>
      </c>
      <c r="C61" t="s">
        <v>882</v>
      </c>
      <c r="D61" s="1">
        <v>45744.320138888892</v>
      </c>
      <c r="E61" s="11">
        <v>191</v>
      </c>
      <c r="F61" s="11" t="str">
        <f>IF(E61=(SUMIFS(stock_movements_coldchain[signed_qty],stock_movements_coldchain[product_id],C61,stock_movements_coldchain[warehouse_id],B61,stock_movements_coldchain[movement_date],"&lt;" &amp;'cycle_counts_coldchain'!D61)),"Pass","Investigate")</f>
        <v>Pass</v>
      </c>
      <c r="G61" s="11">
        <v>191</v>
      </c>
      <c r="H61" s="11">
        <v>0</v>
      </c>
      <c r="I61" t="str">
        <f t="shared" si="1"/>
        <v>Pass</v>
      </c>
      <c r="J61" t="s">
        <v>3298</v>
      </c>
      <c r="K61" t="s">
        <v>2829</v>
      </c>
      <c r="L61" t="s">
        <v>1678</v>
      </c>
    </row>
    <row r="62" spans="1:12" x14ac:dyDescent="0.25">
      <c r="A62" t="s">
        <v>2887</v>
      </c>
      <c r="B62" t="s">
        <v>968</v>
      </c>
      <c r="C62" t="s">
        <v>936</v>
      </c>
      <c r="D62" s="1">
        <v>45760.076388888891</v>
      </c>
      <c r="E62" s="11">
        <v>0</v>
      </c>
      <c r="F62" s="11" t="str">
        <f>IF(E62=(SUMIFS(stock_movements_coldchain[signed_qty],stock_movements_coldchain[product_id],C62,stock_movements_coldchain[warehouse_id],B62,stock_movements_coldchain[movement_date],"&lt;" &amp;'cycle_counts_coldchain'!D62)),"Pass","Investigate")</f>
        <v>Pass</v>
      </c>
      <c r="G62" s="11">
        <v>2</v>
      </c>
      <c r="H62" s="11">
        <v>2</v>
      </c>
      <c r="I62" t="str">
        <f t="shared" si="1"/>
        <v>Pass</v>
      </c>
      <c r="J62" t="s">
        <v>3298</v>
      </c>
      <c r="K62" t="s">
        <v>2829</v>
      </c>
      <c r="L62" t="s">
        <v>3299</v>
      </c>
    </row>
    <row r="63" spans="1:12" x14ac:dyDescent="0.25">
      <c r="A63" t="s">
        <v>2888</v>
      </c>
      <c r="B63" t="s">
        <v>990</v>
      </c>
      <c r="C63" t="s">
        <v>490</v>
      </c>
      <c r="D63" s="1">
        <v>45732.719444444447</v>
      </c>
      <c r="E63" s="11">
        <v>0</v>
      </c>
      <c r="F63" s="11" t="str">
        <f>IF(E63=(SUMIFS(stock_movements_coldchain[signed_qty],stock_movements_coldchain[product_id],C63,stock_movements_coldchain[warehouse_id],B63,stock_movements_coldchain[movement_date],"&lt;" &amp;'cycle_counts_coldchain'!D63)),"Pass","Investigate")</f>
        <v>Pass</v>
      </c>
      <c r="G63" s="11">
        <v>0</v>
      </c>
      <c r="H63" s="11">
        <v>0</v>
      </c>
      <c r="I63" t="str">
        <f t="shared" si="1"/>
        <v>Pass</v>
      </c>
      <c r="J63" t="s">
        <v>3296</v>
      </c>
      <c r="K63" t="s">
        <v>2824</v>
      </c>
      <c r="L63" t="s">
        <v>3297</v>
      </c>
    </row>
    <row r="64" spans="1:12" x14ac:dyDescent="0.25">
      <c r="A64" t="s">
        <v>2889</v>
      </c>
      <c r="B64" t="s">
        <v>980</v>
      </c>
      <c r="C64" t="s">
        <v>696</v>
      </c>
      <c r="D64" s="1">
        <v>45717.753472222219</v>
      </c>
      <c r="E64" s="11">
        <v>0</v>
      </c>
      <c r="F64" s="11" t="str">
        <f>IF(E64=(SUMIFS(stock_movements_coldchain[signed_qty],stock_movements_coldchain[product_id],C64,stock_movements_coldchain[warehouse_id],B64,stock_movements_coldchain[movement_date],"&lt;" &amp;'cycle_counts_coldchain'!D64)),"Pass","Investigate")</f>
        <v>Pass</v>
      </c>
      <c r="G64" s="11">
        <v>3</v>
      </c>
      <c r="H64" s="11">
        <v>3</v>
      </c>
      <c r="I64" t="str">
        <f t="shared" si="1"/>
        <v>Pass</v>
      </c>
      <c r="J64" t="s">
        <v>3298</v>
      </c>
      <c r="K64" t="s">
        <v>2832</v>
      </c>
      <c r="L64" t="s">
        <v>3297</v>
      </c>
    </row>
    <row r="65" spans="1:12" x14ac:dyDescent="0.25">
      <c r="A65" t="s">
        <v>2890</v>
      </c>
      <c r="B65" t="s">
        <v>972</v>
      </c>
      <c r="C65" t="s">
        <v>918</v>
      </c>
      <c r="D65" s="1">
        <v>45771.959722222222</v>
      </c>
      <c r="E65" s="11">
        <v>0</v>
      </c>
      <c r="F65" s="11" t="str">
        <f>IF(E65=(SUMIFS(stock_movements_coldchain[signed_qty],stock_movements_coldchain[product_id],C65,stock_movements_coldchain[warehouse_id],B65,stock_movements_coldchain[movement_date],"&lt;" &amp;'cycle_counts_coldchain'!D65)),"Pass","Investigate")</f>
        <v>Pass</v>
      </c>
      <c r="G65" s="11">
        <v>3</v>
      </c>
      <c r="H65" s="11">
        <v>3</v>
      </c>
      <c r="I65" t="str">
        <f t="shared" si="1"/>
        <v>Pass</v>
      </c>
      <c r="J65" t="s">
        <v>3298</v>
      </c>
      <c r="K65" t="s">
        <v>2829</v>
      </c>
      <c r="L65" t="s">
        <v>3299</v>
      </c>
    </row>
    <row r="66" spans="1:12" x14ac:dyDescent="0.25">
      <c r="A66" t="s">
        <v>2891</v>
      </c>
      <c r="B66" t="s">
        <v>999</v>
      </c>
      <c r="C66" t="s">
        <v>738</v>
      </c>
      <c r="D66" s="1">
        <v>45716.059027777781</v>
      </c>
      <c r="E66" s="11">
        <v>0</v>
      </c>
      <c r="F66" s="11" t="str">
        <f>IF(E66=(SUMIFS(stock_movements_coldchain[signed_qty],stock_movements_coldchain[product_id],C66,stock_movements_coldchain[warehouse_id],B66,stock_movements_coldchain[movement_date],"&lt;" &amp;'cycle_counts_coldchain'!D66)),"Pass","Investigate")</f>
        <v>Pass</v>
      </c>
      <c r="G66" s="11">
        <v>0</v>
      </c>
      <c r="H66" s="11">
        <v>0</v>
      </c>
      <c r="I66" t="str">
        <f t="shared" ref="I66:I97" si="2">IF((G66-E66)=H66,"Pass","Investigate")</f>
        <v>Pass</v>
      </c>
      <c r="J66" t="s">
        <v>3296</v>
      </c>
      <c r="K66" t="s">
        <v>2827</v>
      </c>
      <c r="L66" t="s">
        <v>3299</v>
      </c>
    </row>
    <row r="67" spans="1:12" x14ac:dyDescent="0.25">
      <c r="A67" t="s">
        <v>2892</v>
      </c>
      <c r="B67" t="s">
        <v>999</v>
      </c>
      <c r="C67" t="s">
        <v>903</v>
      </c>
      <c r="D67" s="1">
        <v>45727.20416666667</v>
      </c>
      <c r="E67" s="11">
        <v>0</v>
      </c>
      <c r="F67" s="11" t="str">
        <f>IF(E67=(SUMIFS(stock_movements_coldchain[signed_qty],stock_movements_coldchain[product_id],C67,stock_movements_coldchain[warehouse_id],B67,stock_movements_coldchain[movement_date],"&lt;" &amp;'cycle_counts_coldchain'!D67)),"Pass","Investigate")</f>
        <v>Pass</v>
      </c>
      <c r="G67" s="11">
        <v>0</v>
      </c>
      <c r="H67" s="11">
        <v>0</v>
      </c>
      <c r="I67" t="str">
        <f t="shared" si="2"/>
        <v>Pass</v>
      </c>
      <c r="J67" t="s">
        <v>3294</v>
      </c>
      <c r="K67" t="s">
        <v>2827</v>
      </c>
      <c r="L67" t="s">
        <v>3299</v>
      </c>
    </row>
    <row r="68" spans="1:12" x14ac:dyDescent="0.25">
      <c r="A68" t="s">
        <v>2893</v>
      </c>
      <c r="B68" t="s">
        <v>964</v>
      </c>
      <c r="C68" t="s">
        <v>508</v>
      </c>
      <c r="D68" s="1">
        <v>45717.448611111111</v>
      </c>
      <c r="E68" s="11">
        <v>0</v>
      </c>
      <c r="F68" s="11" t="str">
        <f>IF(E68=(SUMIFS(stock_movements_coldchain[signed_qty],stock_movements_coldchain[product_id],C68,stock_movements_coldchain[warehouse_id],B68,stock_movements_coldchain[movement_date],"&lt;" &amp;'cycle_counts_coldchain'!D68)),"Pass","Investigate")</f>
        <v>Pass</v>
      </c>
      <c r="G68" s="11">
        <v>0</v>
      </c>
      <c r="H68" s="11">
        <v>0</v>
      </c>
      <c r="I68" t="str">
        <f t="shared" si="2"/>
        <v>Pass</v>
      </c>
      <c r="J68" t="s">
        <v>3294</v>
      </c>
      <c r="K68" t="s">
        <v>2824</v>
      </c>
      <c r="L68" t="s">
        <v>3295</v>
      </c>
    </row>
    <row r="69" spans="1:12" x14ac:dyDescent="0.25">
      <c r="A69" t="s">
        <v>2894</v>
      </c>
      <c r="B69" t="s">
        <v>964</v>
      </c>
      <c r="C69" t="s">
        <v>918</v>
      </c>
      <c r="D69" s="1">
        <v>45720.526388888888</v>
      </c>
      <c r="E69" s="11">
        <v>0</v>
      </c>
      <c r="F69" s="11" t="str">
        <f>IF(E69=(SUMIFS(stock_movements_coldchain[signed_qty],stock_movements_coldchain[product_id],C69,stock_movements_coldchain[warehouse_id],B69,stock_movements_coldchain[movement_date],"&lt;" &amp;'cycle_counts_coldchain'!D69)),"Pass","Investigate")</f>
        <v>Pass</v>
      </c>
      <c r="G69" s="11">
        <v>0</v>
      </c>
      <c r="H69" s="11">
        <v>0</v>
      </c>
      <c r="I69" t="str">
        <f t="shared" si="2"/>
        <v>Pass</v>
      </c>
      <c r="J69" t="s">
        <v>3294</v>
      </c>
      <c r="K69" t="s">
        <v>2829</v>
      </c>
      <c r="L69" t="s">
        <v>3295</v>
      </c>
    </row>
    <row r="70" spans="1:12" x14ac:dyDescent="0.25">
      <c r="A70" t="s">
        <v>2895</v>
      </c>
      <c r="B70" t="s">
        <v>972</v>
      </c>
      <c r="C70" t="s">
        <v>430</v>
      </c>
      <c r="D70" s="1">
        <v>45757.801388888889</v>
      </c>
      <c r="E70" s="11">
        <v>0</v>
      </c>
      <c r="F70" s="11" t="str">
        <f>IF(E70=(SUMIFS(stock_movements_coldchain[signed_qty],stock_movements_coldchain[product_id],C70,stock_movements_coldchain[warehouse_id],B70,stock_movements_coldchain[movement_date],"&lt;" &amp;'cycle_counts_coldchain'!D70)),"Pass","Investigate")</f>
        <v>Pass</v>
      </c>
      <c r="G70" s="11">
        <v>0</v>
      </c>
      <c r="H70" s="11">
        <v>0</v>
      </c>
      <c r="I70" t="str">
        <f t="shared" si="2"/>
        <v>Pass</v>
      </c>
      <c r="J70" t="s">
        <v>3294</v>
      </c>
      <c r="K70" t="s">
        <v>2827</v>
      </c>
      <c r="L70" t="s">
        <v>1678</v>
      </c>
    </row>
    <row r="71" spans="1:12" x14ac:dyDescent="0.25">
      <c r="A71" t="s">
        <v>2896</v>
      </c>
      <c r="B71" t="s">
        <v>996</v>
      </c>
      <c r="C71" t="s">
        <v>517</v>
      </c>
      <c r="D71" s="1">
        <v>45682.303472222222</v>
      </c>
      <c r="E71" s="11">
        <v>0</v>
      </c>
      <c r="F71" s="11" t="str">
        <f>IF(E71=(SUMIFS(stock_movements_coldchain[signed_qty],stock_movements_coldchain[product_id],C71,stock_movements_coldchain[warehouse_id],B71,stock_movements_coldchain[movement_date],"&lt;" &amp;'cycle_counts_coldchain'!D71)),"Pass","Investigate")</f>
        <v>Pass</v>
      </c>
      <c r="G71" s="11">
        <v>0</v>
      </c>
      <c r="H71" s="11">
        <v>0</v>
      </c>
      <c r="I71" t="str">
        <f t="shared" si="2"/>
        <v>Pass</v>
      </c>
      <c r="J71" t="s">
        <v>3294</v>
      </c>
      <c r="K71" t="s">
        <v>2829</v>
      </c>
      <c r="L71" t="s">
        <v>3297</v>
      </c>
    </row>
    <row r="72" spans="1:12" x14ac:dyDescent="0.25">
      <c r="A72" t="s">
        <v>2897</v>
      </c>
      <c r="B72" t="s">
        <v>996</v>
      </c>
      <c r="C72" t="s">
        <v>627</v>
      </c>
      <c r="D72" s="1">
        <v>45712.977083333331</v>
      </c>
      <c r="E72" s="11">
        <v>0</v>
      </c>
      <c r="F72" s="11" t="str">
        <f>IF(E72=(SUMIFS(stock_movements_coldchain[signed_qty],stock_movements_coldchain[product_id],C72,stock_movements_coldchain[warehouse_id],B72,stock_movements_coldchain[movement_date],"&lt;" &amp;'cycle_counts_coldchain'!D72)),"Pass","Investigate")</f>
        <v>Pass</v>
      </c>
      <c r="G72" s="11">
        <v>3</v>
      </c>
      <c r="H72" s="11">
        <v>3</v>
      </c>
      <c r="I72" t="str">
        <f t="shared" si="2"/>
        <v>Pass</v>
      </c>
      <c r="J72" t="s">
        <v>3298</v>
      </c>
      <c r="K72" t="s">
        <v>2827</v>
      </c>
      <c r="L72" t="s">
        <v>3295</v>
      </c>
    </row>
    <row r="73" spans="1:12" x14ac:dyDescent="0.25">
      <c r="A73" t="s">
        <v>2898</v>
      </c>
      <c r="B73" t="s">
        <v>980</v>
      </c>
      <c r="C73" t="s">
        <v>514</v>
      </c>
      <c r="D73" s="1">
        <v>45696.236111111109</v>
      </c>
      <c r="E73" s="11">
        <v>0</v>
      </c>
      <c r="F73" s="11" t="str">
        <f>IF(E73=(SUMIFS(stock_movements_coldchain[signed_qty],stock_movements_coldchain[product_id],C73,stock_movements_coldchain[warehouse_id],B73,stock_movements_coldchain[movement_date],"&lt;" &amp;'cycle_counts_coldchain'!D73)),"Pass","Investigate")</f>
        <v>Pass</v>
      </c>
      <c r="G73" s="11">
        <v>0</v>
      </c>
      <c r="H73" s="11">
        <v>0</v>
      </c>
      <c r="I73" t="str">
        <f t="shared" si="2"/>
        <v>Pass</v>
      </c>
      <c r="J73" t="s">
        <v>3296</v>
      </c>
      <c r="K73" t="s">
        <v>2824</v>
      </c>
      <c r="L73" t="s">
        <v>3299</v>
      </c>
    </row>
    <row r="74" spans="1:12" x14ac:dyDescent="0.25">
      <c r="A74" t="s">
        <v>2899</v>
      </c>
      <c r="B74" t="s">
        <v>972</v>
      </c>
      <c r="C74" t="s">
        <v>514</v>
      </c>
      <c r="D74" s="1">
        <v>45726.134027777778</v>
      </c>
      <c r="E74" s="11">
        <v>0</v>
      </c>
      <c r="F74" s="11" t="str">
        <f>IF(E74=(SUMIFS(stock_movements_coldchain[signed_qty],stock_movements_coldchain[product_id],C74,stock_movements_coldchain[warehouse_id],B74,stock_movements_coldchain[movement_date],"&lt;" &amp;'cycle_counts_coldchain'!D74)),"Pass","Investigate")</f>
        <v>Pass</v>
      </c>
      <c r="G74" s="11">
        <v>0</v>
      </c>
      <c r="H74" s="11">
        <v>0</v>
      </c>
      <c r="I74" t="str">
        <f t="shared" si="2"/>
        <v>Pass</v>
      </c>
      <c r="J74" t="s">
        <v>3294</v>
      </c>
      <c r="K74" t="s">
        <v>2824</v>
      </c>
      <c r="L74" t="s">
        <v>3295</v>
      </c>
    </row>
    <row r="75" spans="1:12" x14ac:dyDescent="0.25">
      <c r="A75" t="s">
        <v>2900</v>
      </c>
      <c r="B75" t="s">
        <v>959</v>
      </c>
      <c r="C75" t="s">
        <v>741</v>
      </c>
      <c r="D75" s="1">
        <v>45721.122916666667</v>
      </c>
      <c r="E75" s="11">
        <v>0</v>
      </c>
      <c r="F75" s="11" t="str">
        <f>IF(E75=(SUMIFS(stock_movements_coldchain[signed_qty],stock_movements_coldchain[product_id],C75,stock_movements_coldchain[warehouse_id],B75,stock_movements_coldchain[movement_date],"&lt;" &amp;'cycle_counts_coldchain'!D75)),"Pass","Investigate")</f>
        <v>Pass</v>
      </c>
      <c r="G75" s="11">
        <v>2</v>
      </c>
      <c r="H75" s="11">
        <v>2</v>
      </c>
      <c r="I75" t="str">
        <f t="shared" si="2"/>
        <v>Pass</v>
      </c>
      <c r="J75" t="s">
        <v>3294</v>
      </c>
      <c r="K75" t="s">
        <v>2824</v>
      </c>
      <c r="L75" t="s">
        <v>3299</v>
      </c>
    </row>
    <row r="76" spans="1:12" x14ac:dyDescent="0.25">
      <c r="A76" t="s">
        <v>2901</v>
      </c>
      <c r="B76" t="s">
        <v>972</v>
      </c>
      <c r="C76" t="s">
        <v>430</v>
      </c>
      <c r="D76" s="1">
        <v>45702.057638888888</v>
      </c>
      <c r="E76" s="11">
        <v>0</v>
      </c>
      <c r="F76" s="11" t="str">
        <f>IF(E76=(SUMIFS(stock_movements_coldchain[signed_qty],stock_movements_coldchain[product_id],C76,stock_movements_coldchain[warehouse_id],B76,stock_movements_coldchain[movement_date],"&lt;" &amp;'cycle_counts_coldchain'!D76)),"Pass","Investigate")</f>
        <v>Pass</v>
      </c>
      <c r="G76" s="11">
        <v>2</v>
      </c>
      <c r="H76" s="11">
        <v>2</v>
      </c>
      <c r="I76" t="str">
        <f t="shared" si="2"/>
        <v>Pass</v>
      </c>
      <c r="J76" t="s">
        <v>3296</v>
      </c>
      <c r="K76" t="s">
        <v>2827</v>
      </c>
      <c r="L76" t="s">
        <v>3299</v>
      </c>
    </row>
    <row r="77" spans="1:12" x14ac:dyDescent="0.25">
      <c r="A77" t="s">
        <v>2902</v>
      </c>
      <c r="B77" t="s">
        <v>959</v>
      </c>
      <c r="C77" t="s">
        <v>627</v>
      </c>
      <c r="D77" s="1">
        <v>45740.688194444447</v>
      </c>
      <c r="E77" s="11">
        <v>0</v>
      </c>
      <c r="F77" s="11" t="str">
        <f>IF(E77=(SUMIFS(stock_movements_coldchain[signed_qty],stock_movements_coldchain[product_id],C77,stock_movements_coldchain[warehouse_id],B77,stock_movements_coldchain[movement_date],"&lt;" &amp;'cycle_counts_coldchain'!D77)),"Pass","Investigate")</f>
        <v>Pass</v>
      </c>
      <c r="G77" s="11">
        <v>0</v>
      </c>
      <c r="H77" s="11">
        <v>0</v>
      </c>
      <c r="I77" t="str">
        <f t="shared" si="2"/>
        <v>Pass</v>
      </c>
      <c r="J77" t="s">
        <v>3296</v>
      </c>
      <c r="K77" t="s">
        <v>2827</v>
      </c>
      <c r="L77" t="s">
        <v>3297</v>
      </c>
    </row>
    <row r="78" spans="1:12" x14ac:dyDescent="0.25">
      <c r="A78" t="s">
        <v>2903</v>
      </c>
      <c r="B78" t="s">
        <v>996</v>
      </c>
      <c r="C78" t="s">
        <v>576</v>
      </c>
      <c r="D78" s="1">
        <v>45731.135416666664</v>
      </c>
      <c r="E78" s="11">
        <v>0</v>
      </c>
      <c r="F78" s="11" t="str">
        <f>IF(E78=(SUMIFS(stock_movements_coldchain[signed_qty],stock_movements_coldchain[product_id],C78,stock_movements_coldchain[warehouse_id],B78,stock_movements_coldchain[movement_date],"&lt;" &amp;'cycle_counts_coldchain'!D78)),"Pass","Investigate")</f>
        <v>Pass</v>
      </c>
      <c r="G78" s="11">
        <v>0</v>
      </c>
      <c r="H78" s="11">
        <v>0</v>
      </c>
      <c r="I78" t="str">
        <f t="shared" si="2"/>
        <v>Pass</v>
      </c>
      <c r="J78" t="s">
        <v>3294</v>
      </c>
      <c r="K78" t="s">
        <v>2824</v>
      </c>
      <c r="L78" t="s">
        <v>3295</v>
      </c>
    </row>
    <row r="79" spans="1:12" x14ac:dyDescent="0.25">
      <c r="A79" t="s">
        <v>2904</v>
      </c>
      <c r="B79" t="s">
        <v>980</v>
      </c>
      <c r="C79" t="s">
        <v>708</v>
      </c>
      <c r="D79" s="1">
        <v>45679.131944444445</v>
      </c>
      <c r="E79" s="11">
        <v>0</v>
      </c>
      <c r="F79" s="11" t="str">
        <f>IF(E79=(SUMIFS(stock_movements_coldchain[signed_qty],stock_movements_coldchain[product_id],C79,stock_movements_coldchain[warehouse_id],B79,stock_movements_coldchain[movement_date],"&lt;" &amp;'cycle_counts_coldchain'!D79)),"Pass","Investigate")</f>
        <v>Pass</v>
      </c>
      <c r="G79" s="11">
        <v>0</v>
      </c>
      <c r="H79" s="11">
        <v>0</v>
      </c>
      <c r="I79" t="str">
        <f t="shared" si="2"/>
        <v>Pass</v>
      </c>
      <c r="J79" t="s">
        <v>3296</v>
      </c>
      <c r="K79" t="s">
        <v>2824</v>
      </c>
      <c r="L79" t="s">
        <v>3295</v>
      </c>
    </row>
    <row r="80" spans="1:12" x14ac:dyDescent="0.25">
      <c r="A80" t="s">
        <v>2905</v>
      </c>
      <c r="B80" t="s">
        <v>999</v>
      </c>
      <c r="C80" t="s">
        <v>460</v>
      </c>
      <c r="D80" s="1">
        <v>45701.174305555556</v>
      </c>
      <c r="E80" s="11">
        <v>0</v>
      </c>
      <c r="F80" s="11" t="str">
        <f>IF(E80=(SUMIFS(stock_movements_coldchain[signed_qty],stock_movements_coldchain[product_id],C80,stock_movements_coldchain[warehouse_id],B80,stock_movements_coldchain[movement_date],"&lt;" &amp;'cycle_counts_coldchain'!D80)),"Pass","Investigate")</f>
        <v>Pass</v>
      </c>
      <c r="G80" s="11">
        <v>1</v>
      </c>
      <c r="H80" s="11">
        <v>1</v>
      </c>
      <c r="I80" t="str">
        <f t="shared" si="2"/>
        <v>Pass</v>
      </c>
      <c r="J80" t="s">
        <v>3296</v>
      </c>
      <c r="K80" t="s">
        <v>2829</v>
      </c>
      <c r="L80" t="s">
        <v>1678</v>
      </c>
    </row>
    <row r="81" spans="1:12" x14ac:dyDescent="0.25">
      <c r="A81" t="s">
        <v>2906</v>
      </c>
      <c r="B81" t="s">
        <v>976</v>
      </c>
      <c r="C81" t="s">
        <v>678</v>
      </c>
      <c r="D81" s="1">
        <v>45711.747916666667</v>
      </c>
      <c r="E81" s="11">
        <v>0</v>
      </c>
      <c r="F81" s="11" t="str">
        <f>IF(E81=(SUMIFS(stock_movements_coldchain[signed_qty],stock_movements_coldchain[product_id],C81,stock_movements_coldchain[warehouse_id],B81,stock_movements_coldchain[movement_date],"&lt;" &amp;'cycle_counts_coldchain'!D81)),"Pass","Investigate")</f>
        <v>Pass</v>
      </c>
      <c r="G81" s="11">
        <v>0</v>
      </c>
      <c r="H81" s="11">
        <v>0</v>
      </c>
      <c r="I81" t="str">
        <f t="shared" si="2"/>
        <v>Pass</v>
      </c>
      <c r="J81" t="s">
        <v>3298</v>
      </c>
      <c r="K81" t="s">
        <v>2824</v>
      </c>
      <c r="L81" t="s">
        <v>1678</v>
      </c>
    </row>
    <row r="82" spans="1:12" x14ac:dyDescent="0.25">
      <c r="A82" t="s">
        <v>2907</v>
      </c>
      <c r="B82" t="s">
        <v>987</v>
      </c>
      <c r="C82" t="s">
        <v>873</v>
      </c>
      <c r="D82" s="1">
        <v>45731.418749999997</v>
      </c>
      <c r="E82" s="11">
        <v>0</v>
      </c>
      <c r="F82" s="11" t="str">
        <f>IF(E82=(SUMIFS(stock_movements_coldchain[signed_qty],stock_movements_coldchain[product_id],C82,stock_movements_coldchain[warehouse_id],B82,stock_movements_coldchain[movement_date],"&lt;" &amp;'cycle_counts_coldchain'!D82)),"Pass","Investigate")</f>
        <v>Pass</v>
      </c>
      <c r="G82" s="11">
        <v>0</v>
      </c>
      <c r="H82" s="11">
        <v>0</v>
      </c>
      <c r="I82" t="str">
        <f t="shared" si="2"/>
        <v>Pass</v>
      </c>
      <c r="J82" t="s">
        <v>3298</v>
      </c>
      <c r="K82" t="s">
        <v>2829</v>
      </c>
      <c r="L82" t="s">
        <v>3299</v>
      </c>
    </row>
    <row r="83" spans="1:12" x14ac:dyDescent="0.25">
      <c r="A83" t="s">
        <v>2908</v>
      </c>
      <c r="B83" t="s">
        <v>999</v>
      </c>
      <c r="C83" t="s">
        <v>684</v>
      </c>
      <c r="D83" s="1">
        <v>45770.601388888892</v>
      </c>
      <c r="E83" s="11">
        <v>0</v>
      </c>
      <c r="F83" s="11" t="str">
        <f>IF(E83=(SUMIFS(stock_movements_coldchain[signed_qty],stock_movements_coldchain[product_id],C83,stock_movements_coldchain[warehouse_id],B83,stock_movements_coldchain[movement_date],"&lt;" &amp;'cycle_counts_coldchain'!D83)),"Pass","Investigate")</f>
        <v>Pass</v>
      </c>
      <c r="G83" s="11">
        <v>1</v>
      </c>
      <c r="H83" s="11">
        <v>1</v>
      </c>
      <c r="I83" t="str">
        <f t="shared" si="2"/>
        <v>Pass</v>
      </c>
      <c r="J83" t="s">
        <v>3294</v>
      </c>
      <c r="K83" t="s">
        <v>2827</v>
      </c>
      <c r="L83" t="s">
        <v>3295</v>
      </c>
    </row>
    <row r="84" spans="1:12" x14ac:dyDescent="0.25">
      <c r="A84" t="s">
        <v>2909</v>
      </c>
      <c r="B84" t="s">
        <v>976</v>
      </c>
      <c r="C84" t="s">
        <v>437</v>
      </c>
      <c r="D84" s="1">
        <v>45767.25</v>
      </c>
      <c r="E84" s="11">
        <v>0</v>
      </c>
      <c r="F84" s="11" t="str">
        <f>IF(E84=(SUMIFS(stock_movements_coldchain[signed_qty],stock_movements_coldchain[product_id],C84,stock_movements_coldchain[warehouse_id],B84,stock_movements_coldchain[movement_date],"&lt;" &amp;'cycle_counts_coldchain'!D84)),"Pass","Investigate")</f>
        <v>Pass</v>
      </c>
      <c r="G84" s="11">
        <v>0</v>
      </c>
      <c r="H84" s="11">
        <v>0</v>
      </c>
      <c r="I84" t="str">
        <f t="shared" si="2"/>
        <v>Pass</v>
      </c>
      <c r="J84" t="s">
        <v>3294</v>
      </c>
      <c r="K84" t="s">
        <v>2829</v>
      </c>
      <c r="L84" t="s">
        <v>3297</v>
      </c>
    </row>
    <row r="85" spans="1:12" x14ac:dyDescent="0.25">
      <c r="A85" t="s">
        <v>2910</v>
      </c>
      <c r="B85" t="s">
        <v>976</v>
      </c>
      <c r="C85" t="s">
        <v>744</v>
      </c>
      <c r="D85" s="1">
        <v>45679.793055555558</v>
      </c>
      <c r="E85" s="11">
        <v>0</v>
      </c>
      <c r="F85" s="11" t="str">
        <f>IF(E85=(SUMIFS(stock_movements_coldchain[signed_qty],stock_movements_coldchain[product_id],C85,stock_movements_coldchain[warehouse_id],B85,stock_movements_coldchain[movement_date],"&lt;" &amp;'cycle_counts_coldchain'!D85)),"Pass","Investigate")</f>
        <v>Pass</v>
      </c>
      <c r="G85" s="11">
        <v>0</v>
      </c>
      <c r="H85" s="11">
        <v>0</v>
      </c>
      <c r="I85" t="str">
        <f t="shared" si="2"/>
        <v>Pass</v>
      </c>
      <c r="J85" t="s">
        <v>3298</v>
      </c>
      <c r="K85" t="s">
        <v>2832</v>
      </c>
      <c r="L85" t="s">
        <v>3297</v>
      </c>
    </row>
    <row r="86" spans="1:12" x14ac:dyDescent="0.25">
      <c r="A86" t="s">
        <v>2911</v>
      </c>
      <c r="B86" t="s">
        <v>990</v>
      </c>
      <c r="C86" t="s">
        <v>633</v>
      </c>
      <c r="D86" s="1">
        <v>45715.275694444441</v>
      </c>
      <c r="E86" s="11">
        <v>0</v>
      </c>
      <c r="F86" s="11" t="str">
        <f>IF(E86=(SUMIFS(stock_movements_coldchain[signed_qty],stock_movements_coldchain[product_id],C86,stock_movements_coldchain[warehouse_id],B86,stock_movements_coldchain[movement_date],"&lt;" &amp;'cycle_counts_coldchain'!D86)),"Pass","Investigate")</f>
        <v>Pass</v>
      </c>
      <c r="G86" s="11">
        <v>0</v>
      </c>
      <c r="H86" s="11">
        <v>0</v>
      </c>
      <c r="I86" t="str">
        <f t="shared" si="2"/>
        <v>Pass</v>
      </c>
      <c r="J86" t="s">
        <v>3296</v>
      </c>
      <c r="K86" t="s">
        <v>2827</v>
      </c>
      <c r="L86" t="s">
        <v>1678</v>
      </c>
    </row>
    <row r="87" spans="1:12" x14ac:dyDescent="0.25">
      <c r="A87" t="s">
        <v>2912</v>
      </c>
      <c r="B87" t="s">
        <v>959</v>
      </c>
      <c r="C87" t="s">
        <v>557</v>
      </c>
      <c r="D87" s="1">
        <v>45702.444444444445</v>
      </c>
      <c r="E87" s="11">
        <v>0</v>
      </c>
      <c r="F87" s="11" t="str">
        <f>IF(E87=(SUMIFS(stock_movements_coldchain[signed_qty],stock_movements_coldchain[product_id],C87,stock_movements_coldchain[warehouse_id],B87,stock_movements_coldchain[movement_date],"&lt;" &amp;'cycle_counts_coldchain'!D87)),"Pass","Investigate")</f>
        <v>Pass</v>
      </c>
      <c r="G87" s="11">
        <v>0</v>
      </c>
      <c r="H87" s="11">
        <v>0</v>
      </c>
      <c r="I87" t="str">
        <f t="shared" si="2"/>
        <v>Pass</v>
      </c>
      <c r="J87" t="s">
        <v>3296</v>
      </c>
      <c r="K87" t="s">
        <v>2829</v>
      </c>
      <c r="L87" t="s">
        <v>3297</v>
      </c>
    </row>
    <row r="88" spans="1:12" x14ac:dyDescent="0.25">
      <c r="A88" t="s">
        <v>2913</v>
      </c>
      <c r="B88" t="s">
        <v>980</v>
      </c>
      <c r="C88" t="s">
        <v>639</v>
      </c>
      <c r="D88" s="1">
        <v>45683.640277777777</v>
      </c>
      <c r="E88" s="11">
        <v>0</v>
      </c>
      <c r="F88" s="11" t="str">
        <f>IF(E88=(SUMIFS(stock_movements_coldchain[signed_qty],stock_movements_coldchain[product_id],C88,stock_movements_coldchain[warehouse_id],B88,stock_movements_coldchain[movement_date],"&lt;" &amp;'cycle_counts_coldchain'!D88)),"Pass","Investigate")</f>
        <v>Pass</v>
      </c>
      <c r="G88" s="11">
        <v>1</v>
      </c>
      <c r="H88" s="11">
        <v>1</v>
      </c>
      <c r="I88" t="str">
        <f t="shared" si="2"/>
        <v>Pass</v>
      </c>
      <c r="J88" t="s">
        <v>3294</v>
      </c>
      <c r="K88" t="s">
        <v>2827</v>
      </c>
      <c r="L88" t="s">
        <v>3299</v>
      </c>
    </row>
    <row r="89" spans="1:12" x14ac:dyDescent="0.25">
      <c r="A89" t="s">
        <v>2914</v>
      </c>
      <c r="B89" t="s">
        <v>987</v>
      </c>
      <c r="C89" t="s">
        <v>560</v>
      </c>
      <c r="D89" s="1">
        <v>45755.905555555553</v>
      </c>
      <c r="E89" s="11">
        <v>0</v>
      </c>
      <c r="F89" s="11" t="str">
        <f>IF(E89=(SUMIFS(stock_movements_coldchain[signed_qty],stock_movements_coldchain[product_id],C89,stock_movements_coldchain[warehouse_id],B89,stock_movements_coldchain[movement_date],"&lt;" &amp;'cycle_counts_coldchain'!D89)),"Pass","Investigate")</f>
        <v>Pass</v>
      </c>
      <c r="G89" s="11">
        <v>0</v>
      </c>
      <c r="H89" s="11">
        <v>0</v>
      </c>
      <c r="I89" t="str">
        <f t="shared" si="2"/>
        <v>Pass</v>
      </c>
      <c r="J89" t="s">
        <v>3296</v>
      </c>
      <c r="K89" t="s">
        <v>2827</v>
      </c>
      <c r="L89" t="s">
        <v>3299</v>
      </c>
    </row>
    <row r="90" spans="1:12" x14ac:dyDescent="0.25">
      <c r="A90" t="s">
        <v>2915</v>
      </c>
      <c r="B90" t="s">
        <v>990</v>
      </c>
      <c r="C90" t="s">
        <v>401</v>
      </c>
      <c r="D90" s="1">
        <v>45728.334027777775</v>
      </c>
      <c r="E90" s="11">
        <v>0</v>
      </c>
      <c r="F90" s="11" t="str">
        <f>IF(E90=(SUMIFS(stock_movements_coldchain[signed_qty],stock_movements_coldchain[product_id],C90,stock_movements_coldchain[warehouse_id],B90,stock_movements_coldchain[movement_date],"&lt;" &amp;'cycle_counts_coldchain'!D90)),"Pass","Investigate")</f>
        <v>Pass</v>
      </c>
      <c r="G90" s="11">
        <v>2</v>
      </c>
      <c r="H90" s="11">
        <v>2</v>
      </c>
      <c r="I90" t="str">
        <f t="shared" si="2"/>
        <v>Pass</v>
      </c>
      <c r="J90" t="s">
        <v>3294</v>
      </c>
      <c r="K90" t="s">
        <v>2824</v>
      </c>
      <c r="L90" t="s">
        <v>3295</v>
      </c>
    </row>
    <row r="91" spans="1:12" x14ac:dyDescent="0.25">
      <c r="A91" t="s">
        <v>2916</v>
      </c>
      <c r="B91" t="s">
        <v>990</v>
      </c>
      <c r="C91" t="s">
        <v>687</v>
      </c>
      <c r="D91" s="1">
        <v>45749.29583333333</v>
      </c>
      <c r="E91" s="11">
        <v>0</v>
      </c>
      <c r="F91" s="11" t="str">
        <f>IF(E91=(SUMIFS(stock_movements_coldchain[signed_qty],stock_movements_coldchain[product_id],C91,stock_movements_coldchain[warehouse_id],B91,stock_movements_coldchain[movement_date],"&lt;" &amp;'cycle_counts_coldchain'!D91)),"Pass","Investigate")</f>
        <v>Pass</v>
      </c>
      <c r="G91" s="11">
        <v>3</v>
      </c>
      <c r="H91" s="11">
        <v>3</v>
      </c>
      <c r="I91" t="str">
        <f t="shared" si="2"/>
        <v>Pass</v>
      </c>
      <c r="J91" t="s">
        <v>3298</v>
      </c>
      <c r="K91" t="s">
        <v>2829</v>
      </c>
      <c r="L91" t="s">
        <v>3299</v>
      </c>
    </row>
    <row r="92" spans="1:12" x14ac:dyDescent="0.25">
      <c r="A92" t="s">
        <v>2917</v>
      </c>
      <c r="B92" t="s">
        <v>976</v>
      </c>
      <c r="C92" t="s">
        <v>678</v>
      </c>
      <c r="D92" s="1">
        <v>45736.173611111109</v>
      </c>
      <c r="E92" s="11">
        <v>0</v>
      </c>
      <c r="F92" s="11" t="str">
        <f>IF(E92=(SUMIFS(stock_movements_coldchain[signed_qty],stock_movements_coldchain[product_id],C92,stock_movements_coldchain[warehouse_id],B92,stock_movements_coldchain[movement_date],"&lt;" &amp;'cycle_counts_coldchain'!D92)),"Pass","Investigate")</f>
        <v>Pass</v>
      </c>
      <c r="G92" s="11">
        <v>0</v>
      </c>
      <c r="H92" s="11">
        <v>0</v>
      </c>
      <c r="I92" t="str">
        <f t="shared" si="2"/>
        <v>Pass</v>
      </c>
      <c r="J92" t="s">
        <v>3294</v>
      </c>
      <c r="K92" t="s">
        <v>2824</v>
      </c>
      <c r="L92" t="s">
        <v>3297</v>
      </c>
    </row>
    <row r="93" spans="1:12" x14ac:dyDescent="0.25">
      <c r="A93" t="s">
        <v>2918</v>
      </c>
      <c r="B93" t="s">
        <v>976</v>
      </c>
      <c r="C93" t="s">
        <v>452</v>
      </c>
      <c r="D93" s="1">
        <v>45759.161805555559</v>
      </c>
      <c r="E93" s="11">
        <v>0</v>
      </c>
      <c r="F93" s="11" t="str">
        <f>IF(E93=(SUMIFS(stock_movements_coldchain[signed_qty],stock_movements_coldchain[product_id],C93,stock_movements_coldchain[warehouse_id],B93,stock_movements_coldchain[movement_date],"&lt;" &amp;'cycle_counts_coldchain'!D93)),"Pass","Investigate")</f>
        <v>Pass</v>
      </c>
      <c r="G93" s="11">
        <v>0</v>
      </c>
      <c r="H93" s="11">
        <v>0</v>
      </c>
      <c r="I93" t="str">
        <f t="shared" si="2"/>
        <v>Pass</v>
      </c>
      <c r="J93" t="s">
        <v>3294</v>
      </c>
      <c r="K93" t="s">
        <v>2832</v>
      </c>
      <c r="L93" t="s">
        <v>3299</v>
      </c>
    </row>
    <row r="94" spans="1:12" x14ac:dyDescent="0.25">
      <c r="A94" t="s">
        <v>2919</v>
      </c>
      <c r="B94" t="s">
        <v>987</v>
      </c>
      <c r="C94" t="s">
        <v>735</v>
      </c>
      <c r="D94" s="1">
        <v>45760.602777777778</v>
      </c>
      <c r="E94" s="11">
        <v>0</v>
      </c>
      <c r="F94" s="11" t="str">
        <f>IF(E94=(SUMIFS(stock_movements_coldchain[signed_qty],stock_movements_coldchain[product_id],C94,stock_movements_coldchain[warehouse_id],B94,stock_movements_coldchain[movement_date],"&lt;" &amp;'cycle_counts_coldchain'!D94)),"Pass","Investigate")</f>
        <v>Pass</v>
      </c>
      <c r="G94" s="11">
        <v>1</v>
      </c>
      <c r="H94" s="11">
        <v>1</v>
      </c>
      <c r="I94" t="str">
        <f t="shared" si="2"/>
        <v>Pass</v>
      </c>
      <c r="J94" t="s">
        <v>3294</v>
      </c>
      <c r="K94" t="s">
        <v>2832</v>
      </c>
      <c r="L94" t="s">
        <v>3299</v>
      </c>
    </row>
    <row r="95" spans="1:12" x14ac:dyDescent="0.25">
      <c r="A95" t="s">
        <v>2920</v>
      </c>
      <c r="B95" t="s">
        <v>968</v>
      </c>
      <c r="C95" t="s">
        <v>801</v>
      </c>
      <c r="D95" s="1">
        <v>45753.922222222223</v>
      </c>
      <c r="E95" s="11">
        <v>0</v>
      </c>
      <c r="F95" s="11" t="str">
        <f>IF(E95=(SUMIFS(stock_movements_coldchain[signed_qty],stock_movements_coldchain[product_id],C95,stock_movements_coldchain[warehouse_id],B95,stock_movements_coldchain[movement_date],"&lt;" &amp;'cycle_counts_coldchain'!D95)),"Pass","Investigate")</f>
        <v>Pass</v>
      </c>
      <c r="G95" s="11">
        <v>0</v>
      </c>
      <c r="H95" s="11">
        <v>0</v>
      </c>
      <c r="I95" t="str">
        <f t="shared" si="2"/>
        <v>Pass</v>
      </c>
      <c r="J95" t="s">
        <v>3296</v>
      </c>
      <c r="K95" t="s">
        <v>2832</v>
      </c>
      <c r="L95" t="s">
        <v>3299</v>
      </c>
    </row>
    <row r="96" spans="1:12" x14ac:dyDescent="0.25">
      <c r="A96" t="s">
        <v>2921</v>
      </c>
      <c r="B96" t="s">
        <v>972</v>
      </c>
      <c r="C96" t="s">
        <v>852</v>
      </c>
      <c r="D96" s="1">
        <v>45756.533333333333</v>
      </c>
      <c r="E96" s="11">
        <v>0</v>
      </c>
      <c r="F96" s="11" t="str">
        <f>IF(E96=(SUMIFS(stock_movements_coldchain[signed_qty],stock_movements_coldchain[product_id],C96,stock_movements_coldchain[warehouse_id],B96,stock_movements_coldchain[movement_date],"&lt;" &amp;'cycle_counts_coldchain'!D96)),"Pass","Investigate")</f>
        <v>Pass</v>
      </c>
      <c r="G96" s="11">
        <v>0</v>
      </c>
      <c r="H96" s="11">
        <v>0</v>
      </c>
      <c r="I96" t="str">
        <f t="shared" si="2"/>
        <v>Pass</v>
      </c>
      <c r="J96" t="s">
        <v>3298</v>
      </c>
      <c r="K96" t="s">
        <v>2827</v>
      </c>
      <c r="L96" t="s">
        <v>3297</v>
      </c>
    </row>
    <row r="97" spans="1:12" x14ac:dyDescent="0.25">
      <c r="A97" t="s">
        <v>2922</v>
      </c>
      <c r="B97" t="s">
        <v>976</v>
      </c>
      <c r="C97" t="s">
        <v>487</v>
      </c>
      <c r="D97" s="1">
        <v>45760.152083333334</v>
      </c>
      <c r="E97" s="11">
        <v>0</v>
      </c>
      <c r="F97" s="11" t="str">
        <f>IF(E97=(SUMIFS(stock_movements_coldchain[signed_qty],stock_movements_coldchain[product_id],C97,stock_movements_coldchain[warehouse_id],B97,stock_movements_coldchain[movement_date],"&lt;" &amp;'cycle_counts_coldchain'!D97)),"Pass","Investigate")</f>
        <v>Pass</v>
      </c>
      <c r="G97" s="11">
        <v>0</v>
      </c>
      <c r="H97" s="11">
        <v>0</v>
      </c>
      <c r="I97" t="str">
        <f t="shared" si="2"/>
        <v>Pass</v>
      </c>
      <c r="J97" t="s">
        <v>3296</v>
      </c>
      <c r="K97" t="s">
        <v>2824</v>
      </c>
      <c r="L97" t="s">
        <v>3299</v>
      </c>
    </row>
    <row r="98" spans="1:12" x14ac:dyDescent="0.25">
      <c r="A98" t="s">
        <v>2923</v>
      </c>
      <c r="B98" t="s">
        <v>976</v>
      </c>
      <c r="C98" t="s">
        <v>726</v>
      </c>
      <c r="D98" s="1">
        <v>45755.677083333336</v>
      </c>
      <c r="E98" s="11">
        <v>0</v>
      </c>
      <c r="F98" s="11" t="str">
        <f>IF(E98=(SUMIFS(stock_movements_coldchain[signed_qty],stock_movements_coldchain[product_id],C98,stock_movements_coldchain[warehouse_id],B98,stock_movements_coldchain[movement_date],"&lt;" &amp;'cycle_counts_coldchain'!D98)),"Pass","Investigate")</f>
        <v>Pass</v>
      </c>
      <c r="G98" s="11">
        <v>3</v>
      </c>
      <c r="H98" s="11">
        <v>3</v>
      </c>
      <c r="I98" t="str">
        <f t="shared" ref="I98:I129" si="3">IF((G98-E98)=H98,"Pass","Investigate")</f>
        <v>Pass</v>
      </c>
      <c r="J98" t="s">
        <v>3294</v>
      </c>
      <c r="K98" t="s">
        <v>2832</v>
      </c>
      <c r="L98" t="s">
        <v>1678</v>
      </c>
    </row>
    <row r="99" spans="1:12" x14ac:dyDescent="0.25">
      <c r="A99" t="s">
        <v>2924</v>
      </c>
      <c r="B99" t="s">
        <v>964</v>
      </c>
      <c r="C99" t="s">
        <v>657</v>
      </c>
      <c r="D99" s="1">
        <v>45738.107638888891</v>
      </c>
      <c r="E99" s="11">
        <v>0</v>
      </c>
      <c r="F99" s="11" t="str">
        <f>IF(E99=(SUMIFS(stock_movements_coldchain[signed_qty],stock_movements_coldchain[product_id],C99,stock_movements_coldchain[warehouse_id],B99,stock_movements_coldchain[movement_date],"&lt;" &amp;'cycle_counts_coldchain'!D99)),"Pass","Investigate")</f>
        <v>Pass</v>
      </c>
      <c r="G99" s="11">
        <v>0</v>
      </c>
      <c r="H99" s="11">
        <v>0</v>
      </c>
      <c r="I99" t="str">
        <f t="shared" si="3"/>
        <v>Pass</v>
      </c>
      <c r="J99" t="s">
        <v>3298</v>
      </c>
      <c r="K99" t="s">
        <v>2824</v>
      </c>
      <c r="L99" t="s">
        <v>1678</v>
      </c>
    </row>
    <row r="100" spans="1:12" x14ac:dyDescent="0.25">
      <c r="A100" t="s">
        <v>2925</v>
      </c>
      <c r="B100" t="s">
        <v>968</v>
      </c>
      <c r="C100" t="s">
        <v>481</v>
      </c>
      <c r="D100" s="1">
        <v>45736.137499999997</v>
      </c>
      <c r="E100" s="11">
        <v>0</v>
      </c>
      <c r="F100" s="11" t="str">
        <f>IF(E100=(SUMIFS(stock_movements_coldchain[signed_qty],stock_movements_coldchain[product_id],C100,stock_movements_coldchain[warehouse_id],B100,stock_movements_coldchain[movement_date],"&lt;" &amp;'cycle_counts_coldchain'!D100)),"Pass","Investigate")</f>
        <v>Pass</v>
      </c>
      <c r="G100" s="11">
        <v>0</v>
      </c>
      <c r="H100" s="11">
        <v>0</v>
      </c>
      <c r="I100" t="str">
        <f t="shared" si="3"/>
        <v>Pass</v>
      </c>
      <c r="J100" t="s">
        <v>3298</v>
      </c>
      <c r="K100" t="s">
        <v>2824</v>
      </c>
      <c r="L100" t="s">
        <v>3295</v>
      </c>
    </row>
    <row r="101" spans="1:12" x14ac:dyDescent="0.25">
      <c r="A101" t="s">
        <v>2926</v>
      </c>
      <c r="B101" t="s">
        <v>972</v>
      </c>
      <c r="C101" t="s">
        <v>437</v>
      </c>
      <c r="D101" s="1">
        <v>45700.996527777781</v>
      </c>
      <c r="E101" s="11">
        <v>0</v>
      </c>
      <c r="F101" s="11" t="str">
        <f>IF(E101=(SUMIFS(stock_movements_coldchain[signed_qty],stock_movements_coldchain[product_id],C101,stock_movements_coldchain[warehouse_id],B101,stock_movements_coldchain[movement_date],"&lt;" &amp;'cycle_counts_coldchain'!D101)),"Pass","Investigate")</f>
        <v>Pass</v>
      </c>
      <c r="G101" s="11">
        <v>3</v>
      </c>
      <c r="H101" s="11">
        <v>3</v>
      </c>
      <c r="I101" t="str">
        <f t="shared" si="3"/>
        <v>Pass</v>
      </c>
      <c r="J101" t="s">
        <v>3296</v>
      </c>
      <c r="K101" t="s">
        <v>2824</v>
      </c>
      <c r="L101" t="s">
        <v>1678</v>
      </c>
    </row>
    <row r="102" spans="1:12" x14ac:dyDescent="0.25">
      <c r="A102" t="s">
        <v>2927</v>
      </c>
      <c r="B102" t="s">
        <v>964</v>
      </c>
      <c r="C102" t="s">
        <v>405</v>
      </c>
      <c r="D102" s="1">
        <v>45720.355555555558</v>
      </c>
      <c r="E102" s="11">
        <v>0</v>
      </c>
      <c r="F102" s="11" t="str">
        <f>IF(E102=(SUMIFS(stock_movements_coldchain[signed_qty],stock_movements_coldchain[product_id],C102,stock_movements_coldchain[warehouse_id],B102,stock_movements_coldchain[movement_date],"&lt;" &amp;'cycle_counts_coldchain'!D102)),"Pass","Investigate")</f>
        <v>Pass</v>
      </c>
      <c r="G102" s="11">
        <v>2</v>
      </c>
      <c r="H102" s="11">
        <v>2</v>
      </c>
      <c r="I102" t="str">
        <f t="shared" si="3"/>
        <v>Pass</v>
      </c>
      <c r="J102" t="s">
        <v>3294</v>
      </c>
      <c r="K102" t="s">
        <v>2827</v>
      </c>
      <c r="L102" t="s">
        <v>3299</v>
      </c>
    </row>
    <row r="103" spans="1:12" x14ac:dyDescent="0.25">
      <c r="A103" t="s">
        <v>2928</v>
      </c>
      <c r="B103" t="s">
        <v>972</v>
      </c>
      <c r="C103" t="s">
        <v>609</v>
      </c>
      <c r="D103" s="1">
        <v>45757.005555555559</v>
      </c>
      <c r="E103" s="11">
        <v>0</v>
      </c>
      <c r="F103" s="11" t="str">
        <f>IF(E103=(SUMIFS(stock_movements_coldchain[signed_qty],stock_movements_coldchain[product_id],C103,stock_movements_coldchain[warehouse_id],B103,stock_movements_coldchain[movement_date],"&lt;" &amp;'cycle_counts_coldchain'!D103)),"Pass","Investigate")</f>
        <v>Pass</v>
      </c>
      <c r="G103" s="11">
        <v>4</v>
      </c>
      <c r="H103" s="11">
        <v>4</v>
      </c>
      <c r="I103" t="str">
        <f t="shared" si="3"/>
        <v>Pass</v>
      </c>
      <c r="J103" t="s">
        <v>3296</v>
      </c>
      <c r="K103" t="s">
        <v>2832</v>
      </c>
      <c r="L103" t="s">
        <v>3297</v>
      </c>
    </row>
    <row r="104" spans="1:12" x14ac:dyDescent="0.25">
      <c r="A104" t="s">
        <v>2929</v>
      </c>
      <c r="B104" t="s">
        <v>968</v>
      </c>
      <c r="C104" t="s">
        <v>493</v>
      </c>
      <c r="D104" s="1">
        <v>45729.094444444447</v>
      </c>
      <c r="E104" s="11">
        <v>0</v>
      </c>
      <c r="F104" s="11" t="str">
        <f>IF(E104=(SUMIFS(stock_movements_coldchain[signed_qty],stock_movements_coldchain[product_id],C104,stock_movements_coldchain[warehouse_id],B104,stock_movements_coldchain[movement_date],"&lt;" &amp;'cycle_counts_coldchain'!D104)),"Pass","Investigate")</f>
        <v>Pass</v>
      </c>
      <c r="G104" s="11">
        <v>1</v>
      </c>
      <c r="H104" s="11">
        <v>1</v>
      </c>
      <c r="I104" t="str">
        <f t="shared" si="3"/>
        <v>Pass</v>
      </c>
      <c r="J104" t="s">
        <v>3296</v>
      </c>
      <c r="K104" t="s">
        <v>2827</v>
      </c>
      <c r="L104" t="s">
        <v>1678</v>
      </c>
    </row>
    <row r="105" spans="1:12" x14ac:dyDescent="0.25">
      <c r="A105" t="s">
        <v>2930</v>
      </c>
      <c r="B105" t="s">
        <v>972</v>
      </c>
      <c r="C105" t="s">
        <v>526</v>
      </c>
      <c r="D105" s="1">
        <v>45711.130555555559</v>
      </c>
      <c r="E105" s="11">
        <v>0</v>
      </c>
      <c r="F105" s="11" t="str">
        <f>IF(E105=(SUMIFS(stock_movements_coldchain[signed_qty],stock_movements_coldchain[product_id],C105,stock_movements_coldchain[warehouse_id],B105,stock_movements_coldchain[movement_date],"&lt;" &amp;'cycle_counts_coldchain'!D105)),"Pass","Investigate")</f>
        <v>Pass</v>
      </c>
      <c r="G105" s="11">
        <v>1</v>
      </c>
      <c r="H105" s="11">
        <v>1</v>
      </c>
      <c r="I105" t="str">
        <f t="shared" si="3"/>
        <v>Pass</v>
      </c>
      <c r="J105" t="s">
        <v>3296</v>
      </c>
      <c r="K105" t="s">
        <v>2824</v>
      </c>
      <c r="L105" t="s">
        <v>1678</v>
      </c>
    </row>
    <row r="106" spans="1:12" x14ac:dyDescent="0.25">
      <c r="A106" t="s">
        <v>2931</v>
      </c>
      <c r="B106" t="s">
        <v>968</v>
      </c>
      <c r="C106" t="s">
        <v>672</v>
      </c>
      <c r="D106" s="1">
        <v>45742.304166666669</v>
      </c>
      <c r="E106" s="11">
        <v>0</v>
      </c>
      <c r="F106" s="11" t="str">
        <f>IF(E106=(SUMIFS(stock_movements_coldchain[signed_qty],stock_movements_coldchain[product_id],C106,stock_movements_coldchain[warehouse_id],B106,stock_movements_coldchain[movement_date],"&lt;" &amp;'cycle_counts_coldchain'!D106)),"Pass","Investigate")</f>
        <v>Pass</v>
      </c>
      <c r="G106" s="11">
        <v>3</v>
      </c>
      <c r="H106" s="11">
        <v>3</v>
      </c>
      <c r="I106" t="str">
        <f t="shared" si="3"/>
        <v>Pass</v>
      </c>
      <c r="J106" t="s">
        <v>3294</v>
      </c>
      <c r="K106" t="s">
        <v>2824</v>
      </c>
      <c r="L106" t="s">
        <v>3299</v>
      </c>
    </row>
    <row r="107" spans="1:12" x14ac:dyDescent="0.25">
      <c r="A107" t="s">
        <v>2932</v>
      </c>
      <c r="B107" t="s">
        <v>976</v>
      </c>
      <c r="C107" t="s">
        <v>714</v>
      </c>
      <c r="D107" s="1">
        <v>45681.743750000001</v>
      </c>
      <c r="E107" s="11">
        <v>0</v>
      </c>
      <c r="F107" s="11" t="str">
        <f>IF(E107=(SUMIFS(stock_movements_coldchain[signed_qty],stock_movements_coldchain[product_id],C107,stock_movements_coldchain[warehouse_id],B107,stock_movements_coldchain[movement_date],"&lt;" &amp;'cycle_counts_coldchain'!D107)),"Pass","Investigate")</f>
        <v>Pass</v>
      </c>
      <c r="G107" s="11">
        <v>0</v>
      </c>
      <c r="H107" s="11">
        <v>0</v>
      </c>
      <c r="I107" t="str">
        <f t="shared" si="3"/>
        <v>Pass</v>
      </c>
      <c r="J107" t="s">
        <v>3298</v>
      </c>
      <c r="K107" t="s">
        <v>2829</v>
      </c>
      <c r="L107" t="s">
        <v>3297</v>
      </c>
    </row>
    <row r="108" spans="1:12" x14ac:dyDescent="0.25">
      <c r="A108" t="s">
        <v>2933</v>
      </c>
      <c r="B108" t="s">
        <v>990</v>
      </c>
      <c r="C108" t="s">
        <v>466</v>
      </c>
      <c r="D108" s="1">
        <v>45775.835416666669</v>
      </c>
      <c r="E108" s="11">
        <v>304</v>
      </c>
      <c r="F108" s="11" t="str">
        <f>IF(E108=(SUMIFS(stock_movements_coldchain[signed_qty],stock_movements_coldchain[product_id],C108,stock_movements_coldchain[warehouse_id],B108,stock_movements_coldchain[movement_date],"&lt;" &amp;'cycle_counts_coldchain'!D108)),"Pass","Investigate")</f>
        <v>Pass</v>
      </c>
      <c r="G108" s="11">
        <v>304</v>
      </c>
      <c r="H108" s="11">
        <v>0</v>
      </c>
      <c r="I108" t="str">
        <f t="shared" si="3"/>
        <v>Pass</v>
      </c>
      <c r="J108" t="s">
        <v>3296</v>
      </c>
      <c r="K108" t="s">
        <v>2827</v>
      </c>
      <c r="L108" t="s">
        <v>1678</v>
      </c>
    </row>
    <row r="109" spans="1:12" x14ac:dyDescent="0.25">
      <c r="A109" t="s">
        <v>2934</v>
      </c>
      <c r="B109" t="s">
        <v>990</v>
      </c>
      <c r="C109" t="s">
        <v>560</v>
      </c>
      <c r="D109" s="1">
        <v>45775.559027777781</v>
      </c>
      <c r="E109" s="11">
        <v>0</v>
      </c>
      <c r="F109" s="11" t="str">
        <f>IF(E109=(SUMIFS(stock_movements_coldchain[signed_qty],stock_movements_coldchain[product_id],C109,stock_movements_coldchain[warehouse_id],B109,stock_movements_coldchain[movement_date],"&lt;" &amp;'cycle_counts_coldchain'!D109)),"Pass","Investigate")</f>
        <v>Pass</v>
      </c>
      <c r="G109" s="11">
        <v>0</v>
      </c>
      <c r="H109" s="11">
        <v>0</v>
      </c>
      <c r="I109" t="str">
        <f t="shared" si="3"/>
        <v>Pass</v>
      </c>
      <c r="J109" t="s">
        <v>3298</v>
      </c>
      <c r="K109" t="s">
        <v>2829</v>
      </c>
      <c r="L109" t="s">
        <v>1678</v>
      </c>
    </row>
    <row r="110" spans="1:12" x14ac:dyDescent="0.25">
      <c r="A110" t="s">
        <v>2935</v>
      </c>
      <c r="B110" t="s">
        <v>964</v>
      </c>
      <c r="C110" t="s">
        <v>765</v>
      </c>
      <c r="D110" s="1">
        <v>45777.104861111111</v>
      </c>
      <c r="E110" s="11">
        <v>0</v>
      </c>
      <c r="F110" s="11" t="str">
        <f>IF(E110=(SUMIFS(stock_movements_coldchain[signed_qty],stock_movements_coldchain[product_id],C110,stock_movements_coldchain[warehouse_id],B110,stock_movements_coldchain[movement_date],"&lt;" &amp;'cycle_counts_coldchain'!D110)),"Pass","Investigate")</f>
        <v>Pass</v>
      </c>
      <c r="G110" s="11">
        <v>0</v>
      </c>
      <c r="H110" s="11">
        <v>0</v>
      </c>
      <c r="I110" t="str">
        <f t="shared" si="3"/>
        <v>Pass</v>
      </c>
      <c r="J110" t="s">
        <v>3298</v>
      </c>
      <c r="K110" t="s">
        <v>2824</v>
      </c>
      <c r="L110" t="s">
        <v>1678</v>
      </c>
    </row>
    <row r="111" spans="1:12" x14ac:dyDescent="0.25">
      <c r="A111" t="s">
        <v>2936</v>
      </c>
      <c r="B111" t="s">
        <v>968</v>
      </c>
      <c r="C111" t="s">
        <v>870</v>
      </c>
      <c r="D111" s="1">
        <v>45775.603472222225</v>
      </c>
      <c r="E111" s="11">
        <v>0</v>
      </c>
      <c r="F111" s="11" t="str">
        <f>IF(E111=(SUMIFS(stock_movements_coldchain[signed_qty],stock_movements_coldchain[product_id],C111,stock_movements_coldchain[warehouse_id],B111,stock_movements_coldchain[movement_date],"&lt;" &amp;'cycle_counts_coldchain'!D111)),"Pass","Investigate")</f>
        <v>Pass</v>
      </c>
      <c r="G111" s="11">
        <v>0</v>
      </c>
      <c r="H111" s="11">
        <v>0</v>
      </c>
      <c r="I111" t="str">
        <f t="shared" si="3"/>
        <v>Pass</v>
      </c>
      <c r="J111" t="s">
        <v>3298</v>
      </c>
      <c r="K111" t="s">
        <v>2829</v>
      </c>
      <c r="L111" t="s">
        <v>3297</v>
      </c>
    </row>
    <row r="112" spans="1:12" x14ac:dyDescent="0.25">
      <c r="A112" t="s">
        <v>2937</v>
      </c>
      <c r="B112" t="s">
        <v>999</v>
      </c>
      <c r="C112" t="s">
        <v>843</v>
      </c>
      <c r="D112" s="1">
        <v>45719.770833333336</v>
      </c>
      <c r="E112" s="11">
        <v>0</v>
      </c>
      <c r="F112" s="11" t="str">
        <f>IF(E112=(SUMIFS(stock_movements_coldchain[signed_qty],stock_movements_coldchain[product_id],C112,stock_movements_coldchain[warehouse_id],B112,stock_movements_coldchain[movement_date],"&lt;" &amp;'cycle_counts_coldchain'!D112)),"Pass","Investigate")</f>
        <v>Pass</v>
      </c>
      <c r="G112" s="11">
        <v>0</v>
      </c>
      <c r="H112" s="11">
        <v>0</v>
      </c>
      <c r="I112" t="str">
        <f t="shared" si="3"/>
        <v>Pass</v>
      </c>
      <c r="J112" t="s">
        <v>3298</v>
      </c>
      <c r="K112" t="s">
        <v>2832</v>
      </c>
      <c r="L112" t="s">
        <v>3297</v>
      </c>
    </row>
    <row r="113" spans="1:12" x14ac:dyDescent="0.25">
      <c r="A113" t="s">
        <v>2938</v>
      </c>
      <c r="B113" t="s">
        <v>990</v>
      </c>
      <c r="C113" t="s">
        <v>466</v>
      </c>
      <c r="D113" s="1">
        <v>45763.945138888892</v>
      </c>
      <c r="E113" s="11">
        <v>304</v>
      </c>
      <c r="F113" s="11" t="str">
        <f>IF(E113=(SUMIFS(stock_movements_coldchain[signed_qty],stock_movements_coldchain[product_id],C113,stock_movements_coldchain[warehouse_id],B113,stock_movements_coldchain[movement_date],"&lt;" &amp;'cycle_counts_coldchain'!D113)),"Pass","Investigate")</f>
        <v>Pass</v>
      </c>
      <c r="G113" s="11">
        <v>301</v>
      </c>
      <c r="H113" s="11">
        <v>-3</v>
      </c>
      <c r="I113" t="str">
        <f t="shared" si="3"/>
        <v>Pass</v>
      </c>
      <c r="J113" t="s">
        <v>3296</v>
      </c>
      <c r="K113" t="s">
        <v>2829</v>
      </c>
      <c r="L113" t="s">
        <v>1678</v>
      </c>
    </row>
    <row r="114" spans="1:12" x14ac:dyDescent="0.25">
      <c r="A114" t="s">
        <v>2939</v>
      </c>
      <c r="B114" t="s">
        <v>959</v>
      </c>
      <c r="C114" t="s">
        <v>663</v>
      </c>
      <c r="D114" s="1">
        <v>45717.382638888892</v>
      </c>
      <c r="E114" s="11">
        <v>0</v>
      </c>
      <c r="F114" s="11" t="str">
        <f>IF(E114=(SUMIFS(stock_movements_coldchain[signed_qty],stock_movements_coldchain[product_id],C114,stock_movements_coldchain[warehouse_id],B114,stock_movements_coldchain[movement_date],"&lt;" &amp;'cycle_counts_coldchain'!D114)),"Pass","Investigate")</f>
        <v>Pass</v>
      </c>
      <c r="G114" s="11">
        <v>0</v>
      </c>
      <c r="H114" s="11">
        <v>0</v>
      </c>
      <c r="I114" t="str">
        <f t="shared" si="3"/>
        <v>Pass</v>
      </c>
      <c r="J114" t="s">
        <v>3296</v>
      </c>
      <c r="K114" t="s">
        <v>2827</v>
      </c>
      <c r="L114" t="s">
        <v>3295</v>
      </c>
    </row>
    <row r="115" spans="1:12" x14ac:dyDescent="0.25">
      <c r="A115" t="s">
        <v>2940</v>
      </c>
      <c r="B115" t="s">
        <v>972</v>
      </c>
      <c r="C115" t="s">
        <v>560</v>
      </c>
      <c r="D115" s="1">
        <v>45735.704861111109</v>
      </c>
      <c r="E115" s="11">
        <v>0</v>
      </c>
      <c r="F115" s="11" t="str">
        <f>IF(E115=(SUMIFS(stock_movements_coldchain[signed_qty],stock_movements_coldchain[product_id],C115,stock_movements_coldchain[warehouse_id],B115,stock_movements_coldchain[movement_date],"&lt;" &amp;'cycle_counts_coldchain'!D115)),"Pass","Investigate")</f>
        <v>Pass</v>
      </c>
      <c r="G115" s="11">
        <v>2</v>
      </c>
      <c r="H115" s="11">
        <v>2</v>
      </c>
      <c r="I115" t="str">
        <f t="shared" si="3"/>
        <v>Pass</v>
      </c>
      <c r="J115" t="s">
        <v>3294</v>
      </c>
      <c r="K115" t="s">
        <v>2829</v>
      </c>
      <c r="L115" t="s">
        <v>3299</v>
      </c>
    </row>
    <row r="116" spans="1:12" x14ac:dyDescent="0.25">
      <c r="A116" t="s">
        <v>2941</v>
      </c>
      <c r="B116" t="s">
        <v>999</v>
      </c>
      <c r="C116" t="s">
        <v>825</v>
      </c>
      <c r="D116" s="1">
        <v>45691.268750000003</v>
      </c>
      <c r="E116" s="11">
        <v>0</v>
      </c>
      <c r="F116" s="11" t="str">
        <f>IF(E116=(SUMIFS(stock_movements_coldchain[signed_qty],stock_movements_coldchain[product_id],C116,stock_movements_coldchain[warehouse_id],B116,stock_movements_coldchain[movement_date],"&lt;" &amp;'cycle_counts_coldchain'!D116)),"Pass","Investigate")</f>
        <v>Pass</v>
      </c>
      <c r="G116" s="11">
        <v>4</v>
      </c>
      <c r="H116" s="11">
        <v>4</v>
      </c>
      <c r="I116" t="str">
        <f t="shared" si="3"/>
        <v>Pass</v>
      </c>
      <c r="J116" t="s">
        <v>3298</v>
      </c>
      <c r="K116" t="s">
        <v>2824</v>
      </c>
      <c r="L116" t="s">
        <v>3297</v>
      </c>
    </row>
    <row r="117" spans="1:12" x14ac:dyDescent="0.25">
      <c r="A117" t="s">
        <v>2942</v>
      </c>
      <c r="B117" t="s">
        <v>990</v>
      </c>
      <c r="C117" t="s">
        <v>554</v>
      </c>
      <c r="D117" s="1">
        <v>45715.248611111114</v>
      </c>
      <c r="E117" s="11">
        <v>0</v>
      </c>
      <c r="F117" s="11" t="str">
        <f>IF(E117=(SUMIFS(stock_movements_coldchain[signed_qty],stock_movements_coldchain[product_id],C117,stock_movements_coldchain[warehouse_id],B117,stock_movements_coldchain[movement_date],"&lt;" &amp;'cycle_counts_coldchain'!D117)),"Pass","Investigate")</f>
        <v>Pass</v>
      </c>
      <c r="G117" s="11">
        <v>0</v>
      </c>
      <c r="H117" s="11">
        <v>0</v>
      </c>
      <c r="I117" t="str">
        <f t="shared" si="3"/>
        <v>Pass</v>
      </c>
      <c r="J117" t="s">
        <v>3296</v>
      </c>
      <c r="K117" t="s">
        <v>2832</v>
      </c>
      <c r="L117" t="s">
        <v>3299</v>
      </c>
    </row>
    <row r="118" spans="1:12" x14ac:dyDescent="0.25">
      <c r="A118" t="s">
        <v>2943</v>
      </c>
      <c r="B118" t="s">
        <v>999</v>
      </c>
      <c r="C118" t="s">
        <v>585</v>
      </c>
      <c r="D118" s="1">
        <v>45746.828472222223</v>
      </c>
      <c r="E118" s="11">
        <v>0</v>
      </c>
      <c r="F118" s="11" t="str">
        <f>IF(E118=(SUMIFS(stock_movements_coldchain[signed_qty],stock_movements_coldchain[product_id],C118,stock_movements_coldchain[warehouse_id],B118,stock_movements_coldchain[movement_date],"&lt;" &amp;'cycle_counts_coldchain'!D118)),"Pass","Investigate")</f>
        <v>Pass</v>
      </c>
      <c r="G118" s="11">
        <v>0</v>
      </c>
      <c r="H118" s="11">
        <v>0</v>
      </c>
      <c r="I118" t="str">
        <f t="shared" si="3"/>
        <v>Pass</v>
      </c>
      <c r="J118" t="s">
        <v>3296</v>
      </c>
      <c r="K118" t="s">
        <v>2832</v>
      </c>
      <c r="L118" t="s">
        <v>3299</v>
      </c>
    </row>
    <row r="119" spans="1:12" x14ac:dyDescent="0.25">
      <c r="A119" t="s">
        <v>2944</v>
      </c>
      <c r="B119" t="s">
        <v>976</v>
      </c>
      <c r="C119" t="s">
        <v>517</v>
      </c>
      <c r="D119" s="1">
        <v>45710.586111111108</v>
      </c>
      <c r="E119" s="11">
        <v>0</v>
      </c>
      <c r="F119" s="11" t="str">
        <f>IF(E119=(SUMIFS(stock_movements_coldchain[signed_qty],stock_movements_coldchain[product_id],C119,stock_movements_coldchain[warehouse_id],B119,stock_movements_coldchain[movement_date],"&lt;" &amp;'cycle_counts_coldchain'!D119)),"Pass","Investigate")</f>
        <v>Pass</v>
      </c>
      <c r="G119" s="11">
        <v>0</v>
      </c>
      <c r="H119" s="11">
        <v>0</v>
      </c>
      <c r="I119" t="str">
        <f t="shared" si="3"/>
        <v>Pass</v>
      </c>
      <c r="J119" t="s">
        <v>3296</v>
      </c>
      <c r="K119" t="s">
        <v>2829</v>
      </c>
      <c r="L119" t="s">
        <v>3297</v>
      </c>
    </row>
    <row r="120" spans="1:12" x14ac:dyDescent="0.25">
      <c r="A120" t="s">
        <v>2945</v>
      </c>
      <c r="B120" t="s">
        <v>964</v>
      </c>
      <c r="C120" t="s">
        <v>576</v>
      </c>
      <c r="D120" s="1">
        <v>45770.374305555553</v>
      </c>
      <c r="E120" s="11">
        <v>0</v>
      </c>
      <c r="F120" s="11" t="str">
        <f>IF(E120=(SUMIFS(stock_movements_coldchain[signed_qty],stock_movements_coldchain[product_id],C120,stock_movements_coldchain[warehouse_id],B120,stock_movements_coldchain[movement_date],"&lt;" &amp;'cycle_counts_coldchain'!D120)),"Pass","Investigate")</f>
        <v>Pass</v>
      </c>
      <c r="G120" s="11">
        <v>0</v>
      </c>
      <c r="H120" s="11">
        <v>0</v>
      </c>
      <c r="I120" t="str">
        <f t="shared" si="3"/>
        <v>Pass</v>
      </c>
      <c r="J120" t="s">
        <v>3296</v>
      </c>
      <c r="K120" t="s">
        <v>2824</v>
      </c>
      <c r="L120" t="s">
        <v>3297</v>
      </c>
    </row>
    <row r="121" spans="1:12" x14ac:dyDescent="0.25">
      <c r="A121" t="s">
        <v>2946</v>
      </c>
      <c r="B121" t="s">
        <v>980</v>
      </c>
      <c r="C121" t="s">
        <v>582</v>
      </c>
      <c r="D121" s="1">
        <v>45738.220833333333</v>
      </c>
      <c r="E121" s="11">
        <v>0</v>
      </c>
      <c r="F121" s="11" t="str">
        <f>IF(E121=(SUMIFS(stock_movements_coldchain[signed_qty],stock_movements_coldchain[product_id],C121,stock_movements_coldchain[warehouse_id],B121,stock_movements_coldchain[movement_date],"&lt;" &amp;'cycle_counts_coldchain'!D121)),"Pass","Investigate")</f>
        <v>Pass</v>
      </c>
      <c r="G121" s="11">
        <v>3</v>
      </c>
      <c r="H121" s="11">
        <v>3</v>
      </c>
      <c r="I121" t="str">
        <f t="shared" si="3"/>
        <v>Pass</v>
      </c>
      <c r="J121" t="s">
        <v>3296</v>
      </c>
      <c r="K121" t="s">
        <v>2829</v>
      </c>
      <c r="L121" t="s">
        <v>1678</v>
      </c>
    </row>
    <row r="122" spans="1:12" x14ac:dyDescent="0.25">
      <c r="A122" t="s">
        <v>2947</v>
      </c>
      <c r="B122" t="s">
        <v>964</v>
      </c>
      <c r="C122" t="s">
        <v>852</v>
      </c>
      <c r="D122" s="1">
        <v>45752.464583333334</v>
      </c>
      <c r="E122" s="11">
        <v>0</v>
      </c>
      <c r="F122" s="11" t="str">
        <f>IF(E122=(SUMIFS(stock_movements_coldchain[signed_qty],stock_movements_coldchain[product_id],C122,stock_movements_coldchain[warehouse_id],B122,stock_movements_coldchain[movement_date],"&lt;" &amp;'cycle_counts_coldchain'!D122)),"Pass","Investigate")</f>
        <v>Pass</v>
      </c>
      <c r="G122" s="11">
        <v>0</v>
      </c>
      <c r="H122" s="11">
        <v>0</v>
      </c>
      <c r="I122" t="str">
        <f t="shared" si="3"/>
        <v>Pass</v>
      </c>
      <c r="J122" t="s">
        <v>3294</v>
      </c>
      <c r="K122" t="s">
        <v>2827</v>
      </c>
      <c r="L122" t="s">
        <v>3299</v>
      </c>
    </row>
    <row r="123" spans="1:12" x14ac:dyDescent="0.25">
      <c r="A123" t="s">
        <v>2948</v>
      </c>
      <c r="B123" t="s">
        <v>959</v>
      </c>
      <c r="C123" t="s">
        <v>906</v>
      </c>
      <c r="D123" s="1">
        <v>45751.5625</v>
      </c>
      <c r="E123" s="11">
        <v>0</v>
      </c>
      <c r="F123" s="11" t="str">
        <f>IF(E123=(SUMIFS(stock_movements_coldchain[signed_qty],stock_movements_coldchain[product_id],C123,stock_movements_coldchain[warehouse_id],B123,stock_movements_coldchain[movement_date],"&lt;" &amp;'cycle_counts_coldchain'!D123)),"Pass","Investigate")</f>
        <v>Pass</v>
      </c>
      <c r="G123" s="11">
        <v>0</v>
      </c>
      <c r="H123" s="11">
        <v>0</v>
      </c>
      <c r="I123" t="str">
        <f t="shared" si="3"/>
        <v>Pass</v>
      </c>
      <c r="J123" t="s">
        <v>3296</v>
      </c>
      <c r="K123" t="s">
        <v>2832</v>
      </c>
      <c r="L123" t="s">
        <v>3299</v>
      </c>
    </row>
    <row r="124" spans="1:12" x14ac:dyDescent="0.25">
      <c r="A124" t="s">
        <v>2949</v>
      </c>
      <c r="B124" t="s">
        <v>972</v>
      </c>
      <c r="C124" t="s">
        <v>927</v>
      </c>
      <c r="D124" s="1">
        <v>45733.540972222225</v>
      </c>
      <c r="E124" s="11">
        <v>0</v>
      </c>
      <c r="F124" s="11" t="str">
        <f>IF(E124=(SUMIFS(stock_movements_coldchain[signed_qty],stock_movements_coldchain[product_id],C124,stock_movements_coldchain[warehouse_id],B124,stock_movements_coldchain[movement_date],"&lt;" &amp;'cycle_counts_coldchain'!D124)),"Pass","Investigate")</f>
        <v>Pass</v>
      </c>
      <c r="G124" s="11">
        <v>0</v>
      </c>
      <c r="H124" s="11">
        <v>0</v>
      </c>
      <c r="I124" t="str">
        <f t="shared" si="3"/>
        <v>Pass</v>
      </c>
      <c r="J124" t="s">
        <v>3294</v>
      </c>
      <c r="K124" t="s">
        <v>2824</v>
      </c>
      <c r="L124" t="s">
        <v>3297</v>
      </c>
    </row>
    <row r="125" spans="1:12" x14ac:dyDescent="0.25">
      <c r="A125" t="s">
        <v>2950</v>
      </c>
      <c r="B125" t="s">
        <v>976</v>
      </c>
      <c r="C125" t="s">
        <v>774</v>
      </c>
      <c r="D125" s="1">
        <v>45760.224999999999</v>
      </c>
      <c r="E125" s="11">
        <v>0</v>
      </c>
      <c r="F125" s="11" t="str">
        <f>IF(E125=(SUMIFS(stock_movements_coldchain[signed_qty],stock_movements_coldchain[product_id],C125,stock_movements_coldchain[warehouse_id],B125,stock_movements_coldchain[movement_date],"&lt;" &amp;'cycle_counts_coldchain'!D125)),"Pass","Investigate")</f>
        <v>Pass</v>
      </c>
      <c r="G125" s="11">
        <v>0</v>
      </c>
      <c r="H125" s="11">
        <v>0</v>
      </c>
      <c r="I125" t="str">
        <f t="shared" si="3"/>
        <v>Pass</v>
      </c>
      <c r="J125" t="s">
        <v>3294</v>
      </c>
      <c r="K125" t="s">
        <v>2832</v>
      </c>
      <c r="L125" t="s">
        <v>3299</v>
      </c>
    </row>
    <row r="126" spans="1:12" x14ac:dyDescent="0.25">
      <c r="A126" t="s">
        <v>2951</v>
      </c>
      <c r="B126" t="s">
        <v>980</v>
      </c>
      <c r="C126" t="s">
        <v>684</v>
      </c>
      <c r="D126" s="1">
        <v>45719.890277777777</v>
      </c>
      <c r="E126" s="11">
        <v>0</v>
      </c>
      <c r="F126" s="11" t="str">
        <f>IF(E126=(SUMIFS(stock_movements_coldchain[signed_qty],stock_movements_coldchain[product_id],C126,stock_movements_coldchain[warehouse_id],B126,stock_movements_coldchain[movement_date],"&lt;" &amp;'cycle_counts_coldchain'!D126)),"Pass","Investigate")</f>
        <v>Pass</v>
      </c>
      <c r="G126" s="11">
        <v>1</v>
      </c>
      <c r="H126" s="11">
        <v>1</v>
      </c>
      <c r="I126" t="str">
        <f t="shared" si="3"/>
        <v>Pass</v>
      </c>
      <c r="J126" t="s">
        <v>3296</v>
      </c>
      <c r="K126" t="s">
        <v>2829</v>
      </c>
      <c r="L126" t="s">
        <v>3297</v>
      </c>
    </row>
    <row r="127" spans="1:12" x14ac:dyDescent="0.25">
      <c r="A127" t="s">
        <v>2952</v>
      </c>
      <c r="B127" t="s">
        <v>990</v>
      </c>
      <c r="C127" t="s">
        <v>579</v>
      </c>
      <c r="D127" s="1">
        <v>45678.45</v>
      </c>
      <c r="E127" s="11">
        <v>0</v>
      </c>
      <c r="F127" s="11" t="str">
        <f>IF(E127=(SUMIFS(stock_movements_coldchain[signed_qty],stock_movements_coldchain[product_id],C127,stock_movements_coldchain[warehouse_id],B127,stock_movements_coldchain[movement_date],"&lt;" &amp;'cycle_counts_coldchain'!D127)),"Pass","Investigate")</f>
        <v>Pass</v>
      </c>
      <c r="G127" s="11">
        <v>0</v>
      </c>
      <c r="H127" s="11">
        <v>0</v>
      </c>
      <c r="I127" t="str">
        <f t="shared" si="3"/>
        <v>Pass</v>
      </c>
      <c r="J127" t="s">
        <v>3294</v>
      </c>
      <c r="K127" t="s">
        <v>2827</v>
      </c>
      <c r="L127" t="s">
        <v>3297</v>
      </c>
    </row>
    <row r="128" spans="1:12" x14ac:dyDescent="0.25">
      <c r="A128" t="s">
        <v>2953</v>
      </c>
      <c r="B128" t="s">
        <v>987</v>
      </c>
      <c r="C128" t="s">
        <v>912</v>
      </c>
      <c r="D128" s="1">
        <v>45715.978472222225</v>
      </c>
      <c r="E128" s="11">
        <v>0</v>
      </c>
      <c r="F128" s="11" t="str">
        <f>IF(E128=(SUMIFS(stock_movements_coldchain[signed_qty],stock_movements_coldchain[product_id],C128,stock_movements_coldchain[warehouse_id],B128,stock_movements_coldchain[movement_date],"&lt;" &amp;'cycle_counts_coldchain'!D128)),"Pass","Investigate")</f>
        <v>Pass</v>
      </c>
      <c r="G128" s="11">
        <v>0</v>
      </c>
      <c r="H128" s="11">
        <v>0</v>
      </c>
      <c r="I128" t="str">
        <f t="shared" si="3"/>
        <v>Pass</v>
      </c>
      <c r="J128" t="s">
        <v>3298</v>
      </c>
      <c r="K128" t="s">
        <v>2832</v>
      </c>
      <c r="L128" t="s">
        <v>3297</v>
      </c>
    </row>
    <row r="129" spans="1:12" x14ac:dyDescent="0.25">
      <c r="A129" t="s">
        <v>2954</v>
      </c>
      <c r="B129" t="s">
        <v>990</v>
      </c>
      <c r="C129" t="s">
        <v>523</v>
      </c>
      <c r="D129" s="1">
        <v>45744.629166666666</v>
      </c>
      <c r="E129" s="11">
        <v>0</v>
      </c>
      <c r="F129" s="11" t="str">
        <f>IF(E129=(SUMIFS(stock_movements_coldchain[signed_qty],stock_movements_coldchain[product_id],C129,stock_movements_coldchain[warehouse_id],B129,stock_movements_coldchain[movement_date],"&lt;" &amp;'cycle_counts_coldchain'!D129)),"Pass","Investigate")</f>
        <v>Pass</v>
      </c>
      <c r="G129" s="11">
        <v>0</v>
      </c>
      <c r="H129" s="11">
        <v>0</v>
      </c>
      <c r="I129" t="str">
        <f t="shared" si="3"/>
        <v>Pass</v>
      </c>
      <c r="J129" t="s">
        <v>3298</v>
      </c>
      <c r="K129" t="s">
        <v>2824</v>
      </c>
      <c r="L129" t="s">
        <v>3299</v>
      </c>
    </row>
    <row r="130" spans="1:12" x14ac:dyDescent="0.25">
      <c r="A130" t="s">
        <v>2955</v>
      </c>
      <c r="B130" t="s">
        <v>959</v>
      </c>
      <c r="C130" t="s">
        <v>505</v>
      </c>
      <c r="D130" s="1">
        <v>45679.522222222222</v>
      </c>
      <c r="E130" s="11">
        <v>0</v>
      </c>
      <c r="F130" s="11" t="str">
        <f>IF(E130=(SUMIFS(stock_movements_coldchain[signed_qty],stock_movements_coldchain[product_id],C130,stock_movements_coldchain[warehouse_id],B130,stock_movements_coldchain[movement_date],"&lt;" &amp;'cycle_counts_coldchain'!D130)),"Pass","Investigate")</f>
        <v>Pass</v>
      </c>
      <c r="G130" s="11">
        <v>0</v>
      </c>
      <c r="H130" s="11">
        <v>0</v>
      </c>
      <c r="I130" t="str">
        <f t="shared" ref="I130:I161" si="4">IF((G130-E130)=H130,"Pass","Investigate")</f>
        <v>Pass</v>
      </c>
      <c r="J130" t="s">
        <v>3298</v>
      </c>
      <c r="K130" t="s">
        <v>2829</v>
      </c>
      <c r="L130" t="s">
        <v>3297</v>
      </c>
    </row>
    <row r="131" spans="1:12" x14ac:dyDescent="0.25">
      <c r="A131" t="s">
        <v>2956</v>
      </c>
      <c r="B131" t="s">
        <v>987</v>
      </c>
      <c r="C131" t="s">
        <v>478</v>
      </c>
      <c r="D131" s="1">
        <v>45730.680555555555</v>
      </c>
      <c r="E131" s="11">
        <v>0</v>
      </c>
      <c r="F131" s="11" t="str">
        <f>IF(E131=(SUMIFS(stock_movements_coldchain[signed_qty],stock_movements_coldchain[product_id],C131,stock_movements_coldchain[warehouse_id],B131,stock_movements_coldchain[movement_date],"&lt;" &amp;'cycle_counts_coldchain'!D131)),"Pass","Investigate")</f>
        <v>Pass</v>
      </c>
      <c r="G131" s="11">
        <v>0</v>
      </c>
      <c r="H131" s="11">
        <v>0</v>
      </c>
      <c r="I131" t="str">
        <f t="shared" si="4"/>
        <v>Pass</v>
      </c>
      <c r="J131" t="s">
        <v>3298</v>
      </c>
      <c r="K131" t="s">
        <v>2824</v>
      </c>
      <c r="L131" t="s">
        <v>1678</v>
      </c>
    </row>
    <row r="132" spans="1:12" x14ac:dyDescent="0.25">
      <c r="A132" t="s">
        <v>2957</v>
      </c>
      <c r="B132" t="s">
        <v>990</v>
      </c>
      <c r="C132" t="s">
        <v>514</v>
      </c>
      <c r="D132" s="1">
        <v>45713.022916666669</v>
      </c>
      <c r="E132" s="11">
        <v>0</v>
      </c>
      <c r="F132" s="11" t="str">
        <f>IF(E132=(SUMIFS(stock_movements_coldchain[signed_qty],stock_movements_coldchain[product_id],C132,stock_movements_coldchain[warehouse_id],B132,stock_movements_coldchain[movement_date],"&lt;" &amp;'cycle_counts_coldchain'!D132)),"Pass","Investigate")</f>
        <v>Pass</v>
      </c>
      <c r="G132" s="11">
        <v>0</v>
      </c>
      <c r="H132" s="11">
        <v>0</v>
      </c>
      <c r="I132" t="str">
        <f t="shared" si="4"/>
        <v>Pass</v>
      </c>
      <c r="J132" t="s">
        <v>3296</v>
      </c>
      <c r="K132" t="s">
        <v>2824</v>
      </c>
      <c r="L132" t="s">
        <v>3295</v>
      </c>
    </row>
    <row r="133" spans="1:12" x14ac:dyDescent="0.25">
      <c r="A133" t="s">
        <v>2958</v>
      </c>
      <c r="B133" t="s">
        <v>999</v>
      </c>
      <c r="C133" t="s">
        <v>810</v>
      </c>
      <c r="D133" s="1">
        <v>45694.570833333331</v>
      </c>
      <c r="E133" s="11">
        <v>0</v>
      </c>
      <c r="F133" s="11" t="str">
        <f>IF(E133=(SUMIFS(stock_movements_coldchain[signed_qty],stock_movements_coldchain[product_id],C133,stock_movements_coldchain[warehouse_id],B133,stock_movements_coldchain[movement_date],"&lt;" &amp;'cycle_counts_coldchain'!D133)),"Pass","Investigate")</f>
        <v>Pass</v>
      </c>
      <c r="G133" s="11">
        <v>0</v>
      </c>
      <c r="H133" s="11">
        <v>0</v>
      </c>
      <c r="I133" t="str">
        <f t="shared" si="4"/>
        <v>Pass</v>
      </c>
      <c r="J133" t="s">
        <v>3294</v>
      </c>
      <c r="K133" t="s">
        <v>2832</v>
      </c>
      <c r="L133" t="s">
        <v>3295</v>
      </c>
    </row>
    <row r="134" spans="1:12" x14ac:dyDescent="0.25">
      <c r="A134" t="s">
        <v>2959</v>
      </c>
      <c r="B134" t="s">
        <v>968</v>
      </c>
      <c r="C134" t="s">
        <v>795</v>
      </c>
      <c r="D134" s="1">
        <v>45697.188888888886</v>
      </c>
      <c r="E134" s="11">
        <v>0</v>
      </c>
      <c r="F134" s="11" t="str">
        <f>IF(E134=(SUMIFS(stock_movements_coldchain[signed_qty],stock_movements_coldchain[product_id],C134,stock_movements_coldchain[warehouse_id],B134,stock_movements_coldchain[movement_date],"&lt;" &amp;'cycle_counts_coldchain'!D134)),"Pass","Investigate")</f>
        <v>Pass</v>
      </c>
      <c r="G134" s="11">
        <v>4</v>
      </c>
      <c r="H134" s="11">
        <v>4</v>
      </c>
      <c r="I134" t="str">
        <f t="shared" si="4"/>
        <v>Pass</v>
      </c>
      <c r="J134" t="s">
        <v>3298</v>
      </c>
      <c r="K134" t="s">
        <v>2824</v>
      </c>
      <c r="L134" t="s">
        <v>3297</v>
      </c>
    </row>
    <row r="135" spans="1:12" x14ac:dyDescent="0.25">
      <c r="A135" t="s">
        <v>2960</v>
      </c>
      <c r="B135" t="s">
        <v>968</v>
      </c>
      <c r="C135" t="s">
        <v>511</v>
      </c>
      <c r="D135" s="1">
        <v>45759.189583333333</v>
      </c>
      <c r="E135" s="11">
        <v>0</v>
      </c>
      <c r="F135" s="11" t="str">
        <f>IF(E135=(SUMIFS(stock_movements_coldchain[signed_qty],stock_movements_coldchain[product_id],C135,stock_movements_coldchain[warehouse_id],B135,stock_movements_coldchain[movement_date],"&lt;" &amp;'cycle_counts_coldchain'!D135)),"Pass","Investigate")</f>
        <v>Pass</v>
      </c>
      <c r="G135" s="11">
        <v>1</v>
      </c>
      <c r="H135" s="11">
        <v>1</v>
      </c>
      <c r="I135" t="str">
        <f t="shared" si="4"/>
        <v>Pass</v>
      </c>
      <c r="J135" t="s">
        <v>3298</v>
      </c>
      <c r="K135" t="s">
        <v>2827</v>
      </c>
      <c r="L135" t="s">
        <v>3295</v>
      </c>
    </row>
    <row r="136" spans="1:12" x14ac:dyDescent="0.25">
      <c r="A136" t="s">
        <v>2961</v>
      </c>
      <c r="B136" t="s">
        <v>980</v>
      </c>
      <c r="C136" t="s">
        <v>663</v>
      </c>
      <c r="D136" s="1">
        <v>45726.604166666664</v>
      </c>
      <c r="E136" s="11">
        <v>0</v>
      </c>
      <c r="F136" s="11" t="str">
        <f>IF(E136=(SUMIFS(stock_movements_coldchain[signed_qty],stock_movements_coldchain[product_id],C136,stock_movements_coldchain[warehouse_id],B136,stock_movements_coldchain[movement_date],"&lt;" &amp;'cycle_counts_coldchain'!D136)),"Pass","Investigate")</f>
        <v>Pass</v>
      </c>
      <c r="G136" s="11">
        <v>0</v>
      </c>
      <c r="H136" s="11">
        <v>0</v>
      </c>
      <c r="I136" t="str">
        <f t="shared" si="4"/>
        <v>Pass</v>
      </c>
      <c r="J136" t="s">
        <v>3294</v>
      </c>
      <c r="K136" t="s">
        <v>2824</v>
      </c>
      <c r="L136" t="s">
        <v>3295</v>
      </c>
    </row>
    <row r="137" spans="1:12" x14ac:dyDescent="0.25">
      <c r="A137" t="s">
        <v>2962</v>
      </c>
      <c r="B137" t="s">
        <v>990</v>
      </c>
      <c r="C137" t="s">
        <v>452</v>
      </c>
      <c r="D137" s="1">
        <v>45736.961805555555</v>
      </c>
      <c r="E137" s="11">
        <v>0</v>
      </c>
      <c r="F137" s="11" t="str">
        <f>IF(E137=(SUMIFS(stock_movements_coldchain[signed_qty],stock_movements_coldchain[product_id],C137,stock_movements_coldchain[warehouse_id],B137,stock_movements_coldchain[movement_date],"&lt;" &amp;'cycle_counts_coldchain'!D137)),"Pass","Investigate")</f>
        <v>Pass</v>
      </c>
      <c r="G137" s="11">
        <v>0</v>
      </c>
      <c r="H137" s="11">
        <v>0</v>
      </c>
      <c r="I137" t="str">
        <f t="shared" si="4"/>
        <v>Pass</v>
      </c>
      <c r="J137" t="s">
        <v>3298</v>
      </c>
      <c r="K137" t="s">
        <v>2827</v>
      </c>
      <c r="L137" t="s">
        <v>3299</v>
      </c>
    </row>
    <row r="138" spans="1:12" x14ac:dyDescent="0.25">
      <c r="A138" t="s">
        <v>2963</v>
      </c>
      <c r="B138" t="s">
        <v>968</v>
      </c>
      <c r="C138" t="s">
        <v>939</v>
      </c>
      <c r="D138" s="1">
        <v>45764.400694444441</v>
      </c>
      <c r="E138" s="11">
        <v>18</v>
      </c>
      <c r="F138" s="11" t="str">
        <f>IF(E138=(SUMIFS(stock_movements_coldchain[signed_qty],stock_movements_coldchain[product_id],C138,stock_movements_coldchain[warehouse_id],B138,stock_movements_coldchain[movement_date],"&lt;" &amp;'cycle_counts_coldchain'!D138)),"Pass","Investigate")</f>
        <v>Pass</v>
      </c>
      <c r="G138" s="11">
        <v>19</v>
      </c>
      <c r="H138" s="11">
        <v>1</v>
      </c>
      <c r="I138" t="str">
        <f t="shared" si="4"/>
        <v>Pass</v>
      </c>
      <c r="J138" t="s">
        <v>3294</v>
      </c>
      <c r="K138" t="s">
        <v>2829</v>
      </c>
      <c r="L138" t="s">
        <v>3295</v>
      </c>
    </row>
    <row r="139" spans="1:12" x14ac:dyDescent="0.25">
      <c r="A139" t="s">
        <v>2964</v>
      </c>
      <c r="B139" t="s">
        <v>990</v>
      </c>
      <c r="C139" t="s">
        <v>401</v>
      </c>
      <c r="D139" s="1">
        <v>45708.869444444441</v>
      </c>
      <c r="E139" s="11">
        <v>0</v>
      </c>
      <c r="F139" s="11" t="str">
        <f>IF(E139=(SUMIFS(stock_movements_coldchain[signed_qty],stock_movements_coldchain[product_id],C139,stock_movements_coldchain[warehouse_id],B139,stock_movements_coldchain[movement_date],"&lt;" &amp;'cycle_counts_coldchain'!D139)),"Pass","Investigate")</f>
        <v>Pass</v>
      </c>
      <c r="G139" s="11">
        <v>0</v>
      </c>
      <c r="H139" s="11">
        <v>0</v>
      </c>
      <c r="I139" t="str">
        <f t="shared" si="4"/>
        <v>Pass</v>
      </c>
      <c r="J139" t="s">
        <v>3298</v>
      </c>
      <c r="K139" t="s">
        <v>2824</v>
      </c>
      <c r="L139" t="s">
        <v>3299</v>
      </c>
    </row>
    <row r="140" spans="1:12" x14ac:dyDescent="0.25">
      <c r="A140" t="s">
        <v>2965</v>
      </c>
      <c r="B140" t="s">
        <v>972</v>
      </c>
      <c r="C140" t="s">
        <v>526</v>
      </c>
      <c r="D140" s="1">
        <v>45761.103472222225</v>
      </c>
      <c r="E140" s="11">
        <v>0</v>
      </c>
      <c r="F140" s="11" t="str">
        <f>IF(E140=(SUMIFS(stock_movements_coldchain[signed_qty],stock_movements_coldchain[product_id],C140,stock_movements_coldchain[warehouse_id],B140,stock_movements_coldchain[movement_date],"&lt;" &amp;'cycle_counts_coldchain'!D140)),"Pass","Investigate")</f>
        <v>Pass</v>
      </c>
      <c r="G140" s="11">
        <v>1</v>
      </c>
      <c r="H140" s="11">
        <v>1</v>
      </c>
      <c r="I140" t="str">
        <f t="shared" si="4"/>
        <v>Pass</v>
      </c>
      <c r="J140" t="s">
        <v>3296</v>
      </c>
      <c r="K140" t="s">
        <v>2832</v>
      </c>
      <c r="L140" t="s">
        <v>3297</v>
      </c>
    </row>
    <row r="141" spans="1:12" x14ac:dyDescent="0.25">
      <c r="A141" t="s">
        <v>2966</v>
      </c>
      <c r="B141" t="s">
        <v>996</v>
      </c>
      <c r="C141" t="s">
        <v>735</v>
      </c>
      <c r="D141" s="1">
        <v>45749.519444444442</v>
      </c>
      <c r="E141" s="11">
        <v>0</v>
      </c>
      <c r="F141" s="11" t="str">
        <f>IF(E141=(SUMIFS(stock_movements_coldchain[signed_qty],stock_movements_coldchain[product_id],C141,stock_movements_coldchain[warehouse_id],B141,stock_movements_coldchain[movement_date],"&lt;" &amp;'cycle_counts_coldchain'!D141)),"Pass","Investigate")</f>
        <v>Pass</v>
      </c>
      <c r="G141" s="11">
        <v>2</v>
      </c>
      <c r="H141" s="11">
        <v>2</v>
      </c>
      <c r="I141" t="str">
        <f t="shared" si="4"/>
        <v>Pass</v>
      </c>
      <c r="J141" t="s">
        <v>3294</v>
      </c>
      <c r="K141" t="s">
        <v>2832</v>
      </c>
      <c r="L141" t="s">
        <v>1678</v>
      </c>
    </row>
    <row r="142" spans="1:12" x14ac:dyDescent="0.25">
      <c r="A142" t="s">
        <v>2967</v>
      </c>
      <c r="B142" t="s">
        <v>996</v>
      </c>
      <c r="C142" t="s">
        <v>397</v>
      </c>
      <c r="D142" s="1">
        <v>45758.57708333333</v>
      </c>
      <c r="E142" s="11">
        <v>0</v>
      </c>
      <c r="F142" s="11" t="str">
        <f>IF(E142=(SUMIFS(stock_movements_coldchain[signed_qty],stock_movements_coldchain[product_id],C142,stock_movements_coldchain[warehouse_id],B142,stock_movements_coldchain[movement_date],"&lt;" &amp;'cycle_counts_coldchain'!D142)),"Pass","Investigate")</f>
        <v>Pass</v>
      </c>
      <c r="G142" s="11">
        <v>0</v>
      </c>
      <c r="H142" s="11">
        <v>0</v>
      </c>
      <c r="I142" t="str">
        <f t="shared" si="4"/>
        <v>Pass</v>
      </c>
      <c r="J142" t="s">
        <v>3294</v>
      </c>
      <c r="K142" t="s">
        <v>2824</v>
      </c>
      <c r="L142" t="s">
        <v>3299</v>
      </c>
    </row>
    <row r="143" spans="1:12" x14ac:dyDescent="0.25">
      <c r="A143" t="s">
        <v>2968</v>
      </c>
      <c r="B143" t="s">
        <v>959</v>
      </c>
      <c r="C143" t="s">
        <v>573</v>
      </c>
      <c r="D143" s="1">
        <v>45768.602083333331</v>
      </c>
      <c r="E143" s="11">
        <v>0</v>
      </c>
      <c r="F143" s="11" t="str">
        <f>IF(E143=(SUMIFS(stock_movements_coldchain[signed_qty],stock_movements_coldchain[product_id],C143,stock_movements_coldchain[warehouse_id],B143,stock_movements_coldchain[movement_date],"&lt;" &amp;'cycle_counts_coldchain'!D143)),"Pass","Investigate")</f>
        <v>Pass</v>
      </c>
      <c r="G143" s="11">
        <v>0</v>
      </c>
      <c r="H143" s="11">
        <v>0</v>
      </c>
      <c r="I143" t="str">
        <f t="shared" si="4"/>
        <v>Pass</v>
      </c>
      <c r="J143" t="s">
        <v>3294</v>
      </c>
      <c r="K143" t="s">
        <v>2832</v>
      </c>
      <c r="L143" t="s">
        <v>3297</v>
      </c>
    </row>
    <row r="144" spans="1:12" x14ac:dyDescent="0.25">
      <c r="A144" t="s">
        <v>2969</v>
      </c>
      <c r="B144" t="s">
        <v>964</v>
      </c>
      <c r="C144" t="s">
        <v>502</v>
      </c>
      <c r="D144" s="1">
        <v>45710.363888888889</v>
      </c>
      <c r="E144" s="11">
        <v>279</v>
      </c>
      <c r="F144" s="11" t="str">
        <f>IF(E144=(SUMIFS(stock_movements_coldchain[signed_qty],stock_movements_coldchain[product_id],C144,stock_movements_coldchain[warehouse_id],B144,stock_movements_coldchain[movement_date],"&lt;" &amp;'cycle_counts_coldchain'!D144)),"Pass","Investigate")</f>
        <v>Pass</v>
      </c>
      <c r="G144" s="11">
        <v>281</v>
      </c>
      <c r="H144" s="11">
        <v>2</v>
      </c>
      <c r="I144" t="str">
        <f t="shared" si="4"/>
        <v>Pass</v>
      </c>
      <c r="J144" t="s">
        <v>3298</v>
      </c>
      <c r="K144" t="s">
        <v>2832</v>
      </c>
      <c r="L144" t="s">
        <v>3299</v>
      </c>
    </row>
    <row r="145" spans="1:12" x14ac:dyDescent="0.25">
      <c r="A145" t="s">
        <v>2970</v>
      </c>
      <c r="B145" t="s">
        <v>980</v>
      </c>
      <c r="C145" t="s">
        <v>723</v>
      </c>
      <c r="D145" s="1">
        <v>45690.455555555556</v>
      </c>
      <c r="E145" s="11">
        <v>0</v>
      </c>
      <c r="F145" s="11" t="str">
        <f>IF(E145=(SUMIFS(stock_movements_coldchain[signed_qty],stock_movements_coldchain[product_id],C145,stock_movements_coldchain[warehouse_id],B145,stock_movements_coldchain[movement_date],"&lt;" &amp;'cycle_counts_coldchain'!D145)),"Pass","Investigate")</f>
        <v>Pass</v>
      </c>
      <c r="G145" s="11">
        <v>0</v>
      </c>
      <c r="H145" s="11">
        <v>0</v>
      </c>
      <c r="I145" t="str">
        <f t="shared" si="4"/>
        <v>Pass</v>
      </c>
      <c r="J145" t="s">
        <v>3294</v>
      </c>
      <c r="K145" t="s">
        <v>2832</v>
      </c>
      <c r="L145" t="s">
        <v>1678</v>
      </c>
    </row>
    <row r="146" spans="1:12" x14ac:dyDescent="0.25">
      <c r="A146" t="s">
        <v>2971</v>
      </c>
      <c r="B146" t="s">
        <v>990</v>
      </c>
      <c r="C146" t="s">
        <v>433</v>
      </c>
      <c r="D146" s="1">
        <v>45692.197916666664</v>
      </c>
      <c r="E146" s="11">
        <v>0</v>
      </c>
      <c r="F146" s="11" t="str">
        <f>IF(E146=(SUMIFS(stock_movements_coldchain[signed_qty],stock_movements_coldchain[product_id],C146,stock_movements_coldchain[warehouse_id],B146,stock_movements_coldchain[movement_date],"&lt;" &amp;'cycle_counts_coldchain'!D146)),"Pass","Investigate")</f>
        <v>Pass</v>
      </c>
      <c r="G146" s="11">
        <v>3</v>
      </c>
      <c r="H146" s="11">
        <v>3</v>
      </c>
      <c r="I146" t="str">
        <f t="shared" si="4"/>
        <v>Pass</v>
      </c>
      <c r="J146" t="s">
        <v>3298</v>
      </c>
      <c r="K146" t="s">
        <v>2827</v>
      </c>
      <c r="L146" t="s">
        <v>3299</v>
      </c>
    </row>
    <row r="147" spans="1:12" x14ac:dyDescent="0.25">
      <c r="A147" t="s">
        <v>2972</v>
      </c>
      <c r="B147" t="s">
        <v>959</v>
      </c>
      <c r="C147" t="s">
        <v>430</v>
      </c>
      <c r="D147" s="1">
        <v>45732.870833333334</v>
      </c>
      <c r="E147" s="11">
        <v>0</v>
      </c>
      <c r="F147" s="11" t="str">
        <f>IF(E147=(SUMIFS(stock_movements_coldchain[signed_qty],stock_movements_coldchain[product_id],C147,stock_movements_coldchain[warehouse_id],B147,stock_movements_coldchain[movement_date],"&lt;" &amp;'cycle_counts_coldchain'!D147)),"Pass","Investigate")</f>
        <v>Pass</v>
      </c>
      <c r="G147" s="11">
        <v>0</v>
      </c>
      <c r="H147" s="11">
        <v>0</v>
      </c>
      <c r="I147" t="str">
        <f t="shared" si="4"/>
        <v>Pass</v>
      </c>
      <c r="J147" t="s">
        <v>3296</v>
      </c>
      <c r="K147" t="s">
        <v>2827</v>
      </c>
      <c r="L147" t="s">
        <v>3297</v>
      </c>
    </row>
    <row r="148" spans="1:12" x14ac:dyDescent="0.25">
      <c r="A148" t="s">
        <v>2973</v>
      </c>
      <c r="B148" t="s">
        <v>976</v>
      </c>
      <c r="C148" t="s">
        <v>548</v>
      </c>
      <c r="D148" s="1">
        <v>45739.300694444442</v>
      </c>
      <c r="E148" s="11">
        <v>0</v>
      </c>
      <c r="F148" s="11" t="str">
        <f>IF(E148=(SUMIFS(stock_movements_coldchain[signed_qty],stock_movements_coldchain[product_id],C148,stock_movements_coldchain[warehouse_id],B148,stock_movements_coldchain[movement_date],"&lt;" &amp;'cycle_counts_coldchain'!D148)),"Pass","Investigate")</f>
        <v>Pass</v>
      </c>
      <c r="G148" s="11">
        <v>3</v>
      </c>
      <c r="H148" s="11">
        <v>3</v>
      </c>
      <c r="I148" t="str">
        <f t="shared" si="4"/>
        <v>Pass</v>
      </c>
      <c r="J148" t="s">
        <v>3296</v>
      </c>
      <c r="K148" t="s">
        <v>2827</v>
      </c>
      <c r="L148" t="s">
        <v>3297</v>
      </c>
    </row>
    <row r="149" spans="1:12" x14ac:dyDescent="0.25">
      <c r="A149" t="s">
        <v>2974</v>
      </c>
      <c r="B149" t="s">
        <v>959</v>
      </c>
      <c r="C149" t="s">
        <v>696</v>
      </c>
      <c r="D149" s="1">
        <v>45696.986805555556</v>
      </c>
      <c r="E149" s="11">
        <v>0</v>
      </c>
      <c r="F149" s="11" t="str">
        <f>IF(E149=(SUMIFS(stock_movements_coldchain[signed_qty],stock_movements_coldchain[product_id],C149,stock_movements_coldchain[warehouse_id],B149,stock_movements_coldchain[movement_date],"&lt;" &amp;'cycle_counts_coldchain'!D149)),"Pass","Investigate")</f>
        <v>Pass</v>
      </c>
      <c r="G149" s="11">
        <v>0</v>
      </c>
      <c r="H149" s="11">
        <v>0</v>
      </c>
      <c r="I149" t="str">
        <f t="shared" si="4"/>
        <v>Pass</v>
      </c>
      <c r="J149" t="s">
        <v>3298</v>
      </c>
      <c r="K149" t="s">
        <v>2827</v>
      </c>
      <c r="L149" t="s">
        <v>3297</v>
      </c>
    </row>
    <row r="150" spans="1:12" x14ac:dyDescent="0.25">
      <c r="A150" t="s">
        <v>2975</v>
      </c>
      <c r="B150" t="s">
        <v>972</v>
      </c>
      <c r="C150" t="s">
        <v>484</v>
      </c>
      <c r="D150" s="1">
        <v>45754.717361111114</v>
      </c>
      <c r="E150" s="11">
        <v>0</v>
      </c>
      <c r="F150" s="11" t="str">
        <f>IF(E150=(SUMIFS(stock_movements_coldchain[signed_qty],stock_movements_coldchain[product_id],C150,stock_movements_coldchain[warehouse_id],B150,stock_movements_coldchain[movement_date],"&lt;" &amp;'cycle_counts_coldchain'!D150)),"Pass","Investigate")</f>
        <v>Pass</v>
      </c>
      <c r="G150" s="11">
        <v>0</v>
      </c>
      <c r="H150" s="11">
        <v>0</v>
      </c>
      <c r="I150" t="str">
        <f t="shared" si="4"/>
        <v>Pass</v>
      </c>
      <c r="J150" t="s">
        <v>3296</v>
      </c>
      <c r="K150" t="s">
        <v>2832</v>
      </c>
      <c r="L150" t="s">
        <v>3295</v>
      </c>
    </row>
    <row r="151" spans="1:12" x14ac:dyDescent="0.25">
      <c r="A151" t="s">
        <v>2976</v>
      </c>
      <c r="B151" t="s">
        <v>972</v>
      </c>
      <c r="C151" t="s">
        <v>816</v>
      </c>
      <c r="D151" s="1">
        <v>45742.814583333333</v>
      </c>
      <c r="E151" s="11">
        <v>0</v>
      </c>
      <c r="F151" s="11" t="str">
        <f>IF(E151=(SUMIFS(stock_movements_coldchain[signed_qty],stock_movements_coldchain[product_id],C151,stock_movements_coldchain[warehouse_id],B151,stock_movements_coldchain[movement_date],"&lt;" &amp;'cycle_counts_coldchain'!D151)),"Pass","Investigate")</f>
        <v>Pass</v>
      </c>
      <c r="G151" s="11">
        <v>0</v>
      </c>
      <c r="H151" s="11">
        <v>0</v>
      </c>
      <c r="I151" t="str">
        <f t="shared" si="4"/>
        <v>Pass</v>
      </c>
      <c r="J151" t="s">
        <v>3296</v>
      </c>
      <c r="K151" t="s">
        <v>2827</v>
      </c>
      <c r="L151" t="s">
        <v>1678</v>
      </c>
    </row>
    <row r="152" spans="1:12" x14ac:dyDescent="0.25">
      <c r="A152" t="s">
        <v>2977</v>
      </c>
      <c r="B152" t="s">
        <v>990</v>
      </c>
      <c r="C152" t="s">
        <v>433</v>
      </c>
      <c r="D152" s="1">
        <v>45764.498611111114</v>
      </c>
      <c r="E152" s="11">
        <v>0</v>
      </c>
      <c r="F152" s="11" t="str">
        <f>IF(E152=(SUMIFS(stock_movements_coldchain[signed_qty],stock_movements_coldchain[product_id],C152,stock_movements_coldchain[warehouse_id],B152,stock_movements_coldchain[movement_date],"&lt;" &amp;'cycle_counts_coldchain'!D152)),"Pass","Investigate")</f>
        <v>Pass</v>
      </c>
      <c r="G152" s="11">
        <v>0</v>
      </c>
      <c r="H152" s="11">
        <v>0</v>
      </c>
      <c r="I152" t="str">
        <f t="shared" si="4"/>
        <v>Pass</v>
      </c>
      <c r="J152" t="s">
        <v>3294</v>
      </c>
      <c r="K152" t="s">
        <v>2827</v>
      </c>
      <c r="L152" t="s">
        <v>3297</v>
      </c>
    </row>
    <row r="153" spans="1:12" x14ac:dyDescent="0.25">
      <c r="A153" t="s">
        <v>2978</v>
      </c>
      <c r="B153" t="s">
        <v>980</v>
      </c>
      <c r="C153" t="s">
        <v>576</v>
      </c>
      <c r="D153" s="1">
        <v>45726.170138888891</v>
      </c>
      <c r="E153" s="11">
        <v>0</v>
      </c>
      <c r="F153" s="11" t="str">
        <f>IF(E153=(SUMIFS(stock_movements_coldchain[signed_qty],stock_movements_coldchain[product_id],C153,stock_movements_coldchain[warehouse_id],B153,stock_movements_coldchain[movement_date],"&lt;" &amp;'cycle_counts_coldchain'!D153)),"Pass","Investigate")</f>
        <v>Pass</v>
      </c>
      <c r="G153" s="11">
        <v>0</v>
      </c>
      <c r="H153" s="11">
        <v>0</v>
      </c>
      <c r="I153" t="str">
        <f t="shared" si="4"/>
        <v>Pass</v>
      </c>
      <c r="J153" t="s">
        <v>3298</v>
      </c>
      <c r="K153" t="s">
        <v>2832</v>
      </c>
      <c r="L153" t="s">
        <v>1678</v>
      </c>
    </row>
    <row r="154" spans="1:12" x14ac:dyDescent="0.25">
      <c r="A154" t="s">
        <v>2979</v>
      </c>
      <c r="B154" t="s">
        <v>964</v>
      </c>
      <c r="C154" t="s">
        <v>891</v>
      </c>
      <c r="D154" s="1">
        <v>45679.869444444441</v>
      </c>
      <c r="E154" s="11">
        <v>0</v>
      </c>
      <c r="F154" s="11" t="str">
        <f>IF(E154=(SUMIFS(stock_movements_coldchain[signed_qty],stock_movements_coldchain[product_id],C154,stock_movements_coldchain[warehouse_id],B154,stock_movements_coldchain[movement_date],"&lt;" &amp;'cycle_counts_coldchain'!D154)),"Pass","Investigate")</f>
        <v>Pass</v>
      </c>
      <c r="G154" s="11">
        <v>0</v>
      </c>
      <c r="H154" s="11">
        <v>0</v>
      </c>
      <c r="I154" t="str">
        <f t="shared" si="4"/>
        <v>Pass</v>
      </c>
      <c r="J154" t="s">
        <v>3296</v>
      </c>
      <c r="K154" t="s">
        <v>2829</v>
      </c>
      <c r="L154" t="s">
        <v>3295</v>
      </c>
    </row>
    <row r="155" spans="1:12" x14ac:dyDescent="0.25">
      <c r="A155" t="s">
        <v>2980</v>
      </c>
      <c r="B155" t="s">
        <v>968</v>
      </c>
      <c r="C155" t="s">
        <v>420</v>
      </c>
      <c r="D155" s="1">
        <v>45719.627083333333</v>
      </c>
      <c r="E155" s="11">
        <v>0</v>
      </c>
      <c r="F155" s="11" t="str">
        <f>IF(E155=(SUMIFS(stock_movements_coldchain[signed_qty],stock_movements_coldchain[product_id],C155,stock_movements_coldchain[warehouse_id],B155,stock_movements_coldchain[movement_date],"&lt;" &amp;'cycle_counts_coldchain'!D155)),"Pass","Investigate")</f>
        <v>Pass</v>
      </c>
      <c r="G155" s="11">
        <v>0</v>
      </c>
      <c r="H155" s="11">
        <v>0</v>
      </c>
      <c r="I155" t="str">
        <f t="shared" si="4"/>
        <v>Pass</v>
      </c>
      <c r="J155" t="s">
        <v>3296</v>
      </c>
      <c r="K155" t="s">
        <v>2824</v>
      </c>
      <c r="L155" t="s">
        <v>3295</v>
      </c>
    </row>
    <row r="156" spans="1:12" x14ac:dyDescent="0.25">
      <c r="A156" t="s">
        <v>2981</v>
      </c>
      <c r="B156" t="s">
        <v>990</v>
      </c>
      <c r="C156" t="s">
        <v>536</v>
      </c>
      <c r="D156" s="1">
        <v>45759.00277777778</v>
      </c>
      <c r="E156" s="11">
        <v>0</v>
      </c>
      <c r="F156" s="11" t="str">
        <f>IF(E156=(SUMIFS(stock_movements_coldchain[signed_qty],stock_movements_coldchain[product_id],C156,stock_movements_coldchain[warehouse_id],B156,stock_movements_coldchain[movement_date],"&lt;" &amp;'cycle_counts_coldchain'!D156)),"Pass","Investigate")</f>
        <v>Pass</v>
      </c>
      <c r="G156" s="11">
        <v>0</v>
      </c>
      <c r="H156" s="11">
        <v>0</v>
      </c>
      <c r="I156" t="str">
        <f t="shared" si="4"/>
        <v>Pass</v>
      </c>
      <c r="J156" t="s">
        <v>3294</v>
      </c>
      <c r="K156" t="s">
        <v>2824</v>
      </c>
      <c r="L156" t="s">
        <v>3299</v>
      </c>
    </row>
    <row r="157" spans="1:12" x14ac:dyDescent="0.25">
      <c r="A157" t="s">
        <v>2982</v>
      </c>
      <c r="B157" t="s">
        <v>968</v>
      </c>
      <c r="C157" t="s">
        <v>858</v>
      </c>
      <c r="D157" s="1">
        <v>45769.179166666669</v>
      </c>
      <c r="E157" s="11">
        <v>0</v>
      </c>
      <c r="F157" s="11" t="str">
        <f>IF(E157=(SUMIFS(stock_movements_coldchain[signed_qty],stock_movements_coldchain[product_id],C157,stock_movements_coldchain[warehouse_id],B157,stock_movements_coldchain[movement_date],"&lt;" &amp;'cycle_counts_coldchain'!D157)),"Pass","Investigate")</f>
        <v>Pass</v>
      </c>
      <c r="G157" s="11">
        <v>0</v>
      </c>
      <c r="H157" s="11">
        <v>0</v>
      </c>
      <c r="I157" t="str">
        <f t="shared" si="4"/>
        <v>Pass</v>
      </c>
      <c r="J157" t="s">
        <v>3298</v>
      </c>
      <c r="K157" t="s">
        <v>2827</v>
      </c>
      <c r="L157" t="s">
        <v>1678</v>
      </c>
    </row>
    <row r="158" spans="1:12" x14ac:dyDescent="0.25">
      <c r="A158" t="s">
        <v>2983</v>
      </c>
      <c r="B158" t="s">
        <v>980</v>
      </c>
      <c r="C158" t="s">
        <v>723</v>
      </c>
      <c r="D158" s="1">
        <v>45756.452777777777</v>
      </c>
      <c r="E158" s="11">
        <v>0</v>
      </c>
      <c r="F158" s="11" t="str">
        <f>IF(E158=(SUMIFS(stock_movements_coldchain[signed_qty],stock_movements_coldchain[product_id],C158,stock_movements_coldchain[warehouse_id],B158,stock_movements_coldchain[movement_date],"&lt;" &amp;'cycle_counts_coldchain'!D158)),"Pass","Investigate")</f>
        <v>Pass</v>
      </c>
      <c r="G158" s="11">
        <v>0</v>
      </c>
      <c r="H158" s="11">
        <v>0</v>
      </c>
      <c r="I158" t="str">
        <f t="shared" si="4"/>
        <v>Pass</v>
      </c>
      <c r="J158" t="s">
        <v>3296</v>
      </c>
      <c r="K158" t="s">
        <v>2824</v>
      </c>
      <c r="L158" t="s">
        <v>3297</v>
      </c>
    </row>
    <row r="159" spans="1:12" x14ac:dyDescent="0.25">
      <c r="A159" t="s">
        <v>2984</v>
      </c>
      <c r="B159" t="s">
        <v>996</v>
      </c>
      <c r="C159" t="s">
        <v>660</v>
      </c>
      <c r="D159" s="1">
        <v>45711.919444444444</v>
      </c>
      <c r="E159" s="11">
        <v>0</v>
      </c>
      <c r="F159" s="11" t="str">
        <f>IF(E159=(SUMIFS(stock_movements_coldchain[signed_qty],stock_movements_coldchain[product_id],C159,stock_movements_coldchain[warehouse_id],B159,stock_movements_coldchain[movement_date],"&lt;" &amp;'cycle_counts_coldchain'!D159)),"Pass","Investigate")</f>
        <v>Pass</v>
      </c>
      <c r="G159" s="11">
        <v>0</v>
      </c>
      <c r="H159" s="11">
        <v>0</v>
      </c>
      <c r="I159" t="str">
        <f t="shared" si="4"/>
        <v>Pass</v>
      </c>
      <c r="J159" t="s">
        <v>3294</v>
      </c>
      <c r="K159" t="s">
        <v>2829</v>
      </c>
      <c r="L159" t="s">
        <v>3299</v>
      </c>
    </row>
    <row r="160" spans="1:12" x14ac:dyDescent="0.25">
      <c r="A160" t="s">
        <v>2985</v>
      </c>
      <c r="B160" t="s">
        <v>987</v>
      </c>
      <c r="C160" t="s">
        <v>777</v>
      </c>
      <c r="D160" s="1">
        <v>45738.174305555556</v>
      </c>
      <c r="E160" s="11">
        <v>0</v>
      </c>
      <c r="F160" s="11" t="str">
        <f>IF(E160=(SUMIFS(stock_movements_coldchain[signed_qty],stock_movements_coldchain[product_id],C160,stock_movements_coldchain[warehouse_id],B160,stock_movements_coldchain[movement_date],"&lt;" &amp;'cycle_counts_coldchain'!D160)),"Pass","Investigate")</f>
        <v>Pass</v>
      </c>
      <c r="G160" s="11">
        <v>4</v>
      </c>
      <c r="H160" s="11">
        <v>4</v>
      </c>
      <c r="I160" t="str">
        <f t="shared" si="4"/>
        <v>Pass</v>
      </c>
      <c r="J160" t="s">
        <v>3298</v>
      </c>
      <c r="K160" t="s">
        <v>2832</v>
      </c>
      <c r="L160" t="s">
        <v>3297</v>
      </c>
    </row>
    <row r="161" spans="1:12" x14ac:dyDescent="0.25">
      <c r="A161" t="s">
        <v>2986</v>
      </c>
      <c r="B161" t="s">
        <v>964</v>
      </c>
      <c r="C161" t="s">
        <v>536</v>
      </c>
      <c r="D161" s="1">
        <v>45699.037499999999</v>
      </c>
      <c r="E161" s="11">
        <v>0</v>
      </c>
      <c r="F161" s="11" t="str">
        <f>IF(E161=(SUMIFS(stock_movements_coldchain[signed_qty],stock_movements_coldchain[product_id],C161,stock_movements_coldchain[warehouse_id],B161,stock_movements_coldchain[movement_date],"&lt;" &amp;'cycle_counts_coldchain'!D161)),"Pass","Investigate")</f>
        <v>Pass</v>
      </c>
      <c r="G161" s="11">
        <v>0</v>
      </c>
      <c r="H161" s="11">
        <v>0</v>
      </c>
      <c r="I161" t="str">
        <f t="shared" si="4"/>
        <v>Pass</v>
      </c>
      <c r="J161" t="s">
        <v>3294</v>
      </c>
      <c r="K161" t="s">
        <v>2827</v>
      </c>
      <c r="L161" t="s">
        <v>3297</v>
      </c>
    </row>
    <row r="162" spans="1:12" x14ac:dyDescent="0.25">
      <c r="A162" t="s">
        <v>2987</v>
      </c>
      <c r="B162" t="s">
        <v>976</v>
      </c>
      <c r="C162" t="s">
        <v>810</v>
      </c>
      <c r="D162" s="1">
        <v>45710.080555555556</v>
      </c>
      <c r="E162" s="11">
        <v>0</v>
      </c>
      <c r="F162" s="11" t="str">
        <f>IF(E162=(SUMIFS(stock_movements_coldchain[signed_qty],stock_movements_coldchain[product_id],C162,stock_movements_coldchain[warehouse_id],B162,stock_movements_coldchain[movement_date],"&lt;" &amp;'cycle_counts_coldchain'!D162)),"Pass","Investigate")</f>
        <v>Pass</v>
      </c>
      <c r="G162" s="11">
        <v>0</v>
      </c>
      <c r="H162" s="11">
        <v>0</v>
      </c>
      <c r="I162" t="str">
        <f t="shared" ref="I162:I193" si="5">IF((G162-E162)=H162,"Pass","Investigate")</f>
        <v>Pass</v>
      </c>
      <c r="J162" t="s">
        <v>3294</v>
      </c>
      <c r="K162" t="s">
        <v>2827</v>
      </c>
      <c r="L162" t="s">
        <v>3299</v>
      </c>
    </row>
    <row r="163" spans="1:12" x14ac:dyDescent="0.25">
      <c r="A163" t="s">
        <v>2988</v>
      </c>
      <c r="B163" t="s">
        <v>999</v>
      </c>
      <c r="C163" t="s">
        <v>484</v>
      </c>
      <c r="D163" s="1">
        <v>45711.435416666667</v>
      </c>
      <c r="E163" s="11">
        <v>0</v>
      </c>
      <c r="F163" s="11" t="str">
        <f>IF(E163=(SUMIFS(stock_movements_coldchain[signed_qty],stock_movements_coldchain[product_id],C163,stock_movements_coldchain[warehouse_id],B163,stock_movements_coldchain[movement_date],"&lt;" &amp;'cycle_counts_coldchain'!D163)),"Pass","Investigate")</f>
        <v>Pass</v>
      </c>
      <c r="G163" s="11">
        <v>0</v>
      </c>
      <c r="H163" s="11">
        <v>0</v>
      </c>
      <c r="I163" t="str">
        <f t="shared" si="5"/>
        <v>Pass</v>
      </c>
      <c r="J163" t="s">
        <v>3294</v>
      </c>
      <c r="K163" t="s">
        <v>2827</v>
      </c>
      <c r="L163" t="s">
        <v>1678</v>
      </c>
    </row>
    <row r="164" spans="1:12" x14ac:dyDescent="0.25">
      <c r="A164" t="s">
        <v>2989</v>
      </c>
      <c r="B164" t="s">
        <v>972</v>
      </c>
      <c r="C164" t="s">
        <v>750</v>
      </c>
      <c r="D164" s="1">
        <v>45731.661111111112</v>
      </c>
      <c r="E164" s="11">
        <v>0</v>
      </c>
      <c r="F164" s="11" t="str">
        <f>IF(E164=(SUMIFS(stock_movements_coldchain[signed_qty],stock_movements_coldchain[product_id],C164,stock_movements_coldchain[warehouse_id],B164,stock_movements_coldchain[movement_date],"&lt;" &amp;'cycle_counts_coldchain'!D164)),"Pass","Investigate")</f>
        <v>Pass</v>
      </c>
      <c r="G164" s="11">
        <v>0</v>
      </c>
      <c r="H164" s="11">
        <v>0</v>
      </c>
      <c r="I164" t="str">
        <f t="shared" si="5"/>
        <v>Pass</v>
      </c>
      <c r="J164" t="s">
        <v>3294</v>
      </c>
      <c r="K164" t="s">
        <v>2832</v>
      </c>
      <c r="L164" t="s">
        <v>3297</v>
      </c>
    </row>
    <row r="165" spans="1:12" x14ac:dyDescent="0.25">
      <c r="A165" t="s">
        <v>2990</v>
      </c>
      <c r="B165" t="s">
        <v>964</v>
      </c>
      <c r="C165" t="s">
        <v>897</v>
      </c>
      <c r="D165" s="1">
        <v>45732.963194444441</v>
      </c>
      <c r="E165" s="11">
        <v>0</v>
      </c>
      <c r="F165" s="11" t="str">
        <f>IF(E165=(SUMIFS(stock_movements_coldchain[signed_qty],stock_movements_coldchain[product_id],C165,stock_movements_coldchain[warehouse_id],B165,stock_movements_coldchain[movement_date],"&lt;" &amp;'cycle_counts_coldchain'!D165)),"Pass","Investigate")</f>
        <v>Pass</v>
      </c>
      <c r="G165" s="11">
        <v>3</v>
      </c>
      <c r="H165" s="11">
        <v>3</v>
      </c>
      <c r="I165" t="str">
        <f t="shared" si="5"/>
        <v>Pass</v>
      </c>
      <c r="J165" t="s">
        <v>3298</v>
      </c>
      <c r="K165" t="s">
        <v>2829</v>
      </c>
      <c r="L165" t="s">
        <v>3295</v>
      </c>
    </row>
    <row r="166" spans="1:12" x14ac:dyDescent="0.25">
      <c r="A166" t="s">
        <v>2991</v>
      </c>
      <c r="B166" t="s">
        <v>968</v>
      </c>
      <c r="C166" t="s">
        <v>496</v>
      </c>
      <c r="D166" s="1">
        <v>45713.784722222219</v>
      </c>
      <c r="E166" s="11">
        <v>0</v>
      </c>
      <c r="F166" s="11" t="str">
        <f>IF(E166=(SUMIFS(stock_movements_coldchain[signed_qty],stock_movements_coldchain[product_id],C166,stock_movements_coldchain[warehouse_id],B166,stock_movements_coldchain[movement_date],"&lt;" &amp;'cycle_counts_coldchain'!D166)),"Pass","Investigate")</f>
        <v>Pass</v>
      </c>
      <c r="G166" s="11">
        <v>4</v>
      </c>
      <c r="H166" s="11">
        <v>4</v>
      </c>
      <c r="I166" t="str">
        <f t="shared" si="5"/>
        <v>Pass</v>
      </c>
      <c r="J166" t="s">
        <v>3298</v>
      </c>
      <c r="K166" t="s">
        <v>2832</v>
      </c>
      <c r="L166" t="s">
        <v>3299</v>
      </c>
    </row>
    <row r="167" spans="1:12" x14ac:dyDescent="0.25">
      <c r="A167" t="s">
        <v>2992</v>
      </c>
      <c r="B167" t="s">
        <v>990</v>
      </c>
      <c r="C167" t="s">
        <v>927</v>
      </c>
      <c r="D167" s="1">
        <v>45721.135416666664</v>
      </c>
      <c r="E167" s="11">
        <v>0</v>
      </c>
      <c r="F167" s="11" t="str">
        <f>IF(E167=(SUMIFS(stock_movements_coldchain[signed_qty],stock_movements_coldchain[product_id],C167,stock_movements_coldchain[warehouse_id],B167,stock_movements_coldchain[movement_date],"&lt;" &amp;'cycle_counts_coldchain'!D167)),"Pass","Investigate")</f>
        <v>Pass</v>
      </c>
      <c r="G167" s="11">
        <v>4</v>
      </c>
      <c r="H167" s="11">
        <v>4</v>
      </c>
      <c r="I167" t="str">
        <f t="shared" si="5"/>
        <v>Pass</v>
      </c>
      <c r="J167" t="s">
        <v>3294</v>
      </c>
      <c r="K167" t="s">
        <v>2832</v>
      </c>
      <c r="L167" t="s">
        <v>1678</v>
      </c>
    </row>
    <row r="168" spans="1:12" x14ac:dyDescent="0.25">
      <c r="A168" t="s">
        <v>2993</v>
      </c>
      <c r="B168" t="s">
        <v>996</v>
      </c>
      <c r="C168" t="s">
        <v>681</v>
      </c>
      <c r="D168" s="1">
        <v>45739.507638888892</v>
      </c>
      <c r="E168" s="11">
        <v>0</v>
      </c>
      <c r="F168" s="11" t="str">
        <f>IF(E168=(SUMIFS(stock_movements_coldchain[signed_qty],stock_movements_coldchain[product_id],C168,stock_movements_coldchain[warehouse_id],B168,stock_movements_coldchain[movement_date],"&lt;" &amp;'cycle_counts_coldchain'!D168)),"Pass","Investigate")</f>
        <v>Pass</v>
      </c>
      <c r="G168" s="11">
        <v>4</v>
      </c>
      <c r="H168" s="11">
        <v>4</v>
      </c>
      <c r="I168" t="str">
        <f t="shared" si="5"/>
        <v>Pass</v>
      </c>
      <c r="J168" t="s">
        <v>3294</v>
      </c>
      <c r="K168" t="s">
        <v>2824</v>
      </c>
      <c r="L168" t="s">
        <v>3295</v>
      </c>
    </row>
    <row r="169" spans="1:12" x14ac:dyDescent="0.25">
      <c r="A169" t="s">
        <v>2994</v>
      </c>
      <c r="B169" t="s">
        <v>999</v>
      </c>
      <c r="C169" t="s">
        <v>460</v>
      </c>
      <c r="D169" s="1">
        <v>45730.9375</v>
      </c>
      <c r="E169" s="11">
        <v>0</v>
      </c>
      <c r="F169" s="11" t="str">
        <f>IF(E169=(SUMIFS(stock_movements_coldchain[signed_qty],stock_movements_coldchain[product_id],C169,stock_movements_coldchain[warehouse_id],B169,stock_movements_coldchain[movement_date],"&lt;" &amp;'cycle_counts_coldchain'!D169)),"Pass","Investigate")</f>
        <v>Pass</v>
      </c>
      <c r="G169" s="11">
        <v>2</v>
      </c>
      <c r="H169" s="11">
        <v>2</v>
      </c>
      <c r="I169" t="str">
        <f t="shared" si="5"/>
        <v>Pass</v>
      </c>
      <c r="J169" t="s">
        <v>3298</v>
      </c>
      <c r="K169" t="s">
        <v>2829</v>
      </c>
      <c r="L169" t="s">
        <v>1678</v>
      </c>
    </row>
    <row r="170" spans="1:12" x14ac:dyDescent="0.25">
      <c r="A170" t="s">
        <v>2995</v>
      </c>
      <c r="B170" t="s">
        <v>959</v>
      </c>
      <c r="C170" t="s">
        <v>405</v>
      </c>
      <c r="D170" s="1">
        <v>45681.376388888886</v>
      </c>
      <c r="E170" s="11">
        <v>0</v>
      </c>
      <c r="F170" s="11" t="str">
        <f>IF(E170=(SUMIFS(stock_movements_coldchain[signed_qty],stock_movements_coldchain[product_id],C170,stock_movements_coldchain[warehouse_id],B170,stock_movements_coldchain[movement_date],"&lt;" &amp;'cycle_counts_coldchain'!D170)),"Pass","Investigate")</f>
        <v>Pass</v>
      </c>
      <c r="G170" s="11">
        <v>0</v>
      </c>
      <c r="H170" s="11">
        <v>0</v>
      </c>
      <c r="I170" t="str">
        <f t="shared" si="5"/>
        <v>Pass</v>
      </c>
      <c r="J170" t="s">
        <v>3296</v>
      </c>
      <c r="K170" t="s">
        <v>2829</v>
      </c>
      <c r="L170" t="s">
        <v>3299</v>
      </c>
    </row>
    <row r="171" spans="1:12" x14ac:dyDescent="0.25">
      <c r="A171" t="s">
        <v>2996</v>
      </c>
      <c r="B171" t="s">
        <v>968</v>
      </c>
      <c r="C171" t="s">
        <v>645</v>
      </c>
      <c r="D171" s="1">
        <v>45745.546527777777</v>
      </c>
      <c r="E171" s="11">
        <v>0</v>
      </c>
      <c r="F171" s="11" t="str">
        <f>IF(E171=(SUMIFS(stock_movements_coldchain[signed_qty],stock_movements_coldchain[product_id],C171,stock_movements_coldchain[warehouse_id],B171,stock_movements_coldchain[movement_date],"&lt;" &amp;'cycle_counts_coldchain'!D171)),"Pass","Investigate")</f>
        <v>Pass</v>
      </c>
      <c r="G171" s="11">
        <v>1</v>
      </c>
      <c r="H171" s="11">
        <v>1</v>
      </c>
      <c r="I171" t="str">
        <f t="shared" si="5"/>
        <v>Pass</v>
      </c>
      <c r="J171" t="s">
        <v>3298</v>
      </c>
      <c r="K171" t="s">
        <v>2827</v>
      </c>
      <c r="L171" t="s">
        <v>3297</v>
      </c>
    </row>
    <row r="172" spans="1:12" x14ac:dyDescent="0.25">
      <c r="A172" t="s">
        <v>2997</v>
      </c>
      <c r="B172" t="s">
        <v>964</v>
      </c>
      <c r="C172" t="s">
        <v>478</v>
      </c>
      <c r="D172" s="1">
        <v>45734.993750000001</v>
      </c>
      <c r="E172" s="11">
        <v>0</v>
      </c>
      <c r="F172" s="11" t="str">
        <f>IF(E172=(SUMIFS(stock_movements_coldchain[signed_qty],stock_movements_coldchain[product_id],C172,stock_movements_coldchain[warehouse_id],B172,stock_movements_coldchain[movement_date],"&lt;" &amp;'cycle_counts_coldchain'!D172)),"Pass","Investigate")</f>
        <v>Pass</v>
      </c>
      <c r="G172" s="11">
        <v>0</v>
      </c>
      <c r="H172" s="11">
        <v>0</v>
      </c>
      <c r="I172" t="str">
        <f t="shared" si="5"/>
        <v>Pass</v>
      </c>
      <c r="J172" t="s">
        <v>3298</v>
      </c>
      <c r="K172" t="s">
        <v>2832</v>
      </c>
      <c r="L172" t="s">
        <v>3295</v>
      </c>
    </row>
    <row r="173" spans="1:12" x14ac:dyDescent="0.25">
      <c r="A173" t="s">
        <v>2998</v>
      </c>
      <c r="B173" t="s">
        <v>964</v>
      </c>
      <c r="C173" t="s">
        <v>539</v>
      </c>
      <c r="D173" s="1">
        <v>45691.255555555559</v>
      </c>
      <c r="E173" s="11">
        <v>0</v>
      </c>
      <c r="F173" s="11" t="str">
        <f>IF(E173=(SUMIFS(stock_movements_coldchain[signed_qty],stock_movements_coldchain[product_id],C173,stock_movements_coldchain[warehouse_id],B173,stock_movements_coldchain[movement_date],"&lt;" &amp;'cycle_counts_coldchain'!D173)),"Pass","Investigate")</f>
        <v>Pass</v>
      </c>
      <c r="G173" s="11">
        <v>0</v>
      </c>
      <c r="H173" s="11">
        <v>0</v>
      </c>
      <c r="I173" t="str">
        <f t="shared" si="5"/>
        <v>Pass</v>
      </c>
      <c r="J173" t="s">
        <v>3298</v>
      </c>
      <c r="K173" t="s">
        <v>2827</v>
      </c>
      <c r="L173" t="s">
        <v>1678</v>
      </c>
    </row>
    <row r="174" spans="1:12" x14ac:dyDescent="0.25">
      <c r="A174" t="s">
        <v>2999</v>
      </c>
      <c r="B174" t="s">
        <v>990</v>
      </c>
      <c r="C174" t="s">
        <v>795</v>
      </c>
      <c r="D174" s="1">
        <v>45736.760416666664</v>
      </c>
      <c r="E174" s="11">
        <v>0</v>
      </c>
      <c r="F174" s="11" t="str">
        <f>IF(E174=(SUMIFS(stock_movements_coldchain[signed_qty],stock_movements_coldchain[product_id],C174,stock_movements_coldchain[warehouse_id],B174,stock_movements_coldchain[movement_date],"&lt;" &amp;'cycle_counts_coldchain'!D174)),"Pass","Investigate")</f>
        <v>Pass</v>
      </c>
      <c r="G174" s="11">
        <v>0</v>
      </c>
      <c r="H174" s="11">
        <v>0</v>
      </c>
      <c r="I174" t="str">
        <f t="shared" si="5"/>
        <v>Pass</v>
      </c>
      <c r="J174" t="s">
        <v>3296</v>
      </c>
      <c r="K174" t="s">
        <v>2829</v>
      </c>
      <c r="L174" t="s">
        <v>3297</v>
      </c>
    </row>
    <row r="175" spans="1:12" x14ac:dyDescent="0.25">
      <c r="A175" t="s">
        <v>3000</v>
      </c>
      <c r="B175" t="s">
        <v>959</v>
      </c>
      <c r="C175" t="s">
        <v>636</v>
      </c>
      <c r="D175" s="1">
        <v>45747.059027777781</v>
      </c>
      <c r="E175" s="11">
        <v>0</v>
      </c>
      <c r="F175" s="11" t="str">
        <f>IF(E175=(SUMIFS(stock_movements_coldchain[signed_qty],stock_movements_coldchain[product_id],C175,stock_movements_coldchain[warehouse_id],B175,stock_movements_coldchain[movement_date],"&lt;" &amp;'cycle_counts_coldchain'!D175)),"Pass","Investigate")</f>
        <v>Pass</v>
      </c>
      <c r="G175" s="11">
        <v>1</v>
      </c>
      <c r="H175" s="11">
        <v>1</v>
      </c>
      <c r="I175" t="str">
        <f t="shared" si="5"/>
        <v>Pass</v>
      </c>
      <c r="J175" t="s">
        <v>3294</v>
      </c>
      <c r="K175" t="s">
        <v>2832</v>
      </c>
      <c r="L175" t="s">
        <v>1678</v>
      </c>
    </row>
    <row r="176" spans="1:12" x14ac:dyDescent="0.25">
      <c r="A176" t="s">
        <v>3001</v>
      </c>
      <c r="B176" t="s">
        <v>959</v>
      </c>
      <c r="C176" t="s">
        <v>726</v>
      </c>
      <c r="D176" s="1">
        <v>45694.049305555556</v>
      </c>
      <c r="E176" s="11">
        <v>0</v>
      </c>
      <c r="F176" s="11" t="str">
        <f>IF(E176=(SUMIFS(stock_movements_coldchain[signed_qty],stock_movements_coldchain[product_id],C176,stock_movements_coldchain[warehouse_id],B176,stock_movements_coldchain[movement_date],"&lt;" &amp;'cycle_counts_coldchain'!D176)),"Pass","Investigate")</f>
        <v>Pass</v>
      </c>
      <c r="G176" s="11">
        <v>0</v>
      </c>
      <c r="H176" s="11">
        <v>0</v>
      </c>
      <c r="I176" t="str">
        <f t="shared" si="5"/>
        <v>Pass</v>
      </c>
      <c r="J176" t="s">
        <v>3294</v>
      </c>
      <c r="K176" t="s">
        <v>2829</v>
      </c>
      <c r="L176" t="s">
        <v>1678</v>
      </c>
    </row>
    <row r="177" spans="1:12" x14ac:dyDescent="0.25">
      <c r="A177" t="s">
        <v>3002</v>
      </c>
      <c r="B177" t="s">
        <v>990</v>
      </c>
      <c r="C177" t="s">
        <v>714</v>
      </c>
      <c r="D177" s="1">
        <v>45679.145833333336</v>
      </c>
      <c r="E177" s="11">
        <v>0</v>
      </c>
      <c r="F177" s="11" t="str">
        <f>IF(E177=(SUMIFS(stock_movements_coldchain[signed_qty],stock_movements_coldchain[product_id],C177,stock_movements_coldchain[warehouse_id],B177,stock_movements_coldchain[movement_date],"&lt;" &amp;'cycle_counts_coldchain'!D177)),"Pass","Investigate")</f>
        <v>Pass</v>
      </c>
      <c r="G177" s="11">
        <v>1</v>
      </c>
      <c r="H177" s="11">
        <v>1</v>
      </c>
      <c r="I177" t="str">
        <f t="shared" si="5"/>
        <v>Pass</v>
      </c>
      <c r="J177" t="s">
        <v>3296</v>
      </c>
      <c r="K177" t="s">
        <v>2829</v>
      </c>
      <c r="L177" t="s">
        <v>3295</v>
      </c>
    </row>
    <row r="178" spans="1:12" x14ac:dyDescent="0.25">
      <c r="A178" t="s">
        <v>3003</v>
      </c>
      <c r="B178" t="s">
        <v>999</v>
      </c>
      <c r="C178" t="s">
        <v>460</v>
      </c>
      <c r="D178" s="1">
        <v>45726.626388888886</v>
      </c>
      <c r="E178" s="11">
        <v>0</v>
      </c>
      <c r="F178" s="11" t="str">
        <f>IF(E178=(SUMIFS(stock_movements_coldchain[signed_qty],stock_movements_coldchain[product_id],C178,stock_movements_coldchain[warehouse_id],B178,stock_movements_coldchain[movement_date],"&lt;" &amp;'cycle_counts_coldchain'!D178)),"Pass","Investigate")</f>
        <v>Pass</v>
      </c>
      <c r="G178" s="11">
        <v>0</v>
      </c>
      <c r="H178" s="11">
        <v>0</v>
      </c>
      <c r="I178" t="str">
        <f t="shared" si="5"/>
        <v>Pass</v>
      </c>
      <c r="J178" t="s">
        <v>3294</v>
      </c>
      <c r="K178" t="s">
        <v>2824</v>
      </c>
      <c r="L178" t="s">
        <v>1678</v>
      </c>
    </row>
    <row r="179" spans="1:12" x14ac:dyDescent="0.25">
      <c r="A179" t="s">
        <v>3004</v>
      </c>
      <c r="B179" t="s">
        <v>987</v>
      </c>
      <c r="C179" t="s">
        <v>514</v>
      </c>
      <c r="D179" s="1">
        <v>45763.724999999999</v>
      </c>
      <c r="E179" s="11">
        <v>191</v>
      </c>
      <c r="F179" s="11" t="str">
        <f>IF(E179=(SUMIFS(stock_movements_coldchain[signed_qty],stock_movements_coldchain[product_id],C179,stock_movements_coldchain[warehouse_id],B179,stock_movements_coldchain[movement_date],"&lt;" &amp;'cycle_counts_coldchain'!D179)),"Pass","Investigate")</f>
        <v>Pass</v>
      </c>
      <c r="G179" s="11">
        <v>191</v>
      </c>
      <c r="H179" s="11">
        <v>0</v>
      </c>
      <c r="I179" t="str">
        <f t="shared" si="5"/>
        <v>Pass</v>
      </c>
      <c r="J179" t="s">
        <v>3296</v>
      </c>
      <c r="K179" t="s">
        <v>2832</v>
      </c>
      <c r="L179" t="s">
        <v>3295</v>
      </c>
    </row>
    <row r="180" spans="1:12" x14ac:dyDescent="0.25">
      <c r="A180" t="s">
        <v>3005</v>
      </c>
      <c r="B180" t="s">
        <v>996</v>
      </c>
      <c r="C180" t="s">
        <v>460</v>
      </c>
      <c r="D180" s="1">
        <v>45697.106944444444</v>
      </c>
      <c r="E180" s="11">
        <v>0</v>
      </c>
      <c r="F180" s="11" t="str">
        <f>IF(E180=(SUMIFS(stock_movements_coldchain[signed_qty],stock_movements_coldchain[product_id],C180,stock_movements_coldchain[warehouse_id],B180,stock_movements_coldchain[movement_date],"&lt;" &amp;'cycle_counts_coldchain'!D180)),"Pass","Investigate")</f>
        <v>Pass</v>
      </c>
      <c r="G180" s="11">
        <v>0</v>
      </c>
      <c r="H180" s="11">
        <v>0</v>
      </c>
      <c r="I180" t="str">
        <f t="shared" si="5"/>
        <v>Pass</v>
      </c>
      <c r="J180" t="s">
        <v>3298</v>
      </c>
      <c r="K180" t="s">
        <v>2827</v>
      </c>
      <c r="L180" t="s">
        <v>1678</v>
      </c>
    </row>
    <row r="181" spans="1:12" x14ac:dyDescent="0.25">
      <c r="A181" t="s">
        <v>3006</v>
      </c>
      <c r="B181" t="s">
        <v>976</v>
      </c>
      <c r="C181" t="s">
        <v>852</v>
      </c>
      <c r="D181" s="1">
        <v>45732.000694444447</v>
      </c>
      <c r="E181" s="11">
        <v>0</v>
      </c>
      <c r="F181" s="11" t="str">
        <f>IF(E181=(SUMIFS(stock_movements_coldchain[signed_qty],stock_movements_coldchain[product_id],C181,stock_movements_coldchain[warehouse_id],B181,stock_movements_coldchain[movement_date],"&lt;" &amp;'cycle_counts_coldchain'!D181)),"Pass","Investigate")</f>
        <v>Pass</v>
      </c>
      <c r="G181" s="11">
        <v>0</v>
      </c>
      <c r="H181" s="11">
        <v>0</v>
      </c>
      <c r="I181" t="str">
        <f t="shared" si="5"/>
        <v>Pass</v>
      </c>
      <c r="J181" t="s">
        <v>3294</v>
      </c>
      <c r="K181" t="s">
        <v>2829</v>
      </c>
      <c r="L181" t="s">
        <v>3299</v>
      </c>
    </row>
  </sheetData>
  <sheetProtection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E55A-BCCB-45BE-9826-E6378A24866B}">
  <sheetPr>
    <tabColor theme="9" tint="0.39997558519241921"/>
  </sheetPr>
  <dimension ref="A1:I241"/>
  <sheetViews>
    <sheetView workbookViewId="0"/>
  </sheetViews>
  <sheetFormatPr defaultRowHeight="15" x14ac:dyDescent="0.25"/>
  <cols>
    <col min="1" max="1" width="8.85546875" bestFit="1" customWidth="1"/>
    <col min="2" max="2" width="16" bestFit="1" customWidth="1"/>
    <col min="3" max="3" width="21.5703125" bestFit="1" customWidth="1"/>
    <col min="4" max="4" width="14.85546875" bestFit="1" customWidth="1"/>
    <col min="5" max="5" width="12.5703125" bestFit="1" customWidth="1"/>
    <col min="6" max="6" width="16.5703125" bestFit="1" customWidth="1"/>
    <col min="7" max="7" width="15" bestFit="1" customWidth="1"/>
    <col min="8" max="8" width="15.5703125" bestFit="1" customWidth="1"/>
    <col min="9" max="9" width="16.28515625" bestFit="1" customWidth="1"/>
  </cols>
  <sheetData>
    <row r="1" spans="1:9" x14ac:dyDescent="0.25">
      <c r="A1" t="s">
        <v>3007</v>
      </c>
      <c r="B1" t="s">
        <v>949</v>
      </c>
      <c r="C1" t="s">
        <v>950</v>
      </c>
      <c r="D1" t="s">
        <v>3008</v>
      </c>
      <c r="E1" t="s">
        <v>3009</v>
      </c>
      <c r="F1" t="s">
        <v>1571</v>
      </c>
      <c r="G1" t="s">
        <v>3010</v>
      </c>
      <c r="H1" t="s">
        <v>3011</v>
      </c>
      <c r="I1" t="s">
        <v>3012</v>
      </c>
    </row>
    <row r="2" spans="1:9" x14ac:dyDescent="0.25">
      <c r="A2" t="s">
        <v>3013</v>
      </c>
      <c r="B2" t="s">
        <v>964</v>
      </c>
      <c r="C2" t="s">
        <v>965</v>
      </c>
      <c r="D2" s="1">
        <v>45737.914583333331</v>
      </c>
      <c r="E2" s="11">
        <v>3</v>
      </c>
      <c r="F2" s="13">
        <v>3.1</v>
      </c>
      <c r="G2" s="11">
        <v>64</v>
      </c>
      <c r="H2" t="s">
        <v>3014</v>
      </c>
      <c r="I2" t="s">
        <v>15</v>
      </c>
    </row>
    <row r="3" spans="1:9" x14ac:dyDescent="0.25">
      <c r="A3" t="s">
        <v>3015</v>
      </c>
      <c r="B3" t="s">
        <v>964</v>
      </c>
      <c r="C3" t="s">
        <v>965</v>
      </c>
      <c r="D3" s="1">
        <v>45746.297222222223</v>
      </c>
      <c r="E3" s="11">
        <v>3</v>
      </c>
      <c r="F3" s="13">
        <v>2</v>
      </c>
      <c r="G3" s="11">
        <v>61</v>
      </c>
      <c r="H3" t="s">
        <v>3014</v>
      </c>
      <c r="I3" t="s">
        <v>15</v>
      </c>
    </row>
    <row r="4" spans="1:9" x14ac:dyDescent="0.25">
      <c r="A4" t="s">
        <v>3016</v>
      </c>
      <c r="B4" t="s">
        <v>964</v>
      </c>
      <c r="C4" t="s">
        <v>965</v>
      </c>
      <c r="D4" s="1">
        <v>45766.741666666669</v>
      </c>
      <c r="E4" s="11">
        <v>3</v>
      </c>
      <c r="F4" s="13">
        <v>3.1</v>
      </c>
      <c r="G4" s="11">
        <v>83</v>
      </c>
      <c r="H4" t="s">
        <v>3014</v>
      </c>
      <c r="I4" t="s">
        <v>15</v>
      </c>
    </row>
    <row r="5" spans="1:9" x14ac:dyDescent="0.25">
      <c r="A5" t="s">
        <v>3017</v>
      </c>
      <c r="B5" t="s">
        <v>964</v>
      </c>
      <c r="C5" t="s">
        <v>965</v>
      </c>
      <c r="D5" s="1">
        <v>45765.852083333331</v>
      </c>
      <c r="E5" s="11">
        <v>3</v>
      </c>
      <c r="F5" s="13">
        <v>3.1</v>
      </c>
      <c r="G5" s="11">
        <v>66</v>
      </c>
      <c r="H5" t="s">
        <v>3014</v>
      </c>
      <c r="I5" t="s">
        <v>15</v>
      </c>
    </row>
    <row r="6" spans="1:9" x14ac:dyDescent="0.25">
      <c r="A6" t="s">
        <v>3018</v>
      </c>
      <c r="B6" t="s">
        <v>964</v>
      </c>
      <c r="C6" t="s">
        <v>965</v>
      </c>
      <c r="D6" s="1">
        <v>45716.79791666667</v>
      </c>
      <c r="E6" s="11">
        <v>2</v>
      </c>
      <c r="F6" s="13">
        <v>3.3</v>
      </c>
      <c r="G6" s="11">
        <v>71</v>
      </c>
      <c r="H6" t="s">
        <v>3019</v>
      </c>
      <c r="I6" t="s">
        <v>31</v>
      </c>
    </row>
    <row r="7" spans="1:9" x14ac:dyDescent="0.25">
      <c r="A7" t="s">
        <v>3020</v>
      </c>
      <c r="B7" t="s">
        <v>964</v>
      </c>
      <c r="C7" t="s">
        <v>965</v>
      </c>
      <c r="D7" s="1">
        <v>45663.513194444444</v>
      </c>
      <c r="E7" s="11">
        <v>4</v>
      </c>
      <c r="F7" s="13">
        <v>3</v>
      </c>
      <c r="G7" s="11">
        <v>51</v>
      </c>
      <c r="H7" t="s">
        <v>3014</v>
      </c>
      <c r="I7" t="s">
        <v>15</v>
      </c>
    </row>
    <row r="8" spans="1:9" x14ac:dyDescent="0.25">
      <c r="A8" t="s">
        <v>3021</v>
      </c>
      <c r="B8" t="s">
        <v>964</v>
      </c>
      <c r="C8" t="s">
        <v>965</v>
      </c>
      <c r="D8" s="1">
        <v>45738.931944444441</v>
      </c>
      <c r="E8" s="11">
        <v>3</v>
      </c>
      <c r="F8" s="13">
        <v>-1.2</v>
      </c>
      <c r="G8" s="11">
        <v>55</v>
      </c>
      <c r="H8" t="s">
        <v>3014</v>
      </c>
      <c r="I8" t="s">
        <v>31</v>
      </c>
    </row>
    <row r="9" spans="1:9" x14ac:dyDescent="0.25">
      <c r="A9" t="s">
        <v>3022</v>
      </c>
      <c r="B9" t="s">
        <v>964</v>
      </c>
      <c r="C9" t="s">
        <v>965</v>
      </c>
      <c r="D9" s="1">
        <v>45692.931250000001</v>
      </c>
      <c r="E9" s="11">
        <v>3</v>
      </c>
      <c r="F9" s="13">
        <v>2.8</v>
      </c>
      <c r="G9" s="11">
        <v>57</v>
      </c>
      <c r="H9" t="s">
        <v>3014</v>
      </c>
      <c r="I9" t="s">
        <v>15</v>
      </c>
    </row>
    <row r="10" spans="1:9" x14ac:dyDescent="0.25">
      <c r="A10" t="s">
        <v>3023</v>
      </c>
      <c r="B10" t="s">
        <v>964</v>
      </c>
      <c r="C10" t="s">
        <v>965</v>
      </c>
      <c r="D10" s="1">
        <v>45670.934027777781</v>
      </c>
      <c r="E10" s="11">
        <v>4</v>
      </c>
      <c r="F10" s="13">
        <v>3.9</v>
      </c>
      <c r="G10" s="11">
        <v>53</v>
      </c>
      <c r="H10" t="s">
        <v>3014</v>
      </c>
      <c r="I10" t="s">
        <v>15</v>
      </c>
    </row>
    <row r="11" spans="1:9" x14ac:dyDescent="0.25">
      <c r="A11" t="s">
        <v>3024</v>
      </c>
      <c r="B11" t="s">
        <v>964</v>
      </c>
      <c r="C11" t="s">
        <v>965</v>
      </c>
      <c r="D11" s="1">
        <v>45675.013888888891</v>
      </c>
      <c r="E11" s="11">
        <v>2</v>
      </c>
      <c r="F11" s="13">
        <v>0.9</v>
      </c>
      <c r="G11" s="11">
        <v>70</v>
      </c>
      <c r="H11" t="s">
        <v>3014</v>
      </c>
      <c r="I11" t="s">
        <v>15</v>
      </c>
    </row>
    <row r="12" spans="1:9" x14ac:dyDescent="0.25">
      <c r="A12" t="s">
        <v>3025</v>
      </c>
      <c r="B12" t="s">
        <v>964</v>
      </c>
      <c r="C12" t="s">
        <v>965</v>
      </c>
      <c r="D12" s="1">
        <v>45703.247916666667</v>
      </c>
      <c r="E12" s="11">
        <v>3</v>
      </c>
      <c r="F12" s="13">
        <v>8.5</v>
      </c>
      <c r="G12" s="11">
        <v>57</v>
      </c>
      <c r="H12" t="s">
        <v>3019</v>
      </c>
      <c r="I12" t="s">
        <v>31</v>
      </c>
    </row>
    <row r="13" spans="1:9" x14ac:dyDescent="0.25">
      <c r="A13" t="s">
        <v>3026</v>
      </c>
      <c r="B13" t="s">
        <v>964</v>
      </c>
      <c r="C13" t="s">
        <v>965</v>
      </c>
      <c r="D13" s="1">
        <v>45728.482638888891</v>
      </c>
      <c r="E13" s="11">
        <v>4</v>
      </c>
      <c r="F13" s="13">
        <v>4.0999999999999996</v>
      </c>
      <c r="G13" s="11">
        <v>62</v>
      </c>
      <c r="H13" t="s">
        <v>3019</v>
      </c>
      <c r="I13" t="s">
        <v>31</v>
      </c>
    </row>
    <row r="14" spans="1:9" x14ac:dyDescent="0.25">
      <c r="A14" t="s">
        <v>3027</v>
      </c>
      <c r="B14" t="s">
        <v>964</v>
      </c>
      <c r="C14" t="s">
        <v>965</v>
      </c>
      <c r="D14" s="1">
        <v>45708.656944444447</v>
      </c>
      <c r="E14" s="11">
        <v>3</v>
      </c>
      <c r="F14" s="13">
        <v>2.7</v>
      </c>
      <c r="G14" s="11">
        <v>50</v>
      </c>
      <c r="H14" t="s">
        <v>3014</v>
      </c>
      <c r="I14" t="s">
        <v>15</v>
      </c>
    </row>
    <row r="15" spans="1:9" x14ac:dyDescent="0.25">
      <c r="A15" t="s">
        <v>3028</v>
      </c>
      <c r="B15" t="s">
        <v>964</v>
      </c>
      <c r="C15" t="s">
        <v>965</v>
      </c>
      <c r="D15" s="1">
        <v>45776.836805555555</v>
      </c>
      <c r="E15" s="11">
        <v>4</v>
      </c>
      <c r="F15" s="13">
        <v>3.6</v>
      </c>
      <c r="G15" s="11">
        <v>67</v>
      </c>
      <c r="H15" t="s">
        <v>3014</v>
      </c>
      <c r="I15" t="s">
        <v>15</v>
      </c>
    </row>
    <row r="16" spans="1:9" x14ac:dyDescent="0.25">
      <c r="A16" t="s">
        <v>3029</v>
      </c>
      <c r="B16" t="s">
        <v>964</v>
      </c>
      <c r="C16" t="s">
        <v>965</v>
      </c>
      <c r="D16" s="1">
        <v>45762.166666666664</v>
      </c>
      <c r="E16" s="11">
        <v>3</v>
      </c>
      <c r="F16" s="13">
        <v>2.7</v>
      </c>
      <c r="G16" s="11">
        <v>53</v>
      </c>
      <c r="H16" t="s">
        <v>3014</v>
      </c>
      <c r="I16" t="s">
        <v>15</v>
      </c>
    </row>
    <row r="17" spans="1:9" x14ac:dyDescent="0.25">
      <c r="A17" t="s">
        <v>3030</v>
      </c>
      <c r="B17" t="s">
        <v>964</v>
      </c>
      <c r="C17" t="s">
        <v>965</v>
      </c>
      <c r="D17" s="1">
        <v>45696.080555555556</v>
      </c>
      <c r="E17" s="11">
        <v>2</v>
      </c>
      <c r="F17" s="13">
        <v>1.1000000000000001</v>
      </c>
      <c r="G17" s="11">
        <v>66</v>
      </c>
      <c r="H17" t="s">
        <v>3014</v>
      </c>
      <c r="I17" t="s">
        <v>15</v>
      </c>
    </row>
    <row r="18" spans="1:9" x14ac:dyDescent="0.25">
      <c r="A18" t="s">
        <v>3031</v>
      </c>
      <c r="B18" t="s">
        <v>964</v>
      </c>
      <c r="C18" t="s">
        <v>965</v>
      </c>
      <c r="D18" s="1">
        <v>45755.79583333333</v>
      </c>
      <c r="E18" s="11">
        <v>2</v>
      </c>
      <c r="F18" s="13">
        <v>2.2000000000000002</v>
      </c>
      <c r="G18" s="11">
        <v>67</v>
      </c>
      <c r="H18" t="s">
        <v>3014</v>
      </c>
      <c r="I18" t="s">
        <v>15</v>
      </c>
    </row>
    <row r="19" spans="1:9" x14ac:dyDescent="0.25">
      <c r="A19" t="s">
        <v>3032</v>
      </c>
      <c r="B19" t="s">
        <v>964</v>
      </c>
      <c r="C19" t="s">
        <v>965</v>
      </c>
      <c r="D19" s="1">
        <v>45706.259722222225</v>
      </c>
      <c r="E19" s="11">
        <v>2</v>
      </c>
      <c r="F19" s="13">
        <v>2.9</v>
      </c>
      <c r="G19" s="11">
        <v>60</v>
      </c>
      <c r="H19" t="s">
        <v>3014</v>
      </c>
      <c r="I19" t="s">
        <v>15</v>
      </c>
    </row>
    <row r="20" spans="1:9" x14ac:dyDescent="0.25">
      <c r="A20" t="s">
        <v>3033</v>
      </c>
      <c r="B20" t="s">
        <v>964</v>
      </c>
      <c r="C20" t="s">
        <v>965</v>
      </c>
      <c r="D20" s="1">
        <v>45701.884722222225</v>
      </c>
      <c r="E20" s="11">
        <v>4</v>
      </c>
      <c r="F20" s="13">
        <v>4.8</v>
      </c>
      <c r="G20" s="11">
        <v>50</v>
      </c>
      <c r="H20" t="s">
        <v>3014</v>
      </c>
      <c r="I20" t="s">
        <v>15</v>
      </c>
    </row>
    <row r="21" spans="1:9" x14ac:dyDescent="0.25">
      <c r="A21" t="s">
        <v>3034</v>
      </c>
      <c r="B21" t="s">
        <v>964</v>
      </c>
      <c r="C21" t="s">
        <v>965</v>
      </c>
      <c r="D21" s="1">
        <v>45746.129166666666</v>
      </c>
      <c r="E21" s="11">
        <v>4</v>
      </c>
      <c r="F21" s="13">
        <v>3.4</v>
      </c>
      <c r="G21" s="11">
        <v>54</v>
      </c>
      <c r="H21" t="s">
        <v>3014</v>
      </c>
      <c r="I21" t="s">
        <v>15</v>
      </c>
    </row>
    <row r="22" spans="1:9" x14ac:dyDescent="0.25">
      <c r="A22" t="s">
        <v>3035</v>
      </c>
      <c r="B22" t="s">
        <v>964</v>
      </c>
      <c r="C22" t="s">
        <v>965</v>
      </c>
      <c r="D22" s="1">
        <v>45694.650694444441</v>
      </c>
      <c r="E22" s="11">
        <v>2</v>
      </c>
      <c r="F22" s="13">
        <v>1.8</v>
      </c>
      <c r="G22" s="11">
        <v>62</v>
      </c>
      <c r="H22" t="s">
        <v>3014</v>
      </c>
      <c r="I22" t="s">
        <v>15</v>
      </c>
    </row>
    <row r="23" spans="1:9" x14ac:dyDescent="0.25">
      <c r="A23" t="s">
        <v>3036</v>
      </c>
      <c r="B23" t="s">
        <v>964</v>
      </c>
      <c r="C23" t="s">
        <v>965</v>
      </c>
      <c r="D23" s="1">
        <v>45695.660416666666</v>
      </c>
      <c r="E23" s="11">
        <v>3</v>
      </c>
      <c r="F23" s="13">
        <v>3.4</v>
      </c>
      <c r="G23" s="11">
        <v>56</v>
      </c>
      <c r="H23" t="s">
        <v>3014</v>
      </c>
      <c r="I23" t="s">
        <v>15</v>
      </c>
    </row>
    <row r="24" spans="1:9" x14ac:dyDescent="0.25">
      <c r="A24" t="s">
        <v>3037</v>
      </c>
      <c r="B24" t="s">
        <v>964</v>
      </c>
      <c r="C24" t="s">
        <v>965</v>
      </c>
      <c r="D24" s="1">
        <v>45742.880555555559</v>
      </c>
      <c r="E24" s="11">
        <v>2</v>
      </c>
      <c r="F24" s="13">
        <v>3.1</v>
      </c>
      <c r="G24" s="11">
        <v>74</v>
      </c>
      <c r="H24" t="s">
        <v>3014</v>
      </c>
      <c r="I24" t="s">
        <v>15</v>
      </c>
    </row>
    <row r="25" spans="1:9" x14ac:dyDescent="0.25">
      <c r="A25" t="s">
        <v>3038</v>
      </c>
      <c r="B25" t="s">
        <v>964</v>
      </c>
      <c r="C25" t="s">
        <v>965</v>
      </c>
      <c r="D25" s="1">
        <v>45749.606944444444</v>
      </c>
      <c r="E25" s="11">
        <v>4</v>
      </c>
      <c r="F25" s="13">
        <v>4</v>
      </c>
      <c r="G25" s="11">
        <v>62</v>
      </c>
      <c r="H25" t="s">
        <v>3014</v>
      </c>
      <c r="I25" t="s">
        <v>15</v>
      </c>
    </row>
    <row r="26" spans="1:9" x14ac:dyDescent="0.25">
      <c r="A26" t="s">
        <v>3039</v>
      </c>
      <c r="B26" t="s">
        <v>976</v>
      </c>
      <c r="C26" t="s">
        <v>977</v>
      </c>
      <c r="D26" s="1">
        <v>45751.29583333333</v>
      </c>
      <c r="E26" s="11">
        <v>3</v>
      </c>
      <c r="F26" s="13">
        <v>2.9</v>
      </c>
      <c r="G26" s="11">
        <v>42</v>
      </c>
      <c r="H26" t="s">
        <v>3014</v>
      </c>
      <c r="I26" t="s">
        <v>15</v>
      </c>
    </row>
    <row r="27" spans="1:9" x14ac:dyDescent="0.25">
      <c r="A27" t="s">
        <v>3040</v>
      </c>
      <c r="B27" t="s">
        <v>976</v>
      </c>
      <c r="C27" t="s">
        <v>977</v>
      </c>
      <c r="D27" s="1">
        <v>45688.213888888888</v>
      </c>
      <c r="E27" s="11">
        <v>3</v>
      </c>
      <c r="F27" s="13">
        <v>2.5</v>
      </c>
      <c r="G27" s="11">
        <v>62</v>
      </c>
      <c r="H27" t="s">
        <v>3014</v>
      </c>
      <c r="I27" t="s">
        <v>15</v>
      </c>
    </row>
    <row r="28" spans="1:9" x14ac:dyDescent="0.25">
      <c r="A28" t="s">
        <v>3041</v>
      </c>
      <c r="B28" t="s">
        <v>976</v>
      </c>
      <c r="C28" t="s">
        <v>977</v>
      </c>
      <c r="D28" s="1">
        <v>45704.170138888891</v>
      </c>
      <c r="E28" s="11">
        <v>3</v>
      </c>
      <c r="F28" s="13">
        <v>2</v>
      </c>
      <c r="G28" s="11">
        <v>52</v>
      </c>
      <c r="H28" t="s">
        <v>3014</v>
      </c>
      <c r="I28" t="s">
        <v>15</v>
      </c>
    </row>
    <row r="29" spans="1:9" x14ac:dyDescent="0.25">
      <c r="A29" t="s">
        <v>3042</v>
      </c>
      <c r="B29" t="s">
        <v>976</v>
      </c>
      <c r="C29" t="s">
        <v>977</v>
      </c>
      <c r="D29" s="1">
        <v>45696.058333333334</v>
      </c>
      <c r="E29" s="11">
        <v>4</v>
      </c>
      <c r="F29" s="13">
        <v>3.8</v>
      </c>
      <c r="G29" s="11">
        <v>53</v>
      </c>
      <c r="H29" t="s">
        <v>3014</v>
      </c>
      <c r="I29" t="s">
        <v>15</v>
      </c>
    </row>
    <row r="30" spans="1:9" x14ac:dyDescent="0.25">
      <c r="A30" t="s">
        <v>3043</v>
      </c>
      <c r="B30" t="s">
        <v>976</v>
      </c>
      <c r="C30" t="s">
        <v>977</v>
      </c>
      <c r="D30" s="1">
        <v>45747.036111111112</v>
      </c>
      <c r="E30" s="11">
        <v>4</v>
      </c>
      <c r="F30" s="13">
        <v>5.3</v>
      </c>
      <c r="G30" s="11">
        <v>54</v>
      </c>
      <c r="H30" t="s">
        <v>3014</v>
      </c>
      <c r="I30" t="s">
        <v>15</v>
      </c>
    </row>
    <row r="31" spans="1:9" x14ac:dyDescent="0.25">
      <c r="A31" t="s">
        <v>3044</v>
      </c>
      <c r="B31" t="s">
        <v>976</v>
      </c>
      <c r="C31" t="s">
        <v>977</v>
      </c>
      <c r="D31" s="1">
        <v>45764.017361111109</v>
      </c>
      <c r="E31" s="11">
        <v>4</v>
      </c>
      <c r="F31" s="13">
        <v>4.8</v>
      </c>
      <c r="G31" s="11">
        <v>78</v>
      </c>
      <c r="H31" t="s">
        <v>3014</v>
      </c>
      <c r="I31" t="s">
        <v>15</v>
      </c>
    </row>
    <row r="32" spans="1:9" x14ac:dyDescent="0.25">
      <c r="A32" t="s">
        <v>3045</v>
      </c>
      <c r="B32" t="s">
        <v>976</v>
      </c>
      <c r="C32" t="s">
        <v>977</v>
      </c>
      <c r="D32" s="1">
        <v>45667.013888888891</v>
      </c>
      <c r="E32" s="11">
        <v>4</v>
      </c>
      <c r="F32" s="13">
        <v>3.5</v>
      </c>
      <c r="G32" s="11">
        <v>76</v>
      </c>
      <c r="H32" t="s">
        <v>3019</v>
      </c>
      <c r="I32" t="s">
        <v>31</v>
      </c>
    </row>
    <row r="33" spans="1:9" x14ac:dyDescent="0.25">
      <c r="A33" t="s">
        <v>3046</v>
      </c>
      <c r="B33" t="s">
        <v>976</v>
      </c>
      <c r="C33" t="s">
        <v>977</v>
      </c>
      <c r="D33" s="1">
        <v>45686.438194444447</v>
      </c>
      <c r="E33" s="11">
        <v>3</v>
      </c>
      <c r="F33" s="13">
        <v>3.3</v>
      </c>
      <c r="G33" s="11">
        <v>66</v>
      </c>
      <c r="H33" t="s">
        <v>3014</v>
      </c>
      <c r="I33" t="s">
        <v>15</v>
      </c>
    </row>
    <row r="34" spans="1:9" x14ac:dyDescent="0.25">
      <c r="A34" t="s">
        <v>3047</v>
      </c>
      <c r="B34" t="s">
        <v>976</v>
      </c>
      <c r="C34" t="s">
        <v>977</v>
      </c>
      <c r="D34" s="1">
        <v>45752.080555555556</v>
      </c>
      <c r="E34" s="11">
        <v>4</v>
      </c>
      <c r="F34" s="13">
        <v>3.8</v>
      </c>
      <c r="G34" s="11">
        <v>62</v>
      </c>
      <c r="H34" t="s">
        <v>3014</v>
      </c>
      <c r="I34" t="s">
        <v>15</v>
      </c>
    </row>
    <row r="35" spans="1:9" x14ac:dyDescent="0.25">
      <c r="A35" t="s">
        <v>3048</v>
      </c>
      <c r="B35" t="s">
        <v>976</v>
      </c>
      <c r="C35" t="s">
        <v>977</v>
      </c>
      <c r="D35" s="1">
        <v>45722.052777777775</v>
      </c>
      <c r="E35" s="11">
        <v>3</v>
      </c>
      <c r="F35" s="13">
        <v>-2.5</v>
      </c>
      <c r="G35" s="11">
        <v>74</v>
      </c>
      <c r="H35" t="s">
        <v>3014</v>
      </c>
      <c r="I35" t="s">
        <v>31</v>
      </c>
    </row>
    <row r="36" spans="1:9" x14ac:dyDescent="0.25">
      <c r="A36" t="s">
        <v>3049</v>
      </c>
      <c r="B36" t="s">
        <v>976</v>
      </c>
      <c r="C36" t="s">
        <v>977</v>
      </c>
      <c r="D36" s="1">
        <v>45661.916666666664</v>
      </c>
      <c r="E36" s="11">
        <v>2</v>
      </c>
      <c r="F36" s="13">
        <v>1.3</v>
      </c>
      <c r="G36" s="11">
        <v>63</v>
      </c>
      <c r="H36" t="s">
        <v>3014</v>
      </c>
      <c r="I36" t="s">
        <v>15</v>
      </c>
    </row>
    <row r="37" spans="1:9" x14ac:dyDescent="0.25">
      <c r="A37" t="s">
        <v>3050</v>
      </c>
      <c r="B37" t="s">
        <v>976</v>
      </c>
      <c r="C37" t="s">
        <v>977</v>
      </c>
      <c r="D37" s="1">
        <v>45734.581944444442</v>
      </c>
      <c r="E37" s="11">
        <v>3</v>
      </c>
      <c r="F37" s="13">
        <v>3.8</v>
      </c>
      <c r="G37" s="11">
        <v>66</v>
      </c>
      <c r="H37" t="s">
        <v>3014</v>
      </c>
      <c r="I37" t="s">
        <v>15</v>
      </c>
    </row>
    <row r="38" spans="1:9" x14ac:dyDescent="0.25">
      <c r="A38" t="s">
        <v>3051</v>
      </c>
      <c r="B38" t="s">
        <v>976</v>
      </c>
      <c r="C38" t="s">
        <v>977</v>
      </c>
      <c r="D38" s="1">
        <v>45729.083333333336</v>
      </c>
      <c r="E38" s="11">
        <v>4</v>
      </c>
      <c r="F38" s="13">
        <v>4.3</v>
      </c>
      <c r="G38" s="11">
        <v>59</v>
      </c>
      <c r="H38" t="s">
        <v>3019</v>
      </c>
      <c r="I38" t="s">
        <v>31</v>
      </c>
    </row>
    <row r="39" spans="1:9" x14ac:dyDescent="0.25">
      <c r="A39" t="s">
        <v>3052</v>
      </c>
      <c r="B39" t="s">
        <v>976</v>
      </c>
      <c r="C39" t="s">
        <v>977</v>
      </c>
      <c r="D39" s="1">
        <v>45722.612500000003</v>
      </c>
      <c r="E39" s="11">
        <v>2</v>
      </c>
      <c r="F39" s="13">
        <v>3.8</v>
      </c>
      <c r="G39" s="11">
        <v>66</v>
      </c>
      <c r="H39" t="s">
        <v>3014</v>
      </c>
      <c r="I39" t="s">
        <v>15</v>
      </c>
    </row>
    <row r="40" spans="1:9" x14ac:dyDescent="0.25">
      <c r="A40" t="s">
        <v>3053</v>
      </c>
      <c r="B40" t="s">
        <v>976</v>
      </c>
      <c r="C40" t="s">
        <v>977</v>
      </c>
      <c r="D40" s="1">
        <v>45771.183333333334</v>
      </c>
      <c r="E40" s="11">
        <v>3</v>
      </c>
      <c r="F40" s="13">
        <v>2.2000000000000002</v>
      </c>
      <c r="G40" s="11">
        <v>60</v>
      </c>
      <c r="H40" t="s">
        <v>3014</v>
      </c>
      <c r="I40" t="s">
        <v>15</v>
      </c>
    </row>
    <row r="41" spans="1:9" x14ac:dyDescent="0.25">
      <c r="A41" t="s">
        <v>3054</v>
      </c>
      <c r="B41" t="s">
        <v>976</v>
      </c>
      <c r="C41" t="s">
        <v>977</v>
      </c>
      <c r="D41" s="1">
        <v>45767.192361111112</v>
      </c>
      <c r="E41" s="11">
        <v>4</v>
      </c>
      <c r="F41" s="13">
        <v>5.4</v>
      </c>
      <c r="G41" s="11">
        <v>73</v>
      </c>
      <c r="H41" t="s">
        <v>3014</v>
      </c>
      <c r="I41" t="s">
        <v>15</v>
      </c>
    </row>
    <row r="42" spans="1:9" x14ac:dyDescent="0.25">
      <c r="A42" t="s">
        <v>3055</v>
      </c>
      <c r="B42" t="s">
        <v>976</v>
      </c>
      <c r="C42" t="s">
        <v>977</v>
      </c>
      <c r="D42" s="1">
        <v>45701.542361111111</v>
      </c>
      <c r="E42" s="11">
        <v>4</v>
      </c>
      <c r="F42" s="13">
        <v>4.4000000000000004</v>
      </c>
      <c r="G42" s="11">
        <v>56</v>
      </c>
      <c r="H42" t="s">
        <v>3014</v>
      </c>
      <c r="I42" t="s">
        <v>15</v>
      </c>
    </row>
    <row r="43" spans="1:9" x14ac:dyDescent="0.25">
      <c r="A43" t="s">
        <v>3056</v>
      </c>
      <c r="B43" t="s">
        <v>976</v>
      </c>
      <c r="C43" t="s">
        <v>977</v>
      </c>
      <c r="D43" s="1">
        <v>45658.075694444444</v>
      </c>
      <c r="E43" s="11">
        <v>4</v>
      </c>
      <c r="F43" s="13">
        <v>4.4000000000000004</v>
      </c>
      <c r="G43" s="11">
        <v>63</v>
      </c>
      <c r="H43" t="s">
        <v>3014</v>
      </c>
      <c r="I43" t="s">
        <v>15</v>
      </c>
    </row>
    <row r="44" spans="1:9" x14ac:dyDescent="0.25">
      <c r="A44" t="s">
        <v>3057</v>
      </c>
      <c r="B44" t="s">
        <v>976</v>
      </c>
      <c r="C44" t="s">
        <v>977</v>
      </c>
      <c r="D44" s="1">
        <v>45670.606249999997</v>
      </c>
      <c r="E44" s="11">
        <v>4</v>
      </c>
      <c r="F44" s="13">
        <v>4.9000000000000004</v>
      </c>
      <c r="G44" s="11">
        <v>67</v>
      </c>
      <c r="H44" t="s">
        <v>3014</v>
      </c>
      <c r="I44" t="s">
        <v>15</v>
      </c>
    </row>
    <row r="45" spans="1:9" x14ac:dyDescent="0.25">
      <c r="A45" t="s">
        <v>3058</v>
      </c>
      <c r="B45" t="s">
        <v>976</v>
      </c>
      <c r="C45" t="s">
        <v>977</v>
      </c>
      <c r="D45" s="1">
        <v>45662.293749999997</v>
      </c>
      <c r="E45" s="11">
        <v>2</v>
      </c>
      <c r="F45" s="13">
        <v>2.6</v>
      </c>
      <c r="G45" s="11">
        <v>40</v>
      </c>
      <c r="H45" t="s">
        <v>3014</v>
      </c>
      <c r="I45" t="s">
        <v>15</v>
      </c>
    </row>
    <row r="46" spans="1:9" x14ac:dyDescent="0.25">
      <c r="A46" t="s">
        <v>3059</v>
      </c>
      <c r="B46" t="s">
        <v>976</v>
      </c>
      <c r="C46" t="s">
        <v>977</v>
      </c>
      <c r="D46" s="1">
        <v>45761.281944444447</v>
      </c>
      <c r="E46" s="11">
        <v>4</v>
      </c>
      <c r="F46" s="13">
        <v>4.0999999999999996</v>
      </c>
      <c r="G46" s="11">
        <v>57</v>
      </c>
      <c r="H46" t="s">
        <v>3014</v>
      </c>
      <c r="I46" t="s">
        <v>15</v>
      </c>
    </row>
    <row r="47" spans="1:9" x14ac:dyDescent="0.25">
      <c r="A47" t="s">
        <v>3060</v>
      </c>
      <c r="B47" t="s">
        <v>976</v>
      </c>
      <c r="C47" t="s">
        <v>977</v>
      </c>
      <c r="D47" s="1">
        <v>45701.256944444445</v>
      </c>
      <c r="E47" s="11">
        <v>3</v>
      </c>
      <c r="F47" s="13">
        <v>4.7</v>
      </c>
      <c r="G47" s="11">
        <v>66</v>
      </c>
      <c r="H47" t="s">
        <v>3014</v>
      </c>
      <c r="I47" t="s">
        <v>15</v>
      </c>
    </row>
    <row r="48" spans="1:9" x14ac:dyDescent="0.25">
      <c r="A48" t="s">
        <v>3061</v>
      </c>
      <c r="B48" t="s">
        <v>976</v>
      </c>
      <c r="C48" t="s">
        <v>977</v>
      </c>
      <c r="D48" s="1">
        <v>45752.385416666664</v>
      </c>
      <c r="E48" s="11">
        <v>3</v>
      </c>
      <c r="F48" s="13">
        <v>2.6</v>
      </c>
      <c r="G48" s="11">
        <v>76</v>
      </c>
      <c r="H48" t="s">
        <v>3014</v>
      </c>
      <c r="I48" t="s">
        <v>15</v>
      </c>
    </row>
    <row r="49" spans="1:9" x14ac:dyDescent="0.25">
      <c r="A49" t="s">
        <v>3062</v>
      </c>
      <c r="B49" t="s">
        <v>976</v>
      </c>
      <c r="C49" t="s">
        <v>977</v>
      </c>
      <c r="D49" s="1">
        <v>45712.454861111109</v>
      </c>
      <c r="E49" s="11">
        <v>2</v>
      </c>
      <c r="F49" s="13">
        <v>2</v>
      </c>
      <c r="G49" s="11">
        <v>60</v>
      </c>
      <c r="H49" t="s">
        <v>3014</v>
      </c>
      <c r="I49" t="s">
        <v>15</v>
      </c>
    </row>
    <row r="50" spans="1:9" x14ac:dyDescent="0.25">
      <c r="A50" t="s">
        <v>3063</v>
      </c>
      <c r="B50" t="s">
        <v>959</v>
      </c>
      <c r="C50" t="s">
        <v>960</v>
      </c>
      <c r="D50" s="1">
        <v>45697.367361111108</v>
      </c>
      <c r="E50" s="11">
        <v>3</v>
      </c>
      <c r="F50" s="13">
        <v>3.1</v>
      </c>
      <c r="G50" s="11">
        <v>69</v>
      </c>
      <c r="H50" t="s">
        <v>3014</v>
      </c>
      <c r="I50" t="s">
        <v>15</v>
      </c>
    </row>
    <row r="51" spans="1:9" x14ac:dyDescent="0.25">
      <c r="A51" t="s">
        <v>3064</v>
      </c>
      <c r="B51" t="s">
        <v>959</v>
      </c>
      <c r="C51" t="s">
        <v>960</v>
      </c>
      <c r="D51" s="1">
        <v>45701.665972222225</v>
      </c>
      <c r="E51" s="11">
        <v>4</v>
      </c>
      <c r="F51" s="13">
        <v>4.0999999999999996</v>
      </c>
      <c r="G51" s="11">
        <v>60</v>
      </c>
      <c r="H51" t="s">
        <v>3014</v>
      </c>
      <c r="I51" t="s">
        <v>15</v>
      </c>
    </row>
    <row r="52" spans="1:9" x14ac:dyDescent="0.25">
      <c r="A52" t="s">
        <v>3065</v>
      </c>
      <c r="B52" t="s">
        <v>959</v>
      </c>
      <c r="C52" t="s">
        <v>960</v>
      </c>
      <c r="D52" s="1">
        <v>45760.492361111108</v>
      </c>
      <c r="E52" s="11">
        <v>2</v>
      </c>
      <c r="F52" s="13">
        <v>2.6</v>
      </c>
      <c r="G52" s="11">
        <v>55</v>
      </c>
      <c r="H52" t="s">
        <v>3014</v>
      </c>
      <c r="I52" t="s">
        <v>15</v>
      </c>
    </row>
    <row r="53" spans="1:9" x14ac:dyDescent="0.25">
      <c r="A53" t="s">
        <v>3066</v>
      </c>
      <c r="B53" t="s">
        <v>959</v>
      </c>
      <c r="C53" t="s">
        <v>960</v>
      </c>
      <c r="D53" s="1">
        <v>45730.922222222223</v>
      </c>
      <c r="E53" s="11">
        <v>2</v>
      </c>
      <c r="F53" s="13">
        <v>2</v>
      </c>
      <c r="G53" s="11">
        <v>55</v>
      </c>
      <c r="H53" t="s">
        <v>3014</v>
      </c>
      <c r="I53" t="s">
        <v>15</v>
      </c>
    </row>
    <row r="54" spans="1:9" x14ac:dyDescent="0.25">
      <c r="A54" t="s">
        <v>3067</v>
      </c>
      <c r="B54" t="s">
        <v>959</v>
      </c>
      <c r="C54" t="s">
        <v>960</v>
      </c>
      <c r="D54" s="1">
        <v>45676.631944444445</v>
      </c>
      <c r="E54" s="11">
        <v>2</v>
      </c>
      <c r="F54" s="13">
        <v>2.7</v>
      </c>
      <c r="G54" s="11">
        <v>59</v>
      </c>
      <c r="H54" t="s">
        <v>3014</v>
      </c>
      <c r="I54" t="s">
        <v>15</v>
      </c>
    </row>
    <row r="55" spans="1:9" x14ac:dyDescent="0.25">
      <c r="A55" t="s">
        <v>3068</v>
      </c>
      <c r="B55" t="s">
        <v>959</v>
      </c>
      <c r="C55" t="s">
        <v>960</v>
      </c>
      <c r="D55" s="1">
        <v>45688.482638888891</v>
      </c>
      <c r="E55" s="11">
        <v>3</v>
      </c>
      <c r="F55" s="13">
        <v>2.4</v>
      </c>
      <c r="G55" s="11">
        <v>63</v>
      </c>
      <c r="H55" t="s">
        <v>3014</v>
      </c>
      <c r="I55" t="s">
        <v>15</v>
      </c>
    </row>
    <row r="56" spans="1:9" x14ac:dyDescent="0.25">
      <c r="A56" t="s">
        <v>3069</v>
      </c>
      <c r="B56" t="s">
        <v>959</v>
      </c>
      <c r="C56" t="s">
        <v>960</v>
      </c>
      <c r="D56" s="1">
        <v>45699.473611111112</v>
      </c>
      <c r="E56" s="11">
        <v>2</v>
      </c>
      <c r="F56" s="13">
        <v>1.4</v>
      </c>
      <c r="G56" s="11">
        <v>65</v>
      </c>
      <c r="H56" t="s">
        <v>3014</v>
      </c>
      <c r="I56" t="s">
        <v>15</v>
      </c>
    </row>
    <row r="57" spans="1:9" x14ac:dyDescent="0.25">
      <c r="A57" t="s">
        <v>3070</v>
      </c>
      <c r="B57" t="s">
        <v>959</v>
      </c>
      <c r="C57" t="s">
        <v>960</v>
      </c>
      <c r="D57" s="1">
        <v>45727.697222222225</v>
      </c>
      <c r="E57" s="11">
        <v>3</v>
      </c>
      <c r="F57" s="13">
        <v>2.7</v>
      </c>
      <c r="G57" s="11">
        <v>68</v>
      </c>
      <c r="H57" t="s">
        <v>3014</v>
      </c>
      <c r="I57" t="s">
        <v>15</v>
      </c>
    </row>
    <row r="58" spans="1:9" x14ac:dyDescent="0.25">
      <c r="A58" t="s">
        <v>3071</v>
      </c>
      <c r="B58" t="s">
        <v>959</v>
      </c>
      <c r="C58" t="s">
        <v>960</v>
      </c>
      <c r="D58" s="1">
        <v>45672.656944444447</v>
      </c>
      <c r="E58" s="11">
        <v>2</v>
      </c>
      <c r="F58" s="13">
        <v>2.6</v>
      </c>
      <c r="G58" s="11">
        <v>67</v>
      </c>
      <c r="H58" t="s">
        <v>3014</v>
      </c>
      <c r="I58" t="s">
        <v>15</v>
      </c>
    </row>
    <row r="59" spans="1:9" x14ac:dyDescent="0.25">
      <c r="A59" t="s">
        <v>3072</v>
      </c>
      <c r="B59" t="s">
        <v>959</v>
      </c>
      <c r="C59" t="s">
        <v>960</v>
      </c>
      <c r="D59" s="1">
        <v>45692.338888888888</v>
      </c>
      <c r="E59" s="11">
        <v>3</v>
      </c>
      <c r="F59" s="13">
        <v>1.3</v>
      </c>
      <c r="G59" s="11">
        <v>84</v>
      </c>
      <c r="H59" t="s">
        <v>3014</v>
      </c>
      <c r="I59" t="s">
        <v>15</v>
      </c>
    </row>
    <row r="60" spans="1:9" x14ac:dyDescent="0.25">
      <c r="A60" t="s">
        <v>3073</v>
      </c>
      <c r="B60" t="s">
        <v>959</v>
      </c>
      <c r="C60" t="s">
        <v>960</v>
      </c>
      <c r="D60" s="1">
        <v>45719.498611111114</v>
      </c>
      <c r="E60" s="11">
        <v>4</v>
      </c>
      <c r="F60" s="13">
        <v>2.2000000000000002</v>
      </c>
      <c r="G60" s="11">
        <v>64</v>
      </c>
      <c r="H60" t="s">
        <v>3014</v>
      </c>
      <c r="I60" t="s">
        <v>15</v>
      </c>
    </row>
    <row r="61" spans="1:9" x14ac:dyDescent="0.25">
      <c r="A61" t="s">
        <v>3074</v>
      </c>
      <c r="B61" t="s">
        <v>959</v>
      </c>
      <c r="C61" t="s">
        <v>960</v>
      </c>
      <c r="D61" s="1">
        <v>45731.375</v>
      </c>
      <c r="E61" s="11">
        <v>3</v>
      </c>
      <c r="F61" s="13">
        <v>3.9</v>
      </c>
      <c r="G61" s="11">
        <v>63</v>
      </c>
      <c r="H61" t="s">
        <v>3014</v>
      </c>
      <c r="I61" t="s">
        <v>15</v>
      </c>
    </row>
    <row r="62" spans="1:9" x14ac:dyDescent="0.25">
      <c r="A62" t="s">
        <v>3075</v>
      </c>
      <c r="B62" t="s">
        <v>959</v>
      </c>
      <c r="C62" t="s">
        <v>960</v>
      </c>
      <c r="D62" s="1">
        <v>45672.177777777775</v>
      </c>
      <c r="E62" s="11">
        <v>2</v>
      </c>
      <c r="F62" s="13">
        <v>2</v>
      </c>
      <c r="G62" s="11">
        <v>65</v>
      </c>
      <c r="H62" t="s">
        <v>3014</v>
      </c>
      <c r="I62" t="s">
        <v>15</v>
      </c>
    </row>
    <row r="63" spans="1:9" x14ac:dyDescent="0.25">
      <c r="A63" t="s">
        <v>3076</v>
      </c>
      <c r="B63" t="s">
        <v>959</v>
      </c>
      <c r="C63" t="s">
        <v>960</v>
      </c>
      <c r="D63" s="1">
        <v>45700.680555555555</v>
      </c>
      <c r="E63" s="11">
        <v>3</v>
      </c>
      <c r="F63" s="13">
        <v>3.4</v>
      </c>
      <c r="G63" s="11">
        <v>72</v>
      </c>
      <c r="H63" t="s">
        <v>3014</v>
      </c>
      <c r="I63" t="s">
        <v>15</v>
      </c>
    </row>
    <row r="64" spans="1:9" x14ac:dyDescent="0.25">
      <c r="A64" t="s">
        <v>3077</v>
      </c>
      <c r="B64" t="s">
        <v>959</v>
      </c>
      <c r="C64" t="s">
        <v>960</v>
      </c>
      <c r="D64" s="1">
        <v>45720.145833333336</v>
      </c>
      <c r="E64" s="11">
        <v>3</v>
      </c>
      <c r="F64" s="13">
        <v>3.5</v>
      </c>
      <c r="G64" s="11">
        <v>69</v>
      </c>
      <c r="H64" t="s">
        <v>3019</v>
      </c>
      <c r="I64" t="s">
        <v>31</v>
      </c>
    </row>
    <row r="65" spans="1:9" x14ac:dyDescent="0.25">
      <c r="A65" t="s">
        <v>3078</v>
      </c>
      <c r="B65" t="s">
        <v>959</v>
      </c>
      <c r="C65" t="s">
        <v>960</v>
      </c>
      <c r="D65" s="1">
        <v>45740.160416666666</v>
      </c>
      <c r="E65" s="11">
        <v>2</v>
      </c>
      <c r="F65" s="13">
        <v>1.7</v>
      </c>
      <c r="G65" s="11">
        <v>63</v>
      </c>
      <c r="H65" t="s">
        <v>3014</v>
      </c>
      <c r="I65" t="s">
        <v>15</v>
      </c>
    </row>
    <row r="66" spans="1:9" x14ac:dyDescent="0.25">
      <c r="A66" t="s">
        <v>3079</v>
      </c>
      <c r="B66" t="s">
        <v>959</v>
      </c>
      <c r="C66" t="s">
        <v>960</v>
      </c>
      <c r="D66" s="1">
        <v>45736.834027777775</v>
      </c>
      <c r="E66" s="11">
        <v>3</v>
      </c>
      <c r="F66" s="13">
        <v>3.1</v>
      </c>
      <c r="G66" s="11">
        <v>50</v>
      </c>
      <c r="H66" t="s">
        <v>3014</v>
      </c>
      <c r="I66" t="s">
        <v>15</v>
      </c>
    </row>
    <row r="67" spans="1:9" x14ac:dyDescent="0.25">
      <c r="A67" t="s">
        <v>3080</v>
      </c>
      <c r="B67" t="s">
        <v>959</v>
      </c>
      <c r="C67" t="s">
        <v>960</v>
      </c>
      <c r="D67" s="1">
        <v>45762.931944444441</v>
      </c>
      <c r="E67" s="11">
        <v>4</v>
      </c>
      <c r="F67" s="13">
        <v>4.5999999999999996</v>
      </c>
      <c r="G67" s="11">
        <v>78</v>
      </c>
      <c r="H67" t="s">
        <v>3014</v>
      </c>
      <c r="I67" t="s">
        <v>15</v>
      </c>
    </row>
    <row r="68" spans="1:9" x14ac:dyDescent="0.25">
      <c r="A68" t="s">
        <v>3081</v>
      </c>
      <c r="B68" t="s">
        <v>959</v>
      </c>
      <c r="C68" t="s">
        <v>960</v>
      </c>
      <c r="D68" s="1">
        <v>45708.001388888886</v>
      </c>
      <c r="E68" s="11">
        <v>4</v>
      </c>
      <c r="F68" s="13">
        <v>3.6</v>
      </c>
      <c r="G68" s="11">
        <v>61</v>
      </c>
      <c r="H68" t="s">
        <v>3014</v>
      </c>
      <c r="I68" t="s">
        <v>15</v>
      </c>
    </row>
    <row r="69" spans="1:9" x14ac:dyDescent="0.25">
      <c r="A69" t="s">
        <v>3082</v>
      </c>
      <c r="B69" t="s">
        <v>959</v>
      </c>
      <c r="C69" t="s">
        <v>960</v>
      </c>
      <c r="D69" s="1">
        <v>45767.61041666667</v>
      </c>
      <c r="E69" s="11">
        <v>2</v>
      </c>
      <c r="F69" s="13">
        <v>1.3</v>
      </c>
      <c r="G69" s="11">
        <v>62</v>
      </c>
      <c r="H69" t="s">
        <v>3019</v>
      </c>
      <c r="I69" t="s">
        <v>31</v>
      </c>
    </row>
    <row r="70" spans="1:9" x14ac:dyDescent="0.25">
      <c r="A70" t="s">
        <v>3083</v>
      </c>
      <c r="B70" t="s">
        <v>959</v>
      </c>
      <c r="C70" t="s">
        <v>960</v>
      </c>
      <c r="D70" s="1">
        <v>45723.904861111114</v>
      </c>
      <c r="E70" s="11">
        <v>3</v>
      </c>
      <c r="F70" s="13">
        <v>2.9</v>
      </c>
      <c r="G70" s="11">
        <v>73</v>
      </c>
      <c r="H70" t="s">
        <v>3014</v>
      </c>
      <c r="I70" t="s">
        <v>15</v>
      </c>
    </row>
    <row r="71" spans="1:9" x14ac:dyDescent="0.25">
      <c r="A71" t="s">
        <v>3084</v>
      </c>
      <c r="B71" t="s">
        <v>959</v>
      </c>
      <c r="C71" t="s">
        <v>960</v>
      </c>
      <c r="D71" s="1">
        <v>45672.25277777778</v>
      </c>
      <c r="E71" s="11">
        <v>3</v>
      </c>
      <c r="F71" s="13">
        <v>2.9</v>
      </c>
      <c r="G71" s="11">
        <v>52</v>
      </c>
      <c r="H71" t="s">
        <v>3014</v>
      </c>
      <c r="I71" t="s">
        <v>15</v>
      </c>
    </row>
    <row r="72" spans="1:9" x14ac:dyDescent="0.25">
      <c r="A72" t="s">
        <v>3085</v>
      </c>
      <c r="B72" t="s">
        <v>959</v>
      </c>
      <c r="C72" t="s">
        <v>960</v>
      </c>
      <c r="D72" s="1">
        <v>45725.754166666666</v>
      </c>
      <c r="E72" s="11">
        <v>3</v>
      </c>
      <c r="F72" s="13">
        <v>2.6</v>
      </c>
      <c r="G72" s="11">
        <v>67</v>
      </c>
      <c r="H72" t="s">
        <v>3014</v>
      </c>
      <c r="I72" t="s">
        <v>15</v>
      </c>
    </row>
    <row r="73" spans="1:9" x14ac:dyDescent="0.25">
      <c r="A73" t="s">
        <v>3086</v>
      </c>
      <c r="B73" t="s">
        <v>959</v>
      </c>
      <c r="C73" t="s">
        <v>960</v>
      </c>
      <c r="D73" s="1">
        <v>45707.197916666664</v>
      </c>
      <c r="E73" s="11">
        <v>2</v>
      </c>
      <c r="F73" s="13">
        <v>2.7</v>
      </c>
      <c r="G73" s="11">
        <v>48</v>
      </c>
      <c r="H73" t="s">
        <v>3014</v>
      </c>
      <c r="I73" t="s">
        <v>15</v>
      </c>
    </row>
    <row r="74" spans="1:9" x14ac:dyDescent="0.25">
      <c r="A74" t="s">
        <v>3087</v>
      </c>
      <c r="B74" t="s">
        <v>996</v>
      </c>
      <c r="C74" t="s">
        <v>997</v>
      </c>
      <c r="D74" s="1">
        <v>45661.929166666669</v>
      </c>
      <c r="E74" s="11">
        <v>2</v>
      </c>
      <c r="F74" s="13">
        <v>1.4</v>
      </c>
      <c r="G74" s="11">
        <v>50</v>
      </c>
      <c r="H74" t="s">
        <v>3019</v>
      </c>
      <c r="I74" t="s">
        <v>31</v>
      </c>
    </row>
    <row r="75" spans="1:9" x14ac:dyDescent="0.25">
      <c r="A75" t="s">
        <v>3088</v>
      </c>
      <c r="B75" t="s">
        <v>996</v>
      </c>
      <c r="C75" t="s">
        <v>997</v>
      </c>
      <c r="D75" s="1">
        <v>45756.031944444447</v>
      </c>
      <c r="E75" s="11">
        <v>2</v>
      </c>
      <c r="F75" s="13">
        <v>4.5</v>
      </c>
      <c r="G75" s="11">
        <v>38</v>
      </c>
      <c r="H75" t="s">
        <v>3014</v>
      </c>
      <c r="I75" t="s">
        <v>15</v>
      </c>
    </row>
    <row r="76" spans="1:9" x14ac:dyDescent="0.25">
      <c r="A76" t="s">
        <v>3089</v>
      </c>
      <c r="B76" t="s">
        <v>996</v>
      </c>
      <c r="C76" t="s">
        <v>997</v>
      </c>
      <c r="D76" s="1">
        <v>45770.973611111112</v>
      </c>
      <c r="E76" s="11">
        <v>3</v>
      </c>
      <c r="F76" s="13">
        <v>3.5</v>
      </c>
      <c r="G76" s="11">
        <v>63</v>
      </c>
      <c r="H76" t="s">
        <v>3014</v>
      </c>
      <c r="I76" t="s">
        <v>15</v>
      </c>
    </row>
    <row r="77" spans="1:9" x14ac:dyDescent="0.25">
      <c r="A77" t="s">
        <v>3090</v>
      </c>
      <c r="B77" t="s">
        <v>996</v>
      </c>
      <c r="C77" t="s">
        <v>997</v>
      </c>
      <c r="D77" s="1">
        <v>45753.806944444441</v>
      </c>
      <c r="E77" s="11">
        <v>2</v>
      </c>
      <c r="F77" s="13">
        <v>2.4</v>
      </c>
      <c r="G77" s="11">
        <v>35</v>
      </c>
      <c r="H77" t="s">
        <v>3014</v>
      </c>
      <c r="I77" t="s">
        <v>15</v>
      </c>
    </row>
    <row r="78" spans="1:9" x14ac:dyDescent="0.25">
      <c r="A78" t="s">
        <v>3091</v>
      </c>
      <c r="B78" t="s">
        <v>996</v>
      </c>
      <c r="C78" t="s">
        <v>997</v>
      </c>
      <c r="D78" s="1">
        <v>45705.852777777778</v>
      </c>
      <c r="E78" s="11">
        <v>4</v>
      </c>
      <c r="F78" s="13">
        <v>3.3</v>
      </c>
      <c r="G78" s="11">
        <v>67</v>
      </c>
      <c r="H78" t="s">
        <v>3014</v>
      </c>
      <c r="I78" t="s">
        <v>15</v>
      </c>
    </row>
    <row r="79" spans="1:9" x14ac:dyDescent="0.25">
      <c r="A79" t="s">
        <v>3092</v>
      </c>
      <c r="B79" t="s">
        <v>996</v>
      </c>
      <c r="C79" t="s">
        <v>997</v>
      </c>
      <c r="D79" s="1">
        <v>45665.61041666667</v>
      </c>
      <c r="E79" s="11">
        <v>3</v>
      </c>
      <c r="F79" s="13">
        <v>2.2000000000000002</v>
      </c>
      <c r="G79" s="11">
        <v>76</v>
      </c>
      <c r="H79" t="s">
        <v>3014</v>
      </c>
      <c r="I79" t="s">
        <v>15</v>
      </c>
    </row>
    <row r="80" spans="1:9" x14ac:dyDescent="0.25">
      <c r="A80" t="s">
        <v>3093</v>
      </c>
      <c r="B80" t="s">
        <v>996</v>
      </c>
      <c r="C80" t="s">
        <v>997</v>
      </c>
      <c r="D80" s="1">
        <v>45739.450694444444</v>
      </c>
      <c r="E80" s="11">
        <v>2</v>
      </c>
      <c r="F80" s="13">
        <v>6.5</v>
      </c>
      <c r="G80" s="11">
        <v>69</v>
      </c>
      <c r="H80" t="s">
        <v>3014</v>
      </c>
      <c r="I80" t="s">
        <v>15</v>
      </c>
    </row>
    <row r="81" spans="1:9" x14ac:dyDescent="0.25">
      <c r="A81" t="s">
        <v>3094</v>
      </c>
      <c r="B81" t="s">
        <v>996</v>
      </c>
      <c r="C81" t="s">
        <v>997</v>
      </c>
      <c r="D81" s="1">
        <v>45714.205555555556</v>
      </c>
      <c r="E81" s="11">
        <v>4</v>
      </c>
      <c r="F81" s="13">
        <v>4</v>
      </c>
      <c r="G81" s="11">
        <v>50</v>
      </c>
      <c r="H81" t="s">
        <v>3014</v>
      </c>
      <c r="I81" t="s">
        <v>15</v>
      </c>
    </row>
    <row r="82" spans="1:9" x14ac:dyDescent="0.25">
      <c r="A82" t="s">
        <v>3095</v>
      </c>
      <c r="B82" t="s">
        <v>996</v>
      </c>
      <c r="C82" t="s">
        <v>997</v>
      </c>
      <c r="D82" s="1">
        <v>45696.328472222223</v>
      </c>
      <c r="E82" s="11">
        <v>2</v>
      </c>
      <c r="F82" s="13">
        <v>3</v>
      </c>
      <c r="G82" s="11">
        <v>57</v>
      </c>
      <c r="H82" t="s">
        <v>3014</v>
      </c>
      <c r="I82" t="s">
        <v>15</v>
      </c>
    </row>
    <row r="83" spans="1:9" x14ac:dyDescent="0.25">
      <c r="A83" t="s">
        <v>3096</v>
      </c>
      <c r="B83" t="s">
        <v>996</v>
      </c>
      <c r="C83" t="s">
        <v>997</v>
      </c>
      <c r="D83" s="1">
        <v>45776.392361111109</v>
      </c>
      <c r="E83" s="11">
        <v>4</v>
      </c>
      <c r="F83" s="13">
        <v>4.0999999999999996</v>
      </c>
      <c r="G83" s="11">
        <v>52</v>
      </c>
      <c r="H83" t="s">
        <v>3014</v>
      </c>
      <c r="I83" t="s">
        <v>15</v>
      </c>
    </row>
    <row r="84" spans="1:9" x14ac:dyDescent="0.25">
      <c r="A84" t="s">
        <v>3097</v>
      </c>
      <c r="B84" t="s">
        <v>996</v>
      </c>
      <c r="C84" t="s">
        <v>997</v>
      </c>
      <c r="D84" s="1">
        <v>45756.15902777778</v>
      </c>
      <c r="E84" s="11">
        <v>4</v>
      </c>
      <c r="F84" s="13">
        <v>5</v>
      </c>
      <c r="G84" s="11">
        <v>77</v>
      </c>
      <c r="H84" t="s">
        <v>3014</v>
      </c>
      <c r="I84" t="s">
        <v>15</v>
      </c>
    </row>
    <row r="85" spans="1:9" x14ac:dyDescent="0.25">
      <c r="A85" t="s">
        <v>3098</v>
      </c>
      <c r="B85" t="s">
        <v>996</v>
      </c>
      <c r="C85" t="s">
        <v>997</v>
      </c>
      <c r="D85" s="1">
        <v>45701.212500000001</v>
      </c>
      <c r="E85" s="11">
        <v>4</v>
      </c>
      <c r="F85" s="13">
        <v>3.1</v>
      </c>
      <c r="G85" s="11">
        <v>67</v>
      </c>
      <c r="H85" t="s">
        <v>3019</v>
      </c>
      <c r="I85" t="s">
        <v>31</v>
      </c>
    </row>
    <row r="86" spans="1:9" x14ac:dyDescent="0.25">
      <c r="A86" t="s">
        <v>3099</v>
      </c>
      <c r="B86" t="s">
        <v>996</v>
      </c>
      <c r="C86" t="s">
        <v>997</v>
      </c>
      <c r="D86" s="1">
        <v>45658.253472222219</v>
      </c>
      <c r="E86" s="11">
        <v>2</v>
      </c>
      <c r="F86" s="13">
        <v>2.2000000000000002</v>
      </c>
      <c r="G86" s="11">
        <v>54</v>
      </c>
      <c r="H86" t="s">
        <v>3014</v>
      </c>
      <c r="I86" t="s">
        <v>15</v>
      </c>
    </row>
    <row r="87" spans="1:9" x14ac:dyDescent="0.25">
      <c r="A87" t="s">
        <v>3100</v>
      </c>
      <c r="B87" t="s">
        <v>996</v>
      </c>
      <c r="C87" t="s">
        <v>997</v>
      </c>
      <c r="D87" s="1">
        <v>45674.901388888888</v>
      </c>
      <c r="E87" s="11">
        <v>2</v>
      </c>
      <c r="F87" s="13">
        <v>2.7</v>
      </c>
      <c r="G87" s="11">
        <v>63</v>
      </c>
      <c r="H87" t="s">
        <v>3014</v>
      </c>
      <c r="I87" t="s">
        <v>15</v>
      </c>
    </row>
    <row r="88" spans="1:9" x14ac:dyDescent="0.25">
      <c r="A88" t="s">
        <v>3101</v>
      </c>
      <c r="B88" t="s">
        <v>996</v>
      </c>
      <c r="C88" t="s">
        <v>997</v>
      </c>
      <c r="D88" s="1">
        <v>45678.902777777781</v>
      </c>
      <c r="E88" s="11">
        <v>2</v>
      </c>
      <c r="F88" s="13">
        <v>4.7</v>
      </c>
      <c r="G88" s="11">
        <v>57</v>
      </c>
      <c r="H88" t="s">
        <v>3014</v>
      </c>
      <c r="I88" t="s">
        <v>15</v>
      </c>
    </row>
    <row r="89" spans="1:9" x14ac:dyDescent="0.25">
      <c r="A89" t="s">
        <v>3102</v>
      </c>
      <c r="B89" t="s">
        <v>996</v>
      </c>
      <c r="C89" t="s">
        <v>997</v>
      </c>
      <c r="D89" s="1">
        <v>45679.318749999999</v>
      </c>
      <c r="E89" s="11">
        <v>2</v>
      </c>
      <c r="F89" s="13">
        <v>1.8</v>
      </c>
      <c r="G89" s="11">
        <v>70</v>
      </c>
      <c r="H89" t="s">
        <v>3014</v>
      </c>
      <c r="I89" t="s">
        <v>15</v>
      </c>
    </row>
    <row r="90" spans="1:9" x14ac:dyDescent="0.25">
      <c r="A90" t="s">
        <v>3103</v>
      </c>
      <c r="B90" t="s">
        <v>996</v>
      </c>
      <c r="C90" t="s">
        <v>997</v>
      </c>
      <c r="D90" s="1">
        <v>45683.163194444445</v>
      </c>
      <c r="E90" s="11">
        <v>3</v>
      </c>
      <c r="F90" s="13">
        <v>2.7</v>
      </c>
      <c r="G90" s="11">
        <v>64</v>
      </c>
      <c r="H90" t="s">
        <v>3014</v>
      </c>
      <c r="I90" t="s">
        <v>15</v>
      </c>
    </row>
    <row r="91" spans="1:9" x14ac:dyDescent="0.25">
      <c r="A91" t="s">
        <v>3104</v>
      </c>
      <c r="B91" t="s">
        <v>996</v>
      </c>
      <c r="C91" t="s">
        <v>997</v>
      </c>
      <c r="D91" s="1">
        <v>45689.104166666664</v>
      </c>
      <c r="E91" s="11">
        <v>3</v>
      </c>
      <c r="F91" s="13">
        <v>1.4</v>
      </c>
      <c r="G91" s="11">
        <v>59</v>
      </c>
      <c r="H91" t="s">
        <v>3014</v>
      </c>
      <c r="I91" t="s">
        <v>15</v>
      </c>
    </row>
    <row r="92" spans="1:9" x14ac:dyDescent="0.25">
      <c r="A92" t="s">
        <v>3105</v>
      </c>
      <c r="B92" t="s">
        <v>996</v>
      </c>
      <c r="C92" t="s">
        <v>997</v>
      </c>
      <c r="D92" s="1">
        <v>45683.339583333334</v>
      </c>
      <c r="E92" s="11">
        <v>2</v>
      </c>
      <c r="F92" s="13">
        <v>2.4</v>
      </c>
      <c r="G92" s="11">
        <v>59</v>
      </c>
      <c r="H92" t="s">
        <v>3014</v>
      </c>
      <c r="I92" t="s">
        <v>15</v>
      </c>
    </row>
    <row r="93" spans="1:9" x14ac:dyDescent="0.25">
      <c r="A93" t="s">
        <v>3106</v>
      </c>
      <c r="B93" t="s">
        <v>996</v>
      </c>
      <c r="C93" t="s">
        <v>997</v>
      </c>
      <c r="D93" s="1">
        <v>45757.541666666664</v>
      </c>
      <c r="E93" s="11">
        <v>4</v>
      </c>
      <c r="F93" s="13">
        <v>2.2000000000000002</v>
      </c>
      <c r="G93" s="11">
        <v>46</v>
      </c>
      <c r="H93" t="s">
        <v>3014</v>
      </c>
      <c r="I93" t="s">
        <v>15</v>
      </c>
    </row>
    <row r="94" spans="1:9" x14ac:dyDescent="0.25">
      <c r="A94" t="s">
        <v>3107</v>
      </c>
      <c r="B94" t="s">
        <v>996</v>
      </c>
      <c r="C94" t="s">
        <v>997</v>
      </c>
      <c r="D94" s="1">
        <v>45728.30972222222</v>
      </c>
      <c r="E94" s="11">
        <v>2</v>
      </c>
      <c r="F94" s="13">
        <v>2.5</v>
      </c>
      <c r="G94" s="11">
        <v>65</v>
      </c>
      <c r="H94" t="s">
        <v>3108</v>
      </c>
      <c r="I94" t="s">
        <v>31</v>
      </c>
    </row>
    <row r="95" spans="1:9" x14ac:dyDescent="0.25">
      <c r="A95" t="s">
        <v>3109</v>
      </c>
      <c r="B95" t="s">
        <v>996</v>
      </c>
      <c r="C95" t="s">
        <v>997</v>
      </c>
      <c r="D95" s="1">
        <v>45661.616666666669</v>
      </c>
      <c r="E95" s="11">
        <v>4</v>
      </c>
      <c r="F95" s="13">
        <v>3.4</v>
      </c>
      <c r="G95" s="11">
        <v>63</v>
      </c>
      <c r="H95" t="s">
        <v>3014</v>
      </c>
      <c r="I95" t="s">
        <v>15</v>
      </c>
    </row>
    <row r="96" spans="1:9" x14ac:dyDescent="0.25">
      <c r="A96" t="s">
        <v>3110</v>
      </c>
      <c r="B96" t="s">
        <v>996</v>
      </c>
      <c r="C96" t="s">
        <v>997</v>
      </c>
      <c r="D96" s="1">
        <v>45672.738888888889</v>
      </c>
      <c r="E96" s="11">
        <v>2</v>
      </c>
      <c r="F96" s="13">
        <v>2.7</v>
      </c>
      <c r="G96" s="11">
        <v>64</v>
      </c>
      <c r="H96" t="s">
        <v>3014</v>
      </c>
      <c r="I96" t="s">
        <v>15</v>
      </c>
    </row>
    <row r="97" spans="1:9" x14ac:dyDescent="0.25">
      <c r="A97" t="s">
        <v>3111</v>
      </c>
      <c r="B97" t="s">
        <v>996</v>
      </c>
      <c r="C97" t="s">
        <v>997</v>
      </c>
      <c r="D97" s="1">
        <v>45707.26666666667</v>
      </c>
      <c r="E97" s="11">
        <v>3</v>
      </c>
      <c r="F97" s="13">
        <v>2.7</v>
      </c>
      <c r="G97" s="11">
        <v>62</v>
      </c>
      <c r="H97" t="s">
        <v>3014</v>
      </c>
      <c r="I97" t="s">
        <v>15</v>
      </c>
    </row>
    <row r="98" spans="1:9" x14ac:dyDescent="0.25">
      <c r="A98" t="s">
        <v>3112</v>
      </c>
      <c r="B98" t="s">
        <v>990</v>
      </c>
      <c r="C98" t="s">
        <v>991</v>
      </c>
      <c r="D98" s="1">
        <v>45741.589583333334</v>
      </c>
      <c r="E98" s="11">
        <v>2</v>
      </c>
      <c r="F98" s="13">
        <v>1.6</v>
      </c>
      <c r="G98" s="11">
        <v>43</v>
      </c>
      <c r="H98" t="s">
        <v>3014</v>
      </c>
      <c r="I98" t="s">
        <v>15</v>
      </c>
    </row>
    <row r="99" spans="1:9" x14ac:dyDescent="0.25">
      <c r="A99" t="s">
        <v>3113</v>
      </c>
      <c r="B99" t="s">
        <v>990</v>
      </c>
      <c r="C99" t="s">
        <v>991</v>
      </c>
      <c r="D99" s="1">
        <v>45746.085416666669</v>
      </c>
      <c r="E99" s="11">
        <v>4</v>
      </c>
      <c r="F99" s="13">
        <v>3.4</v>
      </c>
      <c r="G99" s="11">
        <v>57</v>
      </c>
      <c r="H99" t="s">
        <v>3014</v>
      </c>
      <c r="I99" t="s">
        <v>15</v>
      </c>
    </row>
    <row r="100" spans="1:9" x14ac:dyDescent="0.25">
      <c r="A100" t="s">
        <v>3114</v>
      </c>
      <c r="B100" t="s">
        <v>990</v>
      </c>
      <c r="C100" t="s">
        <v>991</v>
      </c>
      <c r="D100" s="1">
        <v>45689.530555555553</v>
      </c>
      <c r="E100" s="11">
        <v>3</v>
      </c>
      <c r="F100" s="13">
        <v>3</v>
      </c>
      <c r="G100" s="11">
        <v>69</v>
      </c>
      <c r="H100" t="s">
        <v>3014</v>
      </c>
      <c r="I100" t="s">
        <v>15</v>
      </c>
    </row>
    <row r="101" spans="1:9" x14ac:dyDescent="0.25">
      <c r="A101" t="s">
        <v>3115</v>
      </c>
      <c r="B101" t="s">
        <v>990</v>
      </c>
      <c r="C101" t="s">
        <v>991</v>
      </c>
      <c r="D101" s="1">
        <v>45756.745833333334</v>
      </c>
      <c r="E101" s="11">
        <v>4</v>
      </c>
      <c r="F101" s="13">
        <v>4.0999999999999996</v>
      </c>
      <c r="G101" s="11">
        <v>71</v>
      </c>
      <c r="H101" t="s">
        <v>3014</v>
      </c>
      <c r="I101" t="s">
        <v>15</v>
      </c>
    </row>
    <row r="102" spans="1:9" x14ac:dyDescent="0.25">
      <c r="A102" t="s">
        <v>3116</v>
      </c>
      <c r="B102" t="s">
        <v>990</v>
      </c>
      <c r="C102" t="s">
        <v>991</v>
      </c>
      <c r="D102" s="1">
        <v>45764.433333333334</v>
      </c>
      <c r="E102" s="11">
        <v>4</v>
      </c>
      <c r="F102" s="13">
        <v>3.3</v>
      </c>
      <c r="G102" s="11">
        <v>59</v>
      </c>
      <c r="H102" t="s">
        <v>3014</v>
      </c>
      <c r="I102" t="s">
        <v>15</v>
      </c>
    </row>
    <row r="103" spans="1:9" x14ac:dyDescent="0.25">
      <c r="A103" t="s">
        <v>3117</v>
      </c>
      <c r="B103" t="s">
        <v>990</v>
      </c>
      <c r="C103" t="s">
        <v>991</v>
      </c>
      <c r="D103" s="1">
        <v>45755.341666666667</v>
      </c>
      <c r="E103" s="11">
        <v>3</v>
      </c>
      <c r="F103" s="13">
        <v>2.9</v>
      </c>
      <c r="G103" s="11">
        <v>60</v>
      </c>
      <c r="H103" t="s">
        <v>3014</v>
      </c>
      <c r="I103" t="s">
        <v>15</v>
      </c>
    </row>
    <row r="104" spans="1:9" x14ac:dyDescent="0.25">
      <c r="A104" t="s">
        <v>3118</v>
      </c>
      <c r="B104" t="s">
        <v>990</v>
      </c>
      <c r="C104" t="s">
        <v>991</v>
      </c>
      <c r="D104" s="1">
        <v>45667.428472222222</v>
      </c>
      <c r="E104" s="11">
        <v>4</v>
      </c>
      <c r="F104" s="13">
        <v>5.0999999999999996</v>
      </c>
      <c r="G104" s="11">
        <v>49</v>
      </c>
      <c r="H104" t="s">
        <v>3014</v>
      </c>
      <c r="I104" t="s">
        <v>15</v>
      </c>
    </row>
    <row r="105" spans="1:9" x14ac:dyDescent="0.25">
      <c r="A105" t="s">
        <v>3119</v>
      </c>
      <c r="B105" t="s">
        <v>990</v>
      </c>
      <c r="C105" t="s">
        <v>991</v>
      </c>
      <c r="D105" s="1">
        <v>45775.745833333334</v>
      </c>
      <c r="E105" s="11">
        <v>3</v>
      </c>
      <c r="F105" s="13">
        <v>3</v>
      </c>
      <c r="G105" s="11">
        <v>54</v>
      </c>
      <c r="H105" t="s">
        <v>3014</v>
      </c>
      <c r="I105" t="s">
        <v>15</v>
      </c>
    </row>
    <row r="106" spans="1:9" x14ac:dyDescent="0.25">
      <c r="A106" t="s">
        <v>3120</v>
      </c>
      <c r="B106" t="s">
        <v>990</v>
      </c>
      <c r="C106" t="s">
        <v>991</v>
      </c>
      <c r="D106" s="1">
        <v>45678.543749999997</v>
      </c>
      <c r="E106" s="11">
        <v>2</v>
      </c>
      <c r="F106" s="13">
        <v>2.2000000000000002</v>
      </c>
      <c r="G106" s="11">
        <v>49</v>
      </c>
      <c r="H106" t="s">
        <v>3014</v>
      </c>
      <c r="I106" t="s">
        <v>15</v>
      </c>
    </row>
    <row r="107" spans="1:9" x14ac:dyDescent="0.25">
      <c r="A107" t="s">
        <v>3121</v>
      </c>
      <c r="B107" t="s">
        <v>990</v>
      </c>
      <c r="C107" t="s">
        <v>991</v>
      </c>
      <c r="D107" s="1">
        <v>45751.629166666666</v>
      </c>
      <c r="E107" s="11">
        <v>4</v>
      </c>
      <c r="F107" s="13">
        <v>2.6</v>
      </c>
      <c r="G107" s="11">
        <v>70</v>
      </c>
      <c r="H107" t="s">
        <v>3014</v>
      </c>
      <c r="I107" t="s">
        <v>15</v>
      </c>
    </row>
    <row r="108" spans="1:9" x14ac:dyDescent="0.25">
      <c r="A108" t="s">
        <v>3122</v>
      </c>
      <c r="B108" t="s">
        <v>990</v>
      </c>
      <c r="C108" t="s">
        <v>991</v>
      </c>
      <c r="D108" s="1">
        <v>45701.736805555556</v>
      </c>
      <c r="E108" s="11">
        <v>3</v>
      </c>
      <c r="F108" s="13">
        <v>3.1</v>
      </c>
      <c r="G108" s="11">
        <v>56</v>
      </c>
      <c r="H108" t="s">
        <v>3014</v>
      </c>
      <c r="I108" t="s">
        <v>15</v>
      </c>
    </row>
    <row r="109" spans="1:9" x14ac:dyDescent="0.25">
      <c r="A109" t="s">
        <v>3123</v>
      </c>
      <c r="B109" t="s">
        <v>990</v>
      </c>
      <c r="C109" t="s">
        <v>991</v>
      </c>
      <c r="D109" s="1">
        <v>45741.777777777781</v>
      </c>
      <c r="E109" s="11">
        <v>2</v>
      </c>
      <c r="F109" s="13">
        <v>1.2</v>
      </c>
      <c r="G109" s="11">
        <v>66</v>
      </c>
      <c r="H109" t="s">
        <v>3014</v>
      </c>
      <c r="I109" t="s">
        <v>15</v>
      </c>
    </row>
    <row r="110" spans="1:9" x14ac:dyDescent="0.25">
      <c r="A110" t="s">
        <v>3124</v>
      </c>
      <c r="B110" t="s">
        <v>990</v>
      </c>
      <c r="C110" t="s">
        <v>991</v>
      </c>
      <c r="D110" s="1">
        <v>45768.718055555553</v>
      </c>
      <c r="E110" s="11">
        <v>4</v>
      </c>
      <c r="F110" s="13">
        <v>8.9</v>
      </c>
      <c r="G110" s="11">
        <v>71</v>
      </c>
      <c r="H110" t="s">
        <v>3014</v>
      </c>
      <c r="I110" t="s">
        <v>31</v>
      </c>
    </row>
    <row r="111" spans="1:9" x14ac:dyDescent="0.25">
      <c r="A111" t="s">
        <v>3125</v>
      </c>
      <c r="B111" t="s">
        <v>990</v>
      </c>
      <c r="C111" t="s">
        <v>991</v>
      </c>
      <c r="D111" s="1">
        <v>45697.747916666667</v>
      </c>
      <c r="E111" s="11">
        <v>4</v>
      </c>
      <c r="F111" s="13">
        <v>3.7</v>
      </c>
      <c r="G111" s="11">
        <v>52</v>
      </c>
      <c r="H111" t="s">
        <v>3014</v>
      </c>
      <c r="I111" t="s">
        <v>15</v>
      </c>
    </row>
    <row r="112" spans="1:9" x14ac:dyDescent="0.25">
      <c r="A112" t="s">
        <v>3126</v>
      </c>
      <c r="B112" t="s">
        <v>990</v>
      </c>
      <c r="C112" t="s">
        <v>991</v>
      </c>
      <c r="D112" s="1">
        <v>45726.492361111108</v>
      </c>
      <c r="E112" s="11">
        <v>4</v>
      </c>
      <c r="F112" s="13">
        <v>3</v>
      </c>
      <c r="G112" s="11">
        <v>55</v>
      </c>
      <c r="H112" t="s">
        <v>3014</v>
      </c>
      <c r="I112" t="s">
        <v>15</v>
      </c>
    </row>
    <row r="113" spans="1:9" x14ac:dyDescent="0.25">
      <c r="A113" t="s">
        <v>3127</v>
      </c>
      <c r="B113" t="s">
        <v>990</v>
      </c>
      <c r="C113" t="s">
        <v>991</v>
      </c>
      <c r="D113" s="1">
        <v>45705.776388888888</v>
      </c>
      <c r="E113" s="11">
        <v>4</v>
      </c>
      <c r="F113" s="13">
        <v>4.2</v>
      </c>
      <c r="G113" s="11">
        <v>53</v>
      </c>
      <c r="H113" t="s">
        <v>3014</v>
      </c>
      <c r="I113" t="s">
        <v>15</v>
      </c>
    </row>
    <row r="114" spans="1:9" x14ac:dyDescent="0.25">
      <c r="A114" t="s">
        <v>3128</v>
      </c>
      <c r="B114" t="s">
        <v>990</v>
      </c>
      <c r="C114" t="s">
        <v>991</v>
      </c>
      <c r="D114" s="1">
        <v>45699.796527777777</v>
      </c>
      <c r="E114" s="11">
        <v>4</v>
      </c>
      <c r="F114" s="13">
        <v>3.6</v>
      </c>
      <c r="G114" s="11">
        <v>54</v>
      </c>
      <c r="H114" t="s">
        <v>3014</v>
      </c>
      <c r="I114" t="s">
        <v>15</v>
      </c>
    </row>
    <row r="115" spans="1:9" x14ac:dyDescent="0.25">
      <c r="A115" t="s">
        <v>3129</v>
      </c>
      <c r="B115" t="s">
        <v>990</v>
      </c>
      <c r="C115" t="s">
        <v>991</v>
      </c>
      <c r="D115" s="1">
        <v>45734.567361111112</v>
      </c>
      <c r="E115" s="11">
        <v>3</v>
      </c>
      <c r="F115" s="13">
        <v>4.5999999999999996</v>
      </c>
      <c r="G115" s="11">
        <v>59</v>
      </c>
      <c r="H115" t="s">
        <v>3108</v>
      </c>
      <c r="I115" t="s">
        <v>31</v>
      </c>
    </row>
    <row r="116" spans="1:9" x14ac:dyDescent="0.25">
      <c r="A116" t="s">
        <v>3130</v>
      </c>
      <c r="B116" t="s">
        <v>990</v>
      </c>
      <c r="C116" t="s">
        <v>991</v>
      </c>
      <c r="D116" s="1">
        <v>45773.60833333333</v>
      </c>
      <c r="E116" s="11">
        <v>4</v>
      </c>
      <c r="F116" s="13">
        <v>4.4000000000000004</v>
      </c>
      <c r="G116" s="11">
        <v>83</v>
      </c>
      <c r="H116" t="s">
        <v>3014</v>
      </c>
      <c r="I116" t="s">
        <v>15</v>
      </c>
    </row>
    <row r="117" spans="1:9" x14ac:dyDescent="0.25">
      <c r="A117" t="s">
        <v>3131</v>
      </c>
      <c r="B117" t="s">
        <v>990</v>
      </c>
      <c r="C117" t="s">
        <v>991</v>
      </c>
      <c r="D117" s="1">
        <v>45697.923611111109</v>
      </c>
      <c r="E117" s="11">
        <v>2</v>
      </c>
      <c r="F117" s="13">
        <v>3.5</v>
      </c>
      <c r="G117" s="11">
        <v>76</v>
      </c>
      <c r="H117" t="s">
        <v>3014</v>
      </c>
      <c r="I117" t="s">
        <v>15</v>
      </c>
    </row>
    <row r="118" spans="1:9" x14ac:dyDescent="0.25">
      <c r="A118" t="s">
        <v>3132</v>
      </c>
      <c r="B118" t="s">
        <v>990</v>
      </c>
      <c r="C118" t="s">
        <v>991</v>
      </c>
      <c r="D118" s="1">
        <v>45755.531944444447</v>
      </c>
      <c r="E118" s="11">
        <v>2</v>
      </c>
      <c r="F118" s="13">
        <v>0.6</v>
      </c>
      <c r="G118" s="11">
        <v>60</v>
      </c>
      <c r="H118" t="s">
        <v>3014</v>
      </c>
      <c r="I118" t="s">
        <v>15</v>
      </c>
    </row>
    <row r="119" spans="1:9" x14ac:dyDescent="0.25">
      <c r="A119" t="s">
        <v>3133</v>
      </c>
      <c r="B119" t="s">
        <v>990</v>
      </c>
      <c r="C119" t="s">
        <v>991</v>
      </c>
      <c r="D119" s="1">
        <v>45767.22152777778</v>
      </c>
      <c r="E119" s="11">
        <v>3</v>
      </c>
      <c r="F119" s="13">
        <v>3.6</v>
      </c>
      <c r="G119" s="11">
        <v>64</v>
      </c>
      <c r="H119" t="s">
        <v>3014</v>
      </c>
      <c r="I119" t="s">
        <v>15</v>
      </c>
    </row>
    <row r="120" spans="1:9" x14ac:dyDescent="0.25">
      <c r="A120" t="s">
        <v>3134</v>
      </c>
      <c r="B120" t="s">
        <v>990</v>
      </c>
      <c r="C120" t="s">
        <v>991</v>
      </c>
      <c r="D120" s="1">
        <v>45730.841666666667</v>
      </c>
      <c r="E120" s="11">
        <v>4</v>
      </c>
      <c r="F120" s="13">
        <v>5.5</v>
      </c>
      <c r="G120" s="11">
        <v>58</v>
      </c>
      <c r="H120" t="s">
        <v>3014</v>
      </c>
      <c r="I120" t="s">
        <v>15</v>
      </c>
    </row>
    <row r="121" spans="1:9" x14ac:dyDescent="0.25">
      <c r="A121" t="s">
        <v>3135</v>
      </c>
      <c r="B121" t="s">
        <v>990</v>
      </c>
      <c r="C121" t="s">
        <v>991</v>
      </c>
      <c r="D121" s="1">
        <v>45765.604861111111</v>
      </c>
      <c r="E121" s="11">
        <v>4</v>
      </c>
      <c r="F121" s="13">
        <v>5.3</v>
      </c>
      <c r="G121" s="11">
        <v>46</v>
      </c>
      <c r="H121" t="s">
        <v>3014</v>
      </c>
      <c r="I121" t="s">
        <v>15</v>
      </c>
    </row>
    <row r="122" spans="1:9" x14ac:dyDescent="0.25">
      <c r="A122" t="s">
        <v>3136</v>
      </c>
      <c r="B122" t="s">
        <v>987</v>
      </c>
      <c r="C122" t="s">
        <v>988</v>
      </c>
      <c r="D122" s="1">
        <v>45686.570833333331</v>
      </c>
      <c r="E122" s="11">
        <v>3</v>
      </c>
      <c r="F122" s="13">
        <v>3.7</v>
      </c>
      <c r="G122" s="11">
        <v>66</v>
      </c>
      <c r="H122" t="s">
        <v>3014</v>
      </c>
      <c r="I122" t="s">
        <v>15</v>
      </c>
    </row>
    <row r="123" spans="1:9" x14ac:dyDescent="0.25">
      <c r="A123" t="s">
        <v>3137</v>
      </c>
      <c r="B123" t="s">
        <v>987</v>
      </c>
      <c r="C123" t="s">
        <v>988</v>
      </c>
      <c r="D123" s="1">
        <v>45659.890277777777</v>
      </c>
      <c r="E123" s="11">
        <v>4</v>
      </c>
      <c r="F123" s="13">
        <v>3.6</v>
      </c>
      <c r="G123" s="11">
        <v>42</v>
      </c>
      <c r="H123" t="s">
        <v>3014</v>
      </c>
      <c r="I123" t="s">
        <v>15</v>
      </c>
    </row>
    <row r="124" spans="1:9" x14ac:dyDescent="0.25">
      <c r="A124" t="s">
        <v>3138</v>
      </c>
      <c r="B124" t="s">
        <v>987</v>
      </c>
      <c r="C124" t="s">
        <v>988</v>
      </c>
      <c r="D124" s="1">
        <v>45695.443749999999</v>
      </c>
      <c r="E124" s="11">
        <v>2</v>
      </c>
      <c r="F124" s="13">
        <v>2.6</v>
      </c>
      <c r="G124" s="11">
        <v>78</v>
      </c>
      <c r="H124" t="s">
        <v>3014</v>
      </c>
      <c r="I124" t="s">
        <v>15</v>
      </c>
    </row>
    <row r="125" spans="1:9" x14ac:dyDescent="0.25">
      <c r="A125" t="s">
        <v>3139</v>
      </c>
      <c r="B125" t="s">
        <v>987</v>
      </c>
      <c r="C125" t="s">
        <v>988</v>
      </c>
      <c r="D125" s="1">
        <v>45718.533333333333</v>
      </c>
      <c r="E125" s="11">
        <v>4</v>
      </c>
      <c r="F125" s="13">
        <v>4.3</v>
      </c>
      <c r="G125" s="11">
        <v>56</v>
      </c>
      <c r="H125" t="s">
        <v>3014</v>
      </c>
      <c r="I125" t="s">
        <v>15</v>
      </c>
    </row>
    <row r="126" spans="1:9" x14ac:dyDescent="0.25">
      <c r="A126" t="s">
        <v>3140</v>
      </c>
      <c r="B126" t="s">
        <v>987</v>
      </c>
      <c r="C126" t="s">
        <v>988</v>
      </c>
      <c r="D126" s="1">
        <v>45746.086805555555</v>
      </c>
      <c r="E126" s="11">
        <v>3</v>
      </c>
      <c r="F126" s="13">
        <v>4.4000000000000004</v>
      </c>
      <c r="G126" s="11">
        <v>55</v>
      </c>
      <c r="H126" t="s">
        <v>3014</v>
      </c>
      <c r="I126" t="s">
        <v>15</v>
      </c>
    </row>
    <row r="127" spans="1:9" x14ac:dyDescent="0.25">
      <c r="A127" t="s">
        <v>3141</v>
      </c>
      <c r="B127" t="s">
        <v>987</v>
      </c>
      <c r="C127" t="s">
        <v>988</v>
      </c>
      <c r="D127" s="1">
        <v>45686.999305555553</v>
      </c>
      <c r="E127" s="11">
        <v>4</v>
      </c>
      <c r="F127" s="13">
        <v>4.3</v>
      </c>
      <c r="G127" s="11">
        <v>66</v>
      </c>
      <c r="H127" t="s">
        <v>3014</v>
      </c>
      <c r="I127" t="s">
        <v>15</v>
      </c>
    </row>
    <row r="128" spans="1:9" x14ac:dyDescent="0.25">
      <c r="A128" t="s">
        <v>3142</v>
      </c>
      <c r="B128" t="s">
        <v>987</v>
      </c>
      <c r="C128" t="s">
        <v>988</v>
      </c>
      <c r="D128" s="1">
        <v>45708.404861111114</v>
      </c>
      <c r="E128" s="11">
        <v>4</v>
      </c>
      <c r="F128" s="13">
        <v>4.9000000000000004</v>
      </c>
      <c r="G128" s="11">
        <v>55</v>
      </c>
      <c r="H128" t="s">
        <v>3014</v>
      </c>
      <c r="I128" t="s">
        <v>15</v>
      </c>
    </row>
    <row r="129" spans="1:9" x14ac:dyDescent="0.25">
      <c r="A129" t="s">
        <v>3143</v>
      </c>
      <c r="B129" t="s">
        <v>987</v>
      </c>
      <c r="C129" t="s">
        <v>988</v>
      </c>
      <c r="D129" s="1">
        <v>45676.685416666667</v>
      </c>
      <c r="E129" s="11">
        <v>3</v>
      </c>
      <c r="F129" s="13">
        <v>2.6</v>
      </c>
      <c r="G129" s="11">
        <v>46</v>
      </c>
      <c r="H129" t="s">
        <v>3014</v>
      </c>
      <c r="I129" t="s">
        <v>15</v>
      </c>
    </row>
    <row r="130" spans="1:9" x14ac:dyDescent="0.25">
      <c r="A130" t="s">
        <v>3144</v>
      </c>
      <c r="B130" t="s">
        <v>987</v>
      </c>
      <c r="C130" t="s">
        <v>988</v>
      </c>
      <c r="D130" s="1">
        <v>45744.493750000001</v>
      </c>
      <c r="E130" s="11">
        <v>2</v>
      </c>
      <c r="F130" s="13">
        <v>2</v>
      </c>
      <c r="G130" s="11">
        <v>39</v>
      </c>
      <c r="H130" t="s">
        <v>3014</v>
      </c>
      <c r="I130" t="s">
        <v>15</v>
      </c>
    </row>
    <row r="131" spans="1:9" x14ac:dyDescent="0.25">
      <c r="A131" t="s">
        <v>3145</v>
      </c>
      <c r="B131" t="s">
        <v>987</v>
      </c>
      <c r="C131" t="s">
        <v>988</v>
      </c>
      <c r="D131" s="1">
        <v>45663.898611111108</v>
      </c>
      <c r="E131" s="11">
        <v>4</v>
      </c>
      <c r="F131" s="13">
        <v>3.2</v>
      </c>
      <c r="G131" s="11">
        <v>78</v>
      </c>
      <c r="H131" t="s">
        <v>3014</v>
      </c>
      <c r="I131" t="s">
        <v>15</v>
      </c>
    </row>
    <row r="132" spans="1:9" x14ac:dyDescent="0.25">
      <c r="A132" t="s">
        <v>3146</v>
      </c>
      <c r="B132" t="s">
        <v>987</v>
      </c>
      <c r="C132" t="s">
        <v>988</v>
      </c>
      <c r="D132" s="1">
        <v>45684.054166666669</v>
      </c>
      <c r="E132" s="11">
        <v>4</v>
      </c>
      <c r="F132" s="13">
        <v>4.8</v>
      </c>
      <c r="G132" s="11">
        <v>65</v>
      </c>
      <c r="H132" t="s">
        <v>3014</v>
      </c>
      <c r="I132" t="s">
        <v>15</v>
      </c>
    </row>
    <row r="133" spans="1:9" x14ac:dyDescent="0.25">
      <c r="A133" t="s">
        <v>3147</v>
      </c>
      <c r="B133" t="s">
        <v>987</v>
      </c>
      <c r="C133" t="s">
        <v>988</v>
      </c>
      <c r="D133" s="1">
        <v>45693.40902777778</v>
      </c>
      <c r="E133" s="11">
        <v>2</v>
      </c>
      <c r="F133" s="13">
        <v>3.2</v>
      </c>
      <c r="G133" s="11">
        <v>72</v>
      </c>
      <c r="H133" t="s">
        <v>3019</v>
      </c>
      <c r="I133" t="s">
        <v>31</v>
      </c>
    </row>
    <row r="134" spans="1:9" x14ac:dyDescent="0.25">
      <c r="A134" t="s">
        <v>3148</v>
      </c>
      <c r="B134" t="s">
        <v>987</v>
      </c>
      <c r="C134" t="s">
        <v>988</v>
      </c>
      <c r="D134" s="1">
        <v>45663.956250000003</v>
      </c>
      <c r="E134" s="11">
        <v>3</v>
      </c>
      <c r="F134" s="13">
        <v>3.2</v>
      </c>
      <c r="G134" s="11">
        <v>65</v>
      </c>
      <c r="H134" t="s">
        <v>3019</v>
      </c>
      <c r="I134" t="s">
        <v>31</v>
      </c>
    </row>
    <row r="135" spans="1:9" x14ac:dyDescent="0.25">
      <c r="A135" t="s">
        <v>3149</v>
      </c>
      <c r="B135" t="s">
        <v>987</v>
      </c>
      <c r="C135" t="s">
        <v>988</v>
      </c>
      <c r="D135" s="1">
        <v>45665.385416666664</v>
      </c>
      <c r="E135" s="11">
        <v>2</v>
      </c>
      <c r="F135" s="13">
        <v>2.6</v>
      </c>
      <c r="G135" s="11">
        <v>58</v>
      </c>
      <c r="H135" t="s">
        <v>3014</v>
      </c>
      <c r="I135" t="s">
        <v>15</v>
      </c>
    </row>
    <row r="136" spans="1:9" x14ac:dyDescent="0.25">
      <c r="A136" t="s">
        <v>3150</v>
      </c>
      <c r="B136" t="s">
        <v>987</v>
      </c>
      <c r="C136" t="s">
        <v>988</v>
      </c>
      <c r="D136" s="1">
        <v>45701.058333333334</v>
      </c>
      <c r="E136" s="11">
        <v>4</v>
      </c>
      <c r="F136" s="13">
        <v>4.0999999999999996</v>
      </c>
      <c r="G136" s="11">
        <v>70</v>
      </c>
      <c r="H136" t="s">
        <v>3014</v>
      </c>
      <c r="I136" t="s">
        <v>15</v>
      </c>
    </row>
    <row r="137" spans="1:9" x14ac:dyDescent="0.25">
      <c r="A137" t="s">
        <v>3151</v>
      </c>
      <c r="B137" t="s">
        <v>987</v>
      </c>
      <c r="C137" t="s">
        <v>988</v>
      </c>
      <c r="D137" s="1">
        <v>45723.128472222219</v>
      </c>
      <c r="E137" s="11">
        <v>4</v>
      </c>
      <c r="F137" s="13">
        <v>4.5</v>
      </c>
      <c r="G137" s="11">
        <v>57</v>
      </c>
      <c r="H137" t="s">
        <v>3014</v>
      </c>
      <c r="I137" t="s">
        <v>15</v>
      </c>
    </row>
    <row r="138" spans="1:9" x14ac:dyDescent="0.25">
      <c r="A138" t="s">
        <v>3152</v>
      </c>
      <c r="B138" t="s">
        <v>987</v>
      </c>
      <c r="C138" t="s">
        <v>988</v>
      </c>
      <c r="D138" s="1">
        <v>45669.740277777775</v>
      </c>
      <c r="E138" s="11">
        <v>2</v>
      </c>
      <c r="F138" s="13">
        <v>1.3</v>
      </c>
      <c r="G138" s="11">
        <v>52</v>
      </c>
      <c r="H138" t="s">
        <v>3014</v>
      </c>
      <c r="I138" t="s">
        <v>15</v>
      </c>
    </row>
    <row r="139" spans="1:9" x14ac:dyDescent="0.25">
      <c r="A139" t="s">
        <v>3153</v>
      </c>
      <c r="B139" t="s">
        <v>987</v>
      </c>
      <c r="C139" t="s">
        <v>988</v>
      </c>
      <c r="D139" s="1">
        <v>45716.602777777778</v>
      </c>
      <c r="E139" s="11">
        <v>3</v>
      </c>
      <c r="F139" s="13">
        <v>2.9</v>
      </c>
      <c r="G139" s="11">
        <v>72</v>
      </c>
      <c r="H139" t="s">
        <v>3019</v>
      </c>
      <c r="I139" t="s">
        <v>31</v>
      </c>
    </row>
    <row r="140" spans="1:9" x14ac:dyDescent="0.25">
      <c r="A140" t="s">
        <v>3154</v>
      </c>
      <c r="B140" t="s">
        <v>987</v>
      </c>
      <c r="C140" t="s">
        <v>988</v>
      </c>
      <c r="D140" s="1">
        <v>45729.918055555558</v>
      </c>
      <c r="E140" s="11">
        <v>2</v>
      </c>
      <c r="F140" s="13">
        <v>1.9</v>
      </c>
      <c r="G140" s="11">
        <v>76</v>
      </c>
      <c r="H140" t="s">
        <v>3014</v>
      </c>
      <c r="I140" t="s">
        <v>15</v>
      </c>
    </row>
    <row r="141" spans="1:9" x14ac:dyDescent="0.25">
      <c r="A141" t="s">
        <v>3155</v>
      </c>
      <c r="B141" t="s">
        <v>987</v>
      </c>
      <c r="C141" t="s">
        <v>988</v>
      </c>
      <c r="D141" s="1">
        <v>45667.93472222222</v>
      </c>
      <c r="E141" s="11">
        <v>3</v>
      </c>
      <c r="F141" s="13">
        <v>3.3</v>
      </c>
      <c r="G141" s="11">
        <v>78</v>
      </c>
      <c r="H141" t="s">
        <v>3014</v>
      </c>
      <c r="I141" t="s">
        <v>15</v>
      </c>
    </row>
    <row r="142" spans="1:9" x14ac:dyDescent="0.25">
      <c r="A142" t="s">
        <v>3156</v>
      </c>
      <c r="B142" t="s">
        <v>987</v>
      </c>
      <c r="C142" t="s">
        <v>988</v>
      </c>
      <c r="D142" s="1">
        <v>45730.245138888888</v>
      </c>
      <c r="E142" s="11">
        <v>3</v>
      </c>
      <c r="F142" s="13">
        <v>-1.3</v>
      </c>
      <c r="G142" s="11">
        <v>51</v>
      </c>
      <c r="H142" t="s">
        <v>3014</v>
      </c>
      <c r="I142" t="s">
        <v>31</v>
      </c>
    </row>
    <row r="143" spans="1:9" x14ac:dyDescent="0.25">
      <c r="A143" t="s">
        <v>3157</v>
      </c>
      <c r="B143" t="s">
        <v>987</v>
      </c>
      <c r="C143" t="s">
        <v>988</v>
      </c>
      <c r="D143" s="1">
        <v>45675.177083333336</v>
      </c>
      <c r="E143" s="11">
        <v>2</v>
      </c>
      <c r="F143" s="13">
        <v>1</v>
      </c>
      <c r="G143" s="11">
        <v>66</v>
      </c>
      <c r="H143" t="s">
        <v>3014</v>
      </c>
      <c r="I143" t="s">
        <v>15</v>
      </c>
    </row>
    <row r="144" spans="1:9" x14ac:dyDescent="0.25">
      <c r="A144" t="s">
        <v>3158</v>
      </c>
      <c r="B144" t="s">
        <v>987</v>
      </c>
      <c r="C144" t="s">
        <v>988</v>
      </c>
      <c r="D144" s="1">
        <v>45742.835416666669</v>
      </c>
      <c r="E144" s="11">
        <v>2</v>
      </c>
      <c r="F144" s="13">
        <v>1.5</v>
      </c>
      <c r="G144" s="11">
        <v>65</v>
      </c>
      <c r="H144" t="s">
        <v>3014</v>
      </c>
      <c r="I144" t="s">
        <v>15</v>
      </c>
    </row>
    <row r="145" spans="1:9" x14ac:dyDescent="0.25">
      <c r="A145" t="s">
        <v>3159</v>
      </c>
      <c r="B145" t="s">
        <v>987</v>
      </c>
      <c r="C145" t="s">
        <v>988</v>
      </c>
      <c r="D145" s="1">
        <v>45762.376388888886</v>
      </c>
      <c r="E145" s="11">
        <v>2</v>
      </c>
      <c r="F145" s="13">
        <v>2.4</v>
      </c>
      <c r="G145" s="11">
        <v>64</v>
      </c>
      <c r="H145" t="s">
        <v>3014</v>
      </c>
      <c r="I145" t="s">
        <v>15</v>
      </c>
    </row>
    <row r="146" spans="1:9" x14ac:dyDescent="0.25">
      <c r="A146" t="s">
        <v>3160</v>
      </c>
      <c r="B146" t="s">
        <v>999</v>
      </c>
      <c r="C146" t="s">
        <v>1000</v>
      </c>
      <c r="D146" s="1">
        <v>45749.21875</v>
      </c>
      <c r="E146" s="11">
        <v>2</v>
      </c>
      <c r="F146" s="13">
        <v>1.3</v>
      </c>
      <c r="G146" s="11">
        <v>55</v>
      </c>
      <c r="H146" t="s">
        <v>3014</v>
      </c>
      <c r="I146" t="s">
        <v>15</v>
      </c>
    </row>
    <row r="147" spans="1:9" x14ac:dyDescent="0.25">
      <c r="A147" t="s">
        <v>3161</v>
      </c>
      <c r="B147" t="s">
        <v>999</v>
      </c>
      <c r="C147" t="s">
        <v>1000</v>
      </c>
      <c r="D147" s="1">
        <v>45675.65347222222</v>
      </c>
      <c r="E147" s="11">
        <v>3</v>
      </c>
      <c r="F147" s="13">
        <v>3.3</v>
      </c>
      <c r="G147" s="11">
        <v>64</v>
      </c>
      <c r="H147" t="s">
        <v>3014</v>
      </c>
      <c r="I147" t="s">
        <v>15</v>
      </c>
    </row>
    <row r="148" spans="1:9" x14ac:dyDescent="0.25">
      <c r="A148" t="s">
        <v>3162</v>
      </c>
      <c r="B148" t="s">
        <v>999</v>
      </c>
      <c r="C148" t="s">
        <v>1000</v>
      </c>
      <c r="D148" s="1">
        <v>45658.952777777777</v>
      </c>
      <c r="E148" s="11">
        <v>4</v>
      </c>
      <c r="F148" s="13">
        <v>4.7</v>
      </c>
      <c r="G148" s="11">
        <v>62</v>
      </c>
      <c r="H148" t="s">
        <v>3014</v>
      </c>
      <c r="I148" t="s">
        <v>15</v>
      </c>
    </row>
    <row r="149" spans="1:9" x14ac:dyDescent="0.25">
      <c r="A149" t="s">
        <v>3163</v>
      </c>
      <c r="B149" t="s">
        <v>999</v>
      </c>
      <c r="C149" t="s">
        <v>1000</v>
      </c>
      <c r="D149" s="1">
        <v>45703.898611111108</v>
      </c>
      <c r="E149" s="11">
        <v>2</v>
      </c>
      <c r="F149" s="13">
        <v>2.8</v>
      </c>
      <c r="G149" s="11">
        <v>72</v>
      </c>
      <c r="H149" t="s">
        <v>3014</v>
      </c>
      <c r="I149" t="s">
        <v>15</v>
      </c>
    </row>
    <row r="150" spans="1:9" x14ac:dyDescent="0.25">
      <c r="A150" t="s">
        <v>3164</v>
      </c>
      <c r="B150" t="s">
        <v>999</v>
      </c>
      <c r="C150" t="s">
        <v>1000</v>
      </c>
      <c r="D150" s="1">
        <v>45777.868750000001</v>
      </c>
      <c r="E150" s="11">
        <v>3</v>
      </c>
      <c r="F150" s="13">
        <v>1.8</v>
      </c>
      <c r="G150" s="11">
        <v>58</v>
      </c>
      <c r="H150" t="s">
        <v>3014</v>
      </c>
      <c r="I150" t="s">
        <v>15</v>
      </c>
    </row>
    <row r="151" spans="1:9" x14ac:dyDescent="0.25">
      <c r="A151" t="s">
        <v>3165</v>
      </c>
      <c r="B151" t="s">
        <v>999</v>
      </c>
      <c r="C151" t="s">
        <v>1000</v>
      </c>
      <c r="D151" s="1">
        <v>45751.072222222225</v>
      </c>
      <c r="E151" s="11">
        <v>3</v>
      </c>
      <c r="F151" s="13">
        <v>3.5</v>
      </c>
      <c r="G151" s="11">
        <v>77</v>
      </c>
      <c r="H151" t="s">
        <v>3014</v>
      </c>
      <c r="I151" t="s">
        <v>15</v>
      </c>
    </row>
    <row r="152" spans="1:9" x14ac:dyDescent="0.25">
      <c r="A152" t="s">
        <v>3166</v>
      </c>
      <c r="B152" t="s">
        <v>999</v>
      </c>
      <c r="C152" t="s">
        <v>1000</v>
      </c>
      <c r="D152" s="1">
        <v>45682.98333333333</v>
      </c>
      <c r="E152" s="11">
        <v>4</v>
      </c>
      <c r="F152" s="13">
        <v>4.2</v>
      </c>
      <c r="G152" s="11">
        <v>61</v>
      </c>
      <c r="H152" t="s">
        <v>3014</v>
      </c>
      <c r="I152" t="s">
        <v>15</v>
      </c>
    </row>
    <row r="153" spans="1:9" x14ac:dyDescent="0.25">
      <c r="A153" t="s">
        <v>3167</v>
      </c>
      <c r="B153" t="s">
        <v>999</v>
      </c>
      <c r="C153" t="s">
        <v>1000</v>
      </c>
      <c r="D153" s="1">
        <v>45773.061805555553</v>
      </c>
      <c r="E153" s="11">
        <v>4</v>
      </c>
      <c r="F153" s="13">
        <v>4.8</v>
      </c>
      <c r="G153" s="11">
        <v>65</v>
      </c>
      <c r="H153" t="s">
        <v>3014</v>
      </c>
      <c r="I153" t="s">
        <v>15</v>
      </c>
    </row>
    <row r="154" spans="1:9" x14ac:dyDescent="0.25">
      <c r="A154" t="s">
        <v>3168</v>
      </c>
      <c r="B154" t="s">
        <v>999</v>
      </c>
      <c r="C154" t="s">
        <v>1000</v>
      </c>
      <c r="D154" s="1">
        <v>45731.097916666666</v>
      </c>
      <c r="E154" s="11">
        <v>2</v>
      </c>
      <c r="F154" s="13">
        <v>-2.2999999999999998</v>
      </c>
      <c r="G154" s="11">
        <v>52</v>
      </c>
      <c r="H154" t="s">
        <v>3014</v>
      </c>
      <c r="I154" t="s">
        <v>31</v>
      </c>
    </row>
    <row r="155" spans="1:9" x14ac:dyDescent="0.25">
      <c r="A155" t="s">
        <v>3169</v>
      </c>
      <c r="B155" t="s">
        <v>999</v>
      </c>
      <c r="C155" t="s">
        <v>1000</v>
      </c>
      <c r="D155" s="1">
        <v>45677.322916666664</v>
      </c>
      <c r="E155" s="11">
        <v>2</v>
      </c>
      <c r="F155" s="13">
        <v>1.8</v>
      </c>
      <c r="G155" s="11">
        <v>55</v>
      </c>
      <c r="H155" t="s">
        <v>3014</v>
      </c>
      <c r="I155" t="s">
        <v>15</v>
      </c>
    </row>
    <row r="156" spans="1:9" x14ac:dyDescent="0.25">
      <c r="A156" t="s">
        <v>3170</v>
      </c>
      <c r="B156" t="s">
        <v>999</v>
      </c>
      <c r="C156" t="s">
        <v>1000</v>
      </c>
      <c r="D156" s="1">
        <v>45734.140277777777</v>
      </c>
      <c r="E156" s="11">
        <v>2</v>
      </c>
      <c r="F156" s="13">
        <v>2.4</v>
      </c>
      <c r="G156" s="11">
        <v>63</v>
      </c>
      <c r="H156" t="s">
        <v>3014</v>
      </c>
      <c r="I156" t="s">
        <v>15</v>
      </c>
    </row>
    <row r="157" spans="1:9" x14ac:dyDescent="0.25">
      <c r="A157" t="s">
        <v>3171</v>
      </c>
      <c r="B157" t="s">
        <v>999</v>
      </c>
      <c r="C157" t="s">
        <v>1000</v>
      </c>
      <c r="D157" s="1">
        <v>45713.220833333333</v>
      </c>
      <c r="E157" s="11">
        <v>4</v>
      </c>
      <c r="F157" s="13">
        <v>3.4</v>
      </c>
      <c r="G157" s="11">
        <v>60</v>
      </c>
      <c r="H157" t="s">
        <v>3014</v>
      </c>
      <c r="I157" t="s">
        <v>15</v>
      </c>
    </row>
    <row r="158" spans="1:9" x14ac:dyDescent="0.25">
      <c r="A158" t="s">
        <v>3172</v>
      </c>
      <c r="B158" t="s">
        <v>999</v>
      </c>
      <c r="C158" t="s">
        <v>1000</v>
      </c>
      <c r="D158" s="1">
        <v>45698.96875</v>
      </c>
      <c r="E158" s="11">
        <v>3</v>
      </c>
      <c r="F158" s="13">
        <v>3.9</v>
      </c>
      <c r="G158" s="11">
        <v>59</v>
      </c>
      <c r="H158" t="s">
        <v>3014</v>
      </c>
      <c r="I158" t="s">
        <v>15</v>
      </c>
    </row>
    <row r="159" spans="1:9" x14ac:dyDescent="0.25">
      <c r="A159" t="s">
        <v>3173</v>
      </c>
      <c r="B159" t="s">
        <v>999</v>
      </c>
      <c r="C159" t="s">
        <v>1000</v>
      </c>
      <c r="D159" s="1">
        <v>45677.768750000003</v>
      </c>
      <c r="E159" s="11">
        <v>3</v>
      </c>
      <c r="F159" s="13">
        <v>3</v>
      </c>
      <c r="G159" s="11">
        <v>66</v>
      </c>
      <c r="H159" t="s">
        <v>3014</v>
      </c>
      <c r="I159" t="s">
        <v>15</v>
      </c>
    </row>
    <row r="160" spans="1:9" x14ac:dyDescent="0.25">
      <c r="A160" t="s">
        <v>3174</v>
      </c>
      <c r="B160" t="s">
        <v>999</v>
      </c>
      <c r="C160" t="s">
        <v>1000</v>
      </c>
      <c r="D160" s="1">
        <v>45688.671527777777</v>
      </c>
      <c r="E160" s="11">
        <v>2</v>
      </c>
      <c r="F160" s="13">
        <v>2.1</v>
      </c>
      <c r="G160" s="11">
        <v>76</v>
      </c>
      <c r="H160" t="s">
        <v>3014</v>
      </c>
      <c r="I160" t="s">
        <v>15</v>
      </c>
    </row>
    <row r="161" spans="1:9" x14ac:dyDescent="0.25">
      <c r="A161" t="s">
        <v>3175</v>
      </c>
      <c r="B161" t="s">
        <v>999</v>
      </c>
      <c r="C161" t="s">
        <v>1000</v>
      </c>
      <c r="D161" s="1">
        <v>45665.711805555555</v>
      </c>
      <c r="E161" s="11">
        <v>3</v>
      </c>
      <c r="F161" s="13">
        <v>4.0999999999999996</v>
      </c>
      <c r="G161" s="11">
        <v>69</v>
      </c>
      <c r="H161" t="s">
        <v>3014</v>
      </c>
      <c r="I161" t="s">
        <v>15</v>
      </c>
    </row>
    <row r="162" spans="1:9" x14ac:dyDescent="0.25">
      <c r="A162" t="s">
        <v>3176</v>
      </c>
      <c r="B162" t="s">
        <v>999</v>
      </c>
      <c r="C162" t="s">
        <v>1000</v>
      </c>
      <c r="D162" s="1">
        <v>45689.147916666669</v>
      </c>
      <c r="E162" s="11">
        <v>3</v>
      </c>
      <c r="F162" s="13">
        <v>2.9</v>
      </c>
      <c r="G162" s="11">
        <v>63</v>
      </c>
      <c r="H162" t="s">
        <v>3014</v>
      </c>
      <c r="I162" t="s">
        <v>15</v>
      </c>
    </row>
    <row r="163" spans="1:9" x14ac:dyDescent="0.25">
      <c r="A163" t="s">
        <v>3177</v>
      </c>
      <c r="B163" t="s">
        <v>999</v>
      </c>
      <c r="C163" t="s">
        <v>1000</v>
      </c>
      <c r="D163" s="1">
        <v>45754.426388888889</v>
      </c>
      <c r="E163" s="11">
        <v>4</v>
      </c>
      <c r="F163" s="13">
        <v>4.5</v>
      </c>
      <c r="G163" s="11">
        <v>58</v>
      </c>
      <c r="H163" t="s">
        <v>3014</v>
      </c>
      <c r="I163" t="s">
        <v>15</v>
      </c>
    </row>
    <row r="164" spans="1:9" x14ac:dyDescent="0.25">
      <c r="A164" t="s">
        <v>3178</v>
      </c>
      <c r="B164" t="s">
        <v>999</v>
      </c>
      <c r="C164" t="s">
        <v>1000</v>
      </c>
      <c r="D164" s="1">
        <v>45697.200694444444</v>
      </c>
      <c r="E164" s="11">
        <v>3</v>
      </c>
      <c r="F164" s="13">
        <v>3</v>
      </c>
      <c r="G164" s="11">
        <v>69</v>
      </c>
      <c r="H164" t="s">
        <v>3014</v>
      </c>
      <c r="I164" t="s">
        <v>15</v>
      </c>
    </row>
    <row r="165" spans="1:9" x14ac:dyDescent="0.25">
      <c r="A165" t="s">
        <v>3179</v>
      </c>
      <c r="B165" t="s">
        <v>999</v>
      </c>
      <c r="C165" t="s">
        <v>1000</v>
      </c>
      <c r="D165" s="1">
        <v>45760.754166666666</v>
      </c>
      <c r="E165" s="11">
        <v>2</v>
      </c>
      <c r="F165" s="13">
        <v>1</v>
      </c>
      <c r="G165" s="11">
        <v>52</v>
      </c>
      <c r="H165" t="s">
        <v>3014</v>
      </c>
      <c r="I165" t="s">
        <v>15</v>
      </c>
    </row>
    <row r="166" spans="1:9" x14ac:dyDescent="0.25">
      <c r="A166" t="s">
        <v>3180</v>
      </c>
      <c r="B166" t="s">
        <v>999</v>
      </c>
      <c r="C166" t="s">
        <v>1000</v>
      </c>
      <c r="D166" s="1">
        <v>45729.86041666667</v>
      </c>
      <c r="E166" s="11">
        <v>2</v>
      </c>
      <c r="F166" s="13">
        <v>-0.2</v>
      </c>
      <c r="G166" s="11">
        <v>63</v>
      </c>
      <c r="H166" t="s">
        <v>3014</v>
      </c>
      <c r="I166" t="s">
        <v>31</v>
      </c>
    </row>
    <row r="167" spans="1:9" x14ac:dyDescent="0.25">
      <c r="A167" t="s">
        <v>3181</v>
      </c>
      <c r="B167" t="s">
        <v>999</v>
      </c>
      <c r="C167" t="s">
        <v>1000</v>
      </c>
      <c r="D167" s="1">
        <v>45739.336805555555</v>
      </c>
      <c r="E167" s="11">
        <v>3</v>
      </c>
      <c r="F167" s="13">
        <v>2.9</v>
      </c>
      <c r="G167" s="11">
        <v>62</v>
      </c>
      <c r="H167" t="s">
        <v>3014</v>
      </c>
      <c r="I167" t="s">
        <v>15</v>
      </c>
    </row>
    <row r="168" spans="1:9" x14ac:dyDescent="0.25">
      <c r="A168" t="s">
        <v>3182</v>
      </c>
      <c r="B168" t="s">
        <v>999</v>
      </c>
      <c r="C168" t="s">
        <v>1000</v>
      </c>
      <c r="D168" s="1">
        <v>45677.462500000001</v>
      </c>
      <c r="E168" s="11">
        <v>4</v>
      </c>
      <c r="F168" s="13">
        <v>4.2</v>
      </c>
      <c r="G168" s="11">
        <v>70</v>
      </c>
      <c r="H168" t="s">
        <v>3014</v>
      </c>
      <c r="I168" t="s">
        <v>15</v>
      </c>
    </row>
    <row r="169" spans="1:9" x14ac:dyDescent="0.25">
      <c r="A169" t="s">
        <v>3183</v>
      </c>
      <c r="B169" t="s">
        <v>999</v>
      </c>
      <c r="C169" t="s">
        <v>1000</v>
      </c>
      <c r="D169" s="1">
        <v>45766.73541666667</v>
      </c>
      <c r="E169" s="11">
        <v>4</v>
      </c>
      <c r="F169" s="13">
        <v>-0.8</v>
      </c>
      <c r="G169" s="11">
        <v>79</v>
      </c>
      <c r="H169" t="s">
        <v>3014</v>
      </c>
      <c r="I169" t="s">
        <v>31</v>
      </c>
    </row>
    <row r="170" spans="1:9" x14ac:dyDescent="0.25">
      <c r="A170" t="s">
        <v>3184</v>
      </c>
      <c r="B170" t="s">
        <v>972</v>
      </c>
      <c r="C170" t="s">
        <v>973</v>
      </c>
      <c r="D170" s="1">
        <v>45747.338888888888</v>
      </c>
      <c r="E170" s="11">
        <v>3</v>
      </c>
      <c r="F170" s="13">
        <v>3.8</v>
      </c>
      <c r="G170" s="11">
        <v>81</v>
      </c>
      <c r="H170" t="s">
        <v>3014</v>
      </c>
      <c r="I170" t="s">
        <v>15</v>
      </c>
    </row>
    <row r="171" spans="1:9" x14ac:dyDescent="0.25">
      <c r="A171" t="s">
        <v>3185</v>
      </c>
      <c r="B171" t="s">
        <v>972</v>
      </c>
      <c r="C171" t="s">
        <v>973</v>
      </c>
      <c r="D171" s="1">
        <v>45713.806944444441</v>
      </c>
      <c r="E171" s="11">
        <v>3</v>
      </c>
      <c r="F171" s="13">
        <v>3</v>
      </c>
      <c r="G171" s="11">
        <v>73</v>
      </c>
      <c r="H171" t="s">
        <v>3014</v>
      </c>
      <c r="I171" t="s">
        <v>15</v>
      </c>
    </row>
    <row r="172" spans="1:9" x14ac:dyDescent="0.25">
      <c r="A172" t="s">
        <v>3186</v>
      </c>
      <c r="B172" t="s">
        <v>972</v>
      </c>
      <c r="C172" t="s">
        <v>973</v>
      </c>
      <c r="D172" s="1">
        <v>45729.375</v>
      </c>
      <c r="E172" s="11">
        <v>4</v>
      </c>
      <c r="F172" s="13">
        <v>3.1</v>
      </c>
      <c r="G172" s="11">
        <v>58</v>
      </c>
      <c r="H172" t="s">
        <v>3014</v>
      </c>
      <c r="I172" t="s">
        <v>15</v>
      </c>
    </row>
    <row r="173" spans="1:9" x14ac:dyDescent="0.25">
      <c r="A173" t="s">
        <v>3187</v>
      </c>
      <c r="B173" t="s">
        <v>972</v>
      </c>
      <c r="C173" t="s">
        <v>973</v>
      </c>
      <c r="D173" s="1">
        <v>45705.620138888888</v>
      </c>
      <c r="E173" s="11">
        <v>3</v>
      </c>
      <c r="F173" s="13">
        <v>4.2</v>
      </c>
      <c r="G173" s="11">
        <v>56</v>
      </c>
      <c r="H173" t="s">
        <v>3014</v>
      </c>
      <c r="I173" t="s">
        <v>15</v>
      </c>
    </row>
    <row r="174" spans="1:9" x14ac:dyDescent="0.25">
      <c r="A174" t="s">
        <v>3188</v>
      </c>
      <c r="B174" t="s">
        <v>972</v>
      </c>
      <c r="C174" t="s">
        <v>973</v>
      </c>
      <c r="D174" s="1">
        <v>45689.402083333334</v>
      </c>
      <c r="E174" s="11">
        <v>4</v>
      </c>
      <c r="F174" s="13">
        <v>4.3</v>
      </c>
      <c r="G174" s="11">
        <v>54</v>
      </c>
      <c r="H174" t="s">
        <v>3014</v>
      </c>
      <c r="I174" t="s">
        <v>15</v>
      </c>
    </row>
    <row r="175" spans="1:9" x14ac:dyDescent="0.25">
      <c r="A175" t="s">
        <v>3189</v>
      </c>
      <c r="B175" t="s">
        <v>972</v>
      </c>
      <c r="C175" t="s">
        <v>973</v>
      </c>
      <c r="D175" s="1">
        <v>45706.48333333333</v>
      </c>
      <c r="E175" s="11">
        <v>2</v>
      </c>
      <c r="F175" s="13">
        <v>2.6</v>
      </c>
      <c r="G175" s="11">
        <v>50</v>
      </c>
      <c r="H175" t="s">
        <v>3014</v>
      </c>
      <c r="I175" t="s">
        <v>15</v>
      </c>
    </row>
    <row r="176" spans="1:9" x14ac:dyDescent="0.25">
      <c r="A176" t="s">
        <v>3190</v>
      </c>
      <c r="B176" t="s">
        <v>972</v>
      </c>
      <c r="C176" t="s">
        <v>973</v>
      </c>
      <c r="D176" s="1">
        <v>45687.554861111108</v>
      </c>
      <c r="E176" s="11">
        <v>3</v>
      </c>
      <c r="F176" s="13">
        <v>3.3</v>
      </c>
      <c r="G176" s="11">
        <v>69</v>
      </c>
      <c r="H176" t="s">
        <v>3014</v>
      </c>
      <c r="I176" t="s">
        <v>15</v>
      </c>
    </row>
    <row r="177" spans="1:9" x14ac:dyDescent="0.25">
      <c r="A177" t="s">
        <v>3191</v>
      </c>
      <c r="B177" t="s">
        <v>972</v>
      </c>
      <c r="C177" t="s">
        <v>973</v>
      </c>
      <c r="D177" s="1">
        <v>45691.825694444444</v>
      </c>
      <c r="E177" s="11">
        <v>4</v>
      </c>
      <c r="F177" s="13">
        <v>3.7</v>
      </c>
      <c r="G177" s="11">
        <v>66</v>
      </c>
      <c r="H177" t="s">
        <v>3014</v>
      </c>
      <c r="I177" t="s">
        <v>15</v>
      </c>
    </row>
    <row r="178" spans="1:9" x14ac:dyDescent="0.25">
      <c r="A178" t="s">
        <v>3192</v>
      </c>
      <c r="B178" t="s">
        <v>972</v>
      </c>
      <c r="C178" t="s">
        <v>973</v>
      </c>
      <c r="D178" s="1">
        <v>45705.600694444445</v>
      </c>
      <c r="E178" s="11">
        <v>3</v>
      </c>
      <c r="F178" s="13">
        <v>4.7</v>
      </c>
      <c r="G178" s="11">
        <v>50</v>
      </c>
      <c r="H178" t="s">
        <v>3014</v>
      </c>
      <c r="I178" t="s">
        <v>15</v>
      </c>
    </row>
    <row r="179" spans="1:9" x14ac:dyDescent="0.25">
      <c r="A179" t="s">
        <v>3193</v>
      </c>
      <c r="B179" t="s">
        <v>972</v>
      </c>
      <c r="C179" t="s">
        <v>973</v>
      </c>
      <c r="D179" s="1">
        <v>45698.258333333331</v>
      </c>
      <c r="E179" s="11">
        <v>3</v>
      </c>
      <c r="F179" s="13">
        <v>2.9</v>
      </c>
      <c r="G179" s="11">
        <v>55</v>
      </c>
      <c r="H179" t="s">
        <v>3014</v>
      </c>
      <c r="I179" t="s">
        <v>15</v>
      </c>
    </row>
    <row r="180" spans="1:9" x14ac:dyDescent="0.25">
      <c r="A180" t="s">
        <v>3194</v>
      </c>
      <c r="B180" t="s">
        <v>972</v>
      </c>
      <c r="C180" t="s">
        <v>973</v>
      </c>
      <c r="D180" s="1">
        <v>45709.958333333336</v>
      </c>
      <c r="E180" s="11">
        <v>2</v>
      </c>
      <c r="F180" s="13">
        <v>3.2</v>
      </c>
      <c r="G180" s="11">
        <v>75</v>
      </c>
      <c r="H180" t="s">
        <v>3019</v>
      </c>
      <c r="I180" t="s">
        <v>31</v>
      </c>
    </row>
    <row r="181" spans="1:9" x14ac:dyDescent="0.25">
      <c r="A181" t="s">
        <v>3195</v>
      </c>
      <c r="B181" t="s">
        <v>972</v>
      </c>
      <c r="C181" t="s">
        <v>973</v>
      </c>
      <c r="D181" s="1">
        <v>45776.652083333334</v>
      </c>
      <c r="E181" s="11">
        <v>2</v>
      </c>
      <c r="F181" s="13">
        <v>0.9</v>
      </c>
      <c r="G181" s="11">
        <v>52</v>
      </c>
      <c r="H181" t="s">
        <v>3014</v>
      </c>
      <c r="I181" t="s">
        <v>15</v>
      </c>
    </row>
    <row r="182" spans="1:9" x14ac:dyDescent="0.25">
      <c r="A182" t="s">
        <v>3196</v>
      </c>
      <c r="B182" t="s">
        <v>972</v>
      </c>
      <c r="C182" t="s">
        <v>973</v>
      </c>
      <c r="D182" s="1">
        <v>45668.580555555556</v>
      </c>
      <c r="E182" s="11">
        <v>3</v>
      </c>
      <c r="F182" s="13">
        <v>3.2</v>
      </c>
      <c r="G182" s="11">
        <v>68</v>
      </c>
      <c r="H182" t="s">
        <v>3014</v>
      </c>
      <c r="I182" t="s">
        <v>15</v>
      </c>
    </row>
    <row r="183" spans="1:9" x14ac:dyDescent="0.25">
      <c r="A183" t="s">
        <v>3197</v>
      </c>
      <c r="B183" t="s">
        <v>972</v>
      </c>
      <c r="C183" t="s">
        <v>973</v>
      </c>
      <c r="D183" s="1">
        <v>45688.392361111109</v>
      </c>
      <c r="E183" s="11">
        <v>3</v>
      </c>
      <c r="F183" s="13">
        <v>2.7</v>
      </c>
      <c r="G183" s="11">
        <v>70</v>
      </c>
      <c r="H183" t="s">
        <v>3014</v>
      </c>
      <c r="I183" t="s">
        <v>15</v>
      </c>
    </row>
    <row r="184" spans="1:9" x14ac:dyDescent="0.25">
      <c r="A184" t="s">
        <v>3198</v>
      </c>
      <c r="B184" t="s">
        <v>972</v>
      </c>
      <c r="C184" t="s">
        <v>973</v>
      </c>
      <c r="D184" s="1">
        <v>45696.628472222219</v>
      </c>
      <c r="E184" s="11">
        <v>3</v>
      </c>
      <c r="F184" s="13">
        <v>2.1</v>
      </c>
      <c r="G184" s="11">
        <v>80</v>
      </c>
      <c r="H184" t="s">
        <v>3014</v>
      </c>
      <c r="I184" t="s">
        <v>15</v>
      </c>
    </row>
    <row r="185" spans="1:9" x14ac:dyDescent="0.25">
      <c r="A185" t="s">
        <v>3199</v>
      </c>
      <c r="B185" t="s">
        <v>972</v>
      </c>
      <c r="C185" t="s">
        <v>973</v>
      </c>
      <c r="D185" s="1">
        <v>45713.220833333333</v>
      </c>
      <c r="E185" s="11">
        <v>3</v>
      </c>
      <c r="F185" s="13">
        <v>2.7</v>
      </c>
      <c r="G185" s="11">
        <v>57</v>
      </c>
      <c r="H185" t="s">
        <v>3014</v>
      </c>
      <c r="I185" t="s">
        <v>15</v>
      </c>
    </row>
    <row r="186" spans="1:9" x14ac:dyDescent="0.25">
      <c r="A186" t="s">
        <v>3200</v>
      </c>
      <c r="B186" t="s">
        <v>972</v>
      </c>
      <c r="C186" t="s">
        <v>973</v>
      </c>
      <c r="D186" s="1">
        <v>45709.355555555558</v>
      </c>
      <c r="E186" s="11">
        <v>3</v>
      </c>
      <c r="F186" s="13">
        <v>2.8</v>
      </c>
      <c r="G186" s="11">
        <v>62</v>
      </c>
      <c r="H186" t="s">
        <v>3019</v>
      </c>
      <c r="I186" t="s">
        <v>31</v>
      </c>
    </row>
    <row r="187" spans="1:9" x14ac:dyDescent="0.25">
      <c r="A187" t="s">
        <v>3201</v>
      </c>
      <c r="B187" t="s">
        <v>972</v>
      </c>
      <c r="C187" t="s">
        <v>973</v>
      </c>
      <c r="D187" s="1">
        <v>45708.399305555555</v>
      </c>
      <c r="E187" s="11">
        <v>4</v>
      </c>
      <c r="F187" s="13">
        <v>4.5</v>
      </c>
      <c r="G187" s="11">
        <v>73</v>
      </c>
      <c r="H187" t="s">
        <v>3014</v>
      </c>
      <c r="I187" t="s">
        <v>15</v>
      </c>
    </row>
    <row r="188" spans="1:9" x14ac:dyDescent="0.25">
      <c r="A188" t="s">
        <v>3202</v>
      </c>
      <c r="B188" t="s">
        <v>972</v>
      </c>
      <c r="C188" t="s">
        <v>973</v>
      </c>
      <c r="D188" s="1">
        <v>45664.357638888891</v>
      </c>
      <c r="E188" s="11">
        <v>2</v>
      </c>
      <c r="F188" s="13">
        <v>3.6</v>
      </c>
      <c r="G188" s="11">
        <v>40</v>
      </c>
      <c r="H188" t="s">
        <v>3014</v>
      </c>
      <c r="I188" t="s">
        <v>15</v>
      </c>
    </row>
    <row r="189" spans="1:9" x14ac:dyDescent="0.25">
      <c r="A189" t="s">
        <v>3203</v>
      </c>
      <c r="B189" t="s">
        <v>972</v>
      </c>
      <c r="C189" t="s">
        <v>973</v>
      </c>
      <c r="D189" s="1">
        <v>45688.599305555559</v>
      </c>
      <c r="E189" s="11">
        <v>4</v>
      </c>
      <c r="F189" s="13">
        <v>4.5</v>
      </c>
      <c r="G189" s="11">
        <v>61</v>
      </c>
      <c r="H189" t="s">
        <v>3014</v>
      </c>
      <c r="I189" t="s">
        <v>15</v>
      </c>
    </row>
    <row r="190" spans="1:9" x14ac:dyDescent="0.25">
      <c r="A190" t="s">
        <v>3204</v>
      </c>
      <c r="B190" t="s">
        <v>972</v>
      </c>
      <c r="C190" t="s">
        <v>973</v>
      </c>
      <c r="D190" s="1">
        <v>45679.756249999999</v>
      </c>
      <c r="E190" s="11">
        <v>2</v>
      </c>
      <c r="F190" s="13">
        <v>3.1</v>
      </c>
      <c r="G190" s="11">
        <v>59</v>
      </c>
      <c r="H190" t="s">
        <v>3014</v>
      </c>
      <c r="I190" t="s">
        <v>15</v>
      </c>
    </row>
    <row r="191" spans="1:9" x14ac:dyDescent="0.25">
      <c r="A191" t="s">
        <v>3205</v>
      </c>
      <c r="B191" t="s">
        <v>972</v>
      </c>
      <c r="C191" t="s">
        <v>973</v>
      </c>
      <c r="D191" s="1">
        <v>45659.211805555555</v>
      </c>
      <c r="E191" s="11">
        <v>2</v>
      </c>
      <c r="F191" s="13">
        <v>2.2000000000000002</v>
      </c>
      <c r="G191" s="11">
        <v>61</v>
      </c>
      <c r="H191" t="s">
        <v>3014</v>
      </c>
      <c r="I191" t="s">
        <v>15</v>
      </c>
    </row>
    <row r="192" spans="1:9" x14ac:dyDescent="0.25">
      <c r="A192" t="s">
        <v>3206</v>
      </c>
      <c r="B192" t="s">
        <v>972</v>
      </c>
      <c r="C192" t="s">
        <v>973</v>
      </c>
      <c r="D192" s="1">
        <v>45719.293749999997</v>
      </c>
      <c r="E192" s="11">
        <v>2</v>
      </c>
      <c r="F192" s="13">
        <v>0.6</v>
      </c>
      <c r="G192" s="11">
        <v>51</v>
      </c>
      <c r="H192" t="s">
        <v>3014</v>
      </c>
      <c r="I192" t="s">
        <v>15</v>
      </c>
    </row>
    <row r="193" spans="1:9" x14ac:dyDescent="0.25">
      <c r="A193" t="s">
        <v>3207</v>
      </c>
      <c r="B193" t="s">
        <v>972</v>
      </c>
      <c r="C193" t="s">
        <v>973</v>
      </c>
      <c r="D193" s="1">
        <v>45687.604166666664</v>
      </c>
      <c r="E193" s="11">
        <v>2</v>
      </c>
      <c r="F193" s="13">
        <v>3.3</v>
      </c>
      <c r="G193" s="11">
        <v>46</v>
      </c>
      <c r="H193" t="s">
        <v>3014</v>
      </c>
      <c r="I193" t="s">
        <v>15</v>
      </c>
    </row>
    <row r="194" spans="1:9" x14ac:dyDescent="0.25">
      <c r="A194" t="s">
        <v>3208</v>
      </c>
      <c r="B194" t="s">
        <v>980</v>
      </c>
      <c r="C194" t="s">
        <v>981</v>
      </c>
      <c r="D194" s="1">
        <v>45709.419444444444</v>
      </c>
      <c r="E194" s="11">
        <v>4</v>
      </c>
      <c r="F194" s="13">
        <v>5</v>
      </c>
      <c r="G194" s="11">
        <v>57</v>
      </c>
      <c r="H194" t="s">
        <v>3014</v>
      </c>
      <c r="I194" t="s">
        <v>15</v>
      </c>
    </row>
    <row r="195" spans="1:9" x14ac:dyDescent="0.25">
      <c r="A195" t="s">
        <v>3209</v>
      </c>
      <c r="B195" t="s">
        <v>980</v>
      </c>
      <c r="C195" t="s">
        <v>981</v>
      </c>
      <c r="D195" s="1">
        <v>45718.644444444442</v>
      </c>
      <c r="E195" s="11">
        <v>2</v>
      </c>
      <c r="F195" s="13">
        <v>1.2</v>
      </c>
      <c r="G195" s="11">
        <v>77</v>
      </c>
      <c r="H195" t="s">
        <v>3108</v>
      </c>
      <c r="I195" t="s">
        <v>31</v>
      </c>
    </row>
    <row r="196" spans="1:9" x14ac:dyDescent="0.25">
      <c r="A196" t="s">
        <v>3210</v>
      </c>
      <c r="B196" t="s">
        <v>980</v>
      </c>
      <c r="C196" t="s">
        <v>981</v>
      </c>
      <c r="D196" s="1">
        <v>45704.574305555558</v>
      </c>
      <c r="E196" s="11">
        <v>3</v>
      </c>
      <c r="F196" s="13">
        <v>-1.7</v>
      </c>
      <c r="G196" s="11">
        <v>58</v>
      </c>
      <c r="H196" t="s">
        <v>3014</v>
      </c>
      <c r="I196" t="s">
        <v>31</v>
      </c>
    </row>
    <row r="197" spans="1:9" x14ac:dyDescent="0.25">
      <c r="A197" t="s">
        <v>3211</v>
      </c>
      <c r="B197" t="s">
        <v>980</v>
      </c>
      <c r="C197" t="s">
        <v>981</v>
      </c>
      <c r="D197" s="1">
        <v>45704.618055555555</v>
      </c>
      <c r="E197" s="11">
        <v>3</v>
      </c>
      <c r="F197" s="13">
        <v>3</v>
      </c>
      <c r="G197" s="11">
        <v>64</v>
      </c>
      <c r="H197" t="s">
        <v>3014</v>
      </c>
      <c r="I197" t="s">
        <v>15</v>
      </c>
    </row>
    <row r="198" spans="1:9" x14ac:dyDescent="0.25">
      <c r="A198" t="s">
        <v>3212</v>
      </c>
      <c r="B198" t="s">
        <v>980</v>
      </c>
      <c r="C198" t="s">
        <v>981</v>
      </c>
      <c r="D198" s="1">
        <v>45750.654166666667</v>
      </c>
      <c r="E198" s="11">
        <v>4</v>
      </c>
      <c r="F198" s="13">
        <v>3.6</v>
      </c>
      <c r="G198" s="11">
        <v>57</v>
      </c>
      <c r="H198" t="s">
        <v>3014</v>
      </c>
      <c r="I198" t="s">
        <v>15</v>
      </c>
    </row>
    <row r="199" spans="1:9" x14ac:dyDescent="0.25">
      <c r="A199" t="s">
        <v>3213</v>
      </c>
      <c r="B199" t="s">
        <v>980</v>
      </c>
      <c r="C199" t="s">
        <v>981</v>
      </c>
      <c r="D199" s="1">
        <v>45721.801388888889</v>
      </c>
      <c r="E199" s="11">
        <v>2</v>
      </c>
      <c r="F199" s="13">
        <v>1.3</v>
      </c>
      <c r="G199" s="11">
        <v>60</v>
      </c>
      <c r="H199" t="s">
        <v>3014</v>
      </c>
      <c r="I199" t="s">
        <v>15</v>
      </c>
    </row>
    <row r="200" spans="1:9" x14ac:dyDescent="0.25">
      <c r="A200" t="s">
        <v>3214</v>
      </c>
      <c r="B200" t="s">
        <v>980</v>
      </c>
      <c r="C200" t="s">
        <v>981</v>
      </c>
      <c r="D200" s="1">
        <v>45710.756249999999</v>
      </c>
      <c r="E200" s="11">
        <v>4</v>
      </c>
      <c r="F200" s="13">
        <v>3.5</v>
      </c>
      <c r="G200" s="11">
        <v>60</v>
      </c>
      <c r="H200" t="s">
        <v>3014</v>
      </c>
      <c r="I200" t="s">
        <v>15</v>
      </c>
    </row>
    <row r="201" spans="1:9" x14ac:dyDescent="0.25">
      <c r="A201" t="s">
        <v>3215</v>
      </c>
      <c r="B201" t="s">
        <v>980</v>
      </c>
      <c r="C201" t="s">
        <v>981</v>
      </c>
      <c r="D201" s="1">
        <v>45726.941666666666</v>
      </c>
      <c r="E201" s="11">
        <v>4</v>
      </c>
      <c r="F201" s="13">
        <v>6.6</v>
      </c>
      <c r="G201" s="11">
        <v>63</v>
      </c>
      <c r="H201" t="s">
        <v>3014</v>
      </c>
      <c r="I201" t="s">
        <v>15</v>
      </c>
    </row>
    <row r="202" spans="1:9" x14ac:dyDescent="0.25">
      <c r="A202" t="s">
        <v>3216</v>
      </c>
      <c r="B202" t="s">
        <v>980</v>
      </c>
      <c r="C202" t="s">
        <v>981</v>
      </c>
      <c r="D202" s="1">
        <v>45681.681944444441</v>
      </c>
      <c r="E202" s="11">
        <v>4</v>
      </c>
      <c r="F202" s="13">
        <v>2.8</v>
      </c>
      <c r="G202" s="11">
        <v>67</v>
      </c>
      <c r="H202" t="s">
        <v>3014</v>
      </c>
      <c r="I202" t="s">
        <v>15</v>
      </c>
    </row>
    <row r="203" spans="1:9" x14ac:dyDescent="0.25">
      <c r="A203" t="s">
        <v>3217</v>
      </c>
      <c r="B203" t="s">
        <v>980</v>
      </c>
      <c r="C203" t="s">
        <v>981</v>
      </c>
      <c r="D203" s="1">
        <v>45666.859027777777</v>
      </c>
      <c r="E203" s="11">
        <v>3</v>
      </c>
      <c r="F203" s="13">
        <v>-1.1000000000000001</v>
      </c>
      <c r="G203" s="11">
        <v>69</v>
      </c>
      <c r="H203" t="s">
        <v>3014</v>
      </c>
      <c r="I203" t="s">
        <v>31</v>
      </c>
    </row>
    <row r="204" spans="1:9" x14ac:dyDescent="0.25">
      <c r="A204" t="s">
        <v>3218</v>
      </c>
      <c r="B204" t="s">
        <v>980</v>
      </c>
      <c r="C204" t="s">
        <v>981</v>
      </c>
      <c r="D204" s="1">
        <v>45695.629861111112</v>
      </c>
      <c r="E204" s="11">
        <v>3</v>
      </c>
      <c r="F204" s="13">
        <v>2.4</v>
      </c>
      <c r="G204" s="11">
        <v>54</v>
      </c>
      <c r="H204" t="s">
        <v>3014</v>
      </c>
      <c r="I204" t="s">
        <v>15</v>
      </c>
    </row>
    <row r="205" spans="1:9" x14ac:dyDescent="0.25">
      <c r="A205" t="s">
        <v>3219</v>
      </c>
      <c r="B205" t="s">
        <v>980</v>
      </c>
      <c r="C205" t="s">
        <v>981</v>
      </c>
      <c r="D205" s="1">
        <v>45752.122916666667</v>
      </c>
      <c r="E205" s="11">
        <v>4</v>
      </c>
      <c r="F205" s="13">
        <v>4.9000000000000004</v>
      </c>
      <c r="G205" s="11">
        <v>77</v>
      </c>
      <c r="H205" t="s">
        <v>3014</v>
      </c>
      <c r="I205" t="s">
        <v>15</v>
      </c>
    </row>
    <row r="206" spans="1:9" x14ac:dyDescent="0.25">
      <c r="A206" t="s">
        <v>3220</v>
      </c>
      <c r="B206" t="s">
        <v>980</v>
      </c>
      <c r="C206" t="s">
        <v>981</v>
      </c>
      <c r="D206" s="1">
        <v>45662.486805555556</v>
      </c>
      <c r="E206" s="11">
        <v>4</v>
      </c>
      <c r="F206" s="13">
        <v>4.5</v>
      </c>
      <c r="G206" s="11">
        <v>72</v>
      </c>
      <c r="H206" t="s">
        <v>3014</v>
      </c>
      <c r="I206" t="s">
        <v>15</v>
      </c>
    </row>
    <row r="207" spans="1:9" x14ac:dyDescent="0.25">
      <c r="A207" t="s">
        <v>3221</v>
      </c>
      <c r="B207" t="s">
        <v>980</v>
      </c>
      <c r="C207" t="s">
        <v>981</v>
      </c>
      <c r="D207" s="1">
        <v>45706.77847222222</v>
      </c>
      <c r="E207" s="11">
        <v>2</v>
      </c>
      <c r="F207" s="13">
        <v>1.3</v>
      </c>
      <c r="G207" s="11">
        <v>63</v>
      </c>
      <c r="H207" t="s">
        <v>3014</v>
      </c>
      <c r="I207" t="s">
        <v>15</v>
      </c>
    </row>
    <row r="208" spans="1:9" x14ac:dyDescent="0.25">
      <c r="A208" t="s">
        <v>3222</v>
      </c>
      <c r="B208" t="s">
        <v>980</v>
      </c>
      <c r="C208" t="s">
        <v>981</v>
      </c>
      <c r="D208" s="1">
        <v>45764.775694444441</v>
      </c>
      <c r="E208" s="11">
        <v>2</v>
      </c>
      <c r="F208" s="13">
        <v>2.7</v>
      </c>
      <c r="G208" s="11">
        <v>67</v>
      </c>
      <c r="H208" t="s">
        <v>3014</v>
      </c>
      <c r="I208" t="s">
        <v>15</v>
      </c>
    </row>
    <row r="209" spans="1:9" x14ac:dyDescent="0.25">
      <c r="A209" t="s">
        <v>3223</v>
      </c>
      <c r="B209" t="s">
        <v>980</v>
      </c>
      <c r="C209" t="s">
        <v>981</v>
      </c>
      <c r="D209" s="1">
        <v>45757.458333333336</v>
      </c>
      <c r="E209" s="11">
        <v>4</v>
      </c>
      <c r="F209" s="13">
        <v>4.7</v>
      </c>
      <c r="G209" s="11">
        <v>48</v>
      </c>
      <c r="H209" t="s">
        <v>3014</v>
      </c>
      <c r="I209" t="s">
        <v>15</v>
      </c>
    </row>
    <row r="210" spans="1:9" x14ac:dyDescent="0.25">
      <c r="A210" t="s">
        <v>3224</v>
      </c>
      <c r="B210" t="s">
        <v>980</v>
      </c>
      <c r="C210" t="s">
        <v>981</v>
      </c>
      <c r="D210" s="1">
        <v>45708.574999999997</v>
      </c>
      <c r="E210" s="11">
        <v>2</v>
      </c>
      <c r="F210" s="13">
        <v>2</v>
      </c>
      <c r="G210" s="11">
        <v>58</v>
      </c>
      <c r="H210" t="s">
        <v>3014</v>
      </c>
      <c r="I210" t="s">
        <v>15</v>
      </c>
    </row>
    <row r="211" spans="1:9" x14ac:dyDescent="0.25">
      <c r="A211" t="s">
        <v>3225</v>
      </c>
      <c r="B211" t="s">
        <v>980</v>
      </c>
      <c r="C211" t="s">
        <v>981</v>
      </c>
      <c r="D211" s="1">
        <v>45661.693055555559</v>
      </c>
      <c r="E211" s="11">
        <v>2</v>
      </c>
      <c r="F211" s="13">
        <v>1.1000000000000001</v>
      </c>
      <c r="G211" s="11">
        <v>51</v>
      </c>
      <c r="H211" t="s">
        <v>3014</v>
      </c>
      <c r="I211" t="s">
        <v>15</v>
      </c>
    </row>
    <row r="212" spans="1:9" x14ac:dyDescent="0.25">
      <c r="A212" t="s">
        <v>3226</v>
      </c>
      <c r="B212" t="s">
        <v>980</v>
      </c>
      <c r="C212" t="s">
        <v>981</v>
      </c>
      <c r="D212" s="1">
        <v>45763.782638888886</v>
      </c>
      <c r="E212" s="11">
        <v>4</v>
      </c>
      <c r="F212" s="13">
        <v>3.9</v>
      </c>
      <c r="G212" s="11">
        <v>66</v>
      </c>
      <c r="H212" t="s">
        <v>3019</v>
      </c>
      <c r="I212" t="s">
        <v>31</v>
      </c>
    </row>
    <row r="213" spans="1:9" x14ac:dyDescent="0.25">
      <c r="A213" t="s">
        <v>3227</v>
      </c>
      <c r="B213" t="s">
        <v>980</v>
      </c>
      <c r="C213" t="s">
        <v>981</v>
      </c>
      <c r="D213" s="1">
        <v>45772.205555555556</v>
      </c>
      <c r="E213" s="11">
        <v>2</v>
      </c>
      <c r="F213" s="13">
        <v>3.6</v>
      </c>
      <c r="G213" s="11">
        <v>73</v>
      </c>
      <c r="H213" t="s">
        <v>3014</v>
      </c>
      <c r="I213" t="s">
        <v>15</v>
      </c>
    </row>
    <row r="214" spans="1:9" x14ac:dyDescent="0.25">
      <c r="A214" t="s">
        <v>3228</v>
      </c>
      <c r="B214" t="s">
        <v>980</v>
      </c>
      <c r="C214" t="s">
        <v>981</v>
      </c>
      <c r="D214" s="1">
        <v>45677.628472222219</v>
      </c>
      <c r="E214" s="11">
        <v>2</v>
      </c>
      <c r="F214" s="13">
        <v>-1.3</v>
      </c>
      <c r="G214" s="11">
        <v>58</v>
      </c>
      <c r="H214" t="s">
        <v>3019</v>
      </c>
      <c r="I214" t="s">
        <v>31</v>
      </c>
    </row>
    <row r="215" spans="1:9" x14ac:dyDescent="0.25">
      <c r="A215" t="s">
        <v>3229</v>
      </c>
      <c r="B215" t="s">
        <v>980</v>
      </c>
      <c r="C215" t="s">
        <v>981</v>
      </c>
      <c r="D215" s="1">
        <v>45661.71875</v>
      </c>
      <c r="E215" s="11">
        <v>3</v>
      </c>
      <c r="F215" s="13">
        <v>3.4</v>
      </c>
      <c r="G215" s="11">
        <v>69</v>
      </c>
      <c r="H215" t="s">
        <v>3014</v>
      </c>
      <c r="I215" t="s">
        <v>15</v>
      </c>
    </row>
    <row r="216" spans="1:9" x14ac:dyDescent="0.25">
      <c r="A216" t="s">
        <v>3230</v>
      </c>
      <c r="B216" t="s">
        <v>980</v>
      </c>
      <c r="C216" t="s">
        <v>981</v>
      </c>
      <c r="D216" s="1">
        <v>45772.459027777775</v>
      </c>
      <c r="E216" s="11">
        <v>3</v>
      </c>
      <c r="F216" s="13">
        <v>2.2000000000000002</v>
      </c>
      <c r="G216" s="11">
        <v>58</v>
      </c>
      <c r="H216" t="s">
        <v>3014</v>
      </c>
      <c r="I216" t="s">
        <v>15</v>
      </c>
    </row>
    <row r="217" spans="1:9" x14ac:dyDescent="0.25">
      <c r="A217" t="s">
        <v>3231</v>
      </c>
      <c r="B217" t="s">
        <v>980</v>
      </c>
      <c r="C217" t="s">
        <v>981</v>
      </c>
      <c r="D217" s="1">
        <v>45660.013194444444</v>
      </c>
      <c r="E217" s="11">
        <v>2</v>
      </c>
      <c r="F217" s="13">
        <v>2</v>
      </c>
      <c r="G217" s="11">
        <v>49</v>
      </c>
      <c r="H217" t="s">
        <v>3014</v>
      </c>
      <c r="I217" t="s">
        <v>15</v>
      </c>
    </row>
    <row r="218" spans="1:9" x14ac:dyDescent="0.25">
      <c r="A218" t="s">
        <v>3232</v>
      </c>
      <c r="B218" t="s">
        <v>968</v>
      </c>
      <c r="C218" t="s">
        <v>969</v>
      </c>
      <c r="D218" s="1">
        <v>45675.840277777781</v>
      </c>
      <c r="E218" s="11">
        <v>3</v>
      </c>
      <c r="F218" s="13">
        <v>8.3000000000000007</v>
      </c>
      <c r="G218" s="11">
        <v>53</v>
      </c>
      <c r="H218" t="s">
        <v>3014</v>
      </c>
      <c r="I218" t="s">
        <v>31</v>
      </c>
    </row>
    <row r="219" spans="1:9" x14ac:dyDescent="0.25">
      <c r="A219" t="s">
        <v>3233</v>
      </c>
      <c r="B219" t="s">
        <v>968</v>
      </c>
      <c r="C219" t="s">
        <v>969</v>
      </c>
      <c r="D219" s="1">
        <v>45717.093055555553</v>
      </c>
      <c r="E219" s="11">
        <v>3</v>
      </c>
      <c r="F219" s="13">
        <v>2.9</v>
      </c>
      <c r="G219" s="11">
        <v>44</v>
      </c>
      <c r="H219" t="s">
        <v>3014</v>
      </c>
      <c r="I219" t="s">
        <v>15</v>
      </c>
    </row>
    <row r="220" spans="1:9" x14ac:dyDescent="0.25">
      <c r="A220" t="s">
        <v>3234</v>
      </c>
      <c r="B220" t="s">
        <v>968</v>
      </c>
      <c r="C220" t="s">
        <v>969</v>
      </c>
      <c r="D220" s="1">
        <v>45774.790972222225</v>
      </c>
      <c r="E220" s="11">
        <v>3</v>
      </c>
      <c r="F220" s="13">
        <v>3</v>
      </c>
      <c r="G220" s="11">
        <v>78</v>
      </c>
      <c r="H220" t="s">
        <v>3014</v>
      </c>
      <c r="I220" t="s">
        <v>15</v>
      </c>
    </row>
    <row r="221" spans="1:9" x14ac:dyDescent="0.25">
      <c r="A221" t="s">
        <v>3235</v>
      </c>
      <c r="B221" t="s">
        <v>968</v>
      </c>
      <c r="C221" t="s">
        <v>969</v>
      </c>
      <c r="D221" s="1">
        <v>45718.588888888888</v>
      </c>
      <c r="E221" s="11">
        <v>4</v>
      </c>
      <c r="F221" s="13">
        <v>5</v>
      </c>
      <c r="G221" s="11">
        <v>52</v>
      </c>
      <c r="H221" t="s">
        <v>3014</v>
      </c>
      <c r="I221" t="s">
        <v>15</v>
      </c>
    </row>
    <row r="222" spans="1:9" x14ac:dyDescent="0.25">
      <c r="A222" t="s">
        <v>3236</v>
      </c>
      <c r="B222" t="s">
        <v>968</v>
      </c>
      <c r="C222" t="s">
        <v>969</v>
      </c>
      <c r="D222" s="1">
        <v>45714.81527777778</v>
      </c>
      <c r="E222" s="11">
        <v>4</v>
      </c>
      <c r="F222" s="13">
        <v>4</v>
      </c>
      <c r="G222" s="11">
        <v>57</v>
      </c>
      <c r="H222" t="s">
        <v>3014</v>
      </c>
      <c r="I222" t="s">
        <v>15</v>
      </c>
    </row>
    <row r="223" spans="1:9" x14ac:dyDescent="0.25">
      <c r="A223" t="s">
        <v>3237</v>
      </c>
      <c r="B223" t="s">
        <v>968</v>
      </c>
      <c r="C223" t="s">
        <v>969</v>
      </c>
      <c r="D223" s="1">
        <v>45746.065972222219</v>
      </c>
      <c r="E223" s="11">
        <v>4</v>
      </c>
      <c r="F223" s="13">
        <v>3.5</v>
      </c>
      <c r="G223" s="11">
        <v>62</v>
      </c>
      <c r="H223" t="s">
        <v>3014</v>
      </c>
      <c r="I223" t="s">
        <v>15</v>
      </c>
    </row>
    <row r="224" spans="1:9" x14ac:dyDescent="0.25">
      <c r="A224" t="s">
        <v>3238</v>
      </c>
      <c r="B224" t="s">
        <v>968</v>
      </c>
      <c r="C224" t="s">
        <v>969</v>
      </c>
      <c r="D224" s="1">
        <v>45760.102777777778</v>
      </c>
      <c r="E224" s="11">
        <v>3</v>
      </c>
      <c r="F224" s="13">
        <v>3.2</v>
      </c>
      <c r="G224" s="11">
        <v>59</v>
      </c>
      <c r="H224" t="s">
        <v>3014</v>
      </c>
      <c r="I224" t="s">
        <v>15</v>
      </c>
    </row>
    <row r="225" spans="1:9" x14ac:dyDescent="0.25">
      <c r="A225" t="s">
        <v>3239</v>
      </c>
      <c r="B225" t="s">
        <v>968</v>
      </c>
      <c r="C225" t="s">
        <v>969</v>
      </c>
      <c r="D225" s="1">
        <v>45682.678472222222</v>
      </c>
      <c r="E225" s="11">
        <v>2</v>
      </c>
      <c r="F225" s="13">
        <v>1.8</v>
      </c>
      <c r="G225" s="11">
        <v>52</v>
      </c>
      <c r="H225" t="s">
        <v>3014</v>
      </c>
      <c r="I225" t="s">
        <v>15</v>
      </c>
    </row>
    <row r="226" spans="1:9" x14ac:dyDescent="0.25">
      <c r="A226" t="s">
        <v>3240</v>
      </c>
      <c r="B226" t="s">
        <v>968</v>
      </c>
      <c r="C226" t="s">
        <v>969</v>
      </c>
      <c r="D226" s="1">
        <v>45663.743750000001</v>
      </c>
      <c r="E226" s="11">
        <v>4</v>
      </c>
      <c r="F226" s="13">
        <v>5.0999999999999996</v>
      </c>
      <c r="G226" s="11">
        <v>63</v>
      </c>
      <c r="H226" t="s">
        <v>3014</v>
      </c>
      <c r="I226" t="s">
        <v>15</v>
      </c>
    </row>
    <row r="227" spans="1:9" x14ac:dyDescent="0.25">
      <c r="A227" t="s">
        <v>3241</v>
      </c>
      <c r="B227" t="s">
        <v>968</v>
      </c>
      <c r="C227" t="s">
        <v>969</v>
      </c>
      <c r="D227" s="1">
        <v>45757.442361111112</v>
      </c>
      <c r="E227" s="11">
        <v>2</v>
      </c>
      <c r="F227" s="13">
        <v>3.2</v>
      </c>
      <c r="G227" s="11">
        <v>67</v>
      </c>
      <c r="H227" t="s">
        <v>3014</v>
      </c>
      <c r="I227" t="s">
        <v>15</v>
      </c>
    </row>
    <row r="228" spans="1:9" x14ac:dyDescent="0.25">
      <c r="A228" t="s">
        <v>3242</v>
      </c>
      <c r="B228" t="s">
        <v>968</v>
      </c>
      <c r="C228" t="s">
        <v>969</v>
      </c>
      <c r="D228" s="1">
        <v>45726.884722222225</v>
      </c>
      <c r="E228" s="11">
        <v>4</v>
      </c>
      <c r="F228" s="13">
        <v>-0.2</v>
      </c>
      <c r="G228" s="11">
        <v>65</v>
      </c>
      <c r="H228" t="s">
        <v>3014</v>
      </c>
      <c r="I228" t="s">
        <v>31</v>
      </c>
    </row>
    <row r="229" spans="1:9" x14ac:dyDescent="0.25">
      <c r="A229" t="s">
        <v>3243</v>
      </c>
      <c r="B229" t="s">
        <v>968</v>
      </c>
      <c r="C229" t="s">
        <v>969</v>
      </c>
      <c r="D229" s="1">
        <v>45753.861805555556</v>
      </c>
      <c r="E229" s="11">
        <v>4</v>
      </c>
      <c r="F229" s="13">
        <v>5.7</v>
      </c>
      <c r="G229" s="11">
        <v>51</v>
      </c>
      <c r="H229" t="s">
        <v>3014</v>
      </c>
      <c r="I229" t="s">
        <v>15</v>
      </c>
    </row>
    <row r="230" spans="1:9" x14ac:dyDescent="0.25">
      <c r="A230" t="s">
        <v>3244</v>
      </c>
      <c r="B230" t="s">
        <v>968</v>
      </c>
      <c r="C230" t="s">
        <v>969</v>
      </c>
      <c r="D230" s="1">
        <v>45757.573611111111</v>
      </c>
      <c r="E230" s="11">
        <v>3</v>
      </c>
      <c r="F230" s="13">
        <v>2.8</v>
      </c>
      <c r="G230" s="11">
        <v>56</v>
      </c>
      <c r="H230" t="s">
        <v>3014</v>
      </c>
      <c r="I230" t="s">
        <v>15</v>
      </c>
    </row>
    <row r="231" spans="1:9" x14ac:dyDescent="0.25">
      <c r="A231" t="s">
        <v>3245</v>
      </c>
      <c r="B231" t="s">
        <v>968</v>
      </c>
      <c r="C231" t="s">
        <v>969</v>
      </c>
      <c r="D231" s="1">
        <v>45677.281944444447</v>
      </c>
      <c r="E231" s="11">
        <v>2</v>
      </c>
      <c r="F231" s="13">
        <v>6.5</v>
      </c>
      <c r="G231" s="11">
        <v>62</v>
      </c>
      <c r="H231" t="s">
        <v>3014</v>
      </c>
      <c r="I231" t="s">
        <v>15</v>
      </c>
    </row>
    <row r="232" spans="1:9" x14ac:dyDescent="0.25">
      <c r="A232" t="s">
        <v>3246</v>
      </c>
      <c r="B232" t="s">
        <v>968</v>
      </c>
      <c r="C232" t="s">
        <v>969</v>
      </c>
      <c r="D232" s="1">
        <v>45710.453472222223</v>
      </c>
      <c r="E232" s="11">
        <v>2</v>
      </c>
      <c r="F232" s="13">
        <v>0.8</v>
      </c>
      <c r="G232" s="11">
        <v>70</v>
      </c>
      <c r="H232" t="s">
        <v>3014</v>
      </c>
      <c r="I232" t="s">
        <v>15</v>
      </c>
    </row>
    <row r="233" spans="1:9" x14ac:dyDescent="0.25">
      <c r="A233" t="s">
        <v>3247</v>
      </c>
      <c r="B233" t="s">
        <v>968</v>
      </c>
      <c r="C233" t="s">
        <v>969</v>
      </c>
      <c r="D233" s="1">
        <v>45729.862500000003</v>
      </c>
      <c r="E233" s="11">
        <v>4</v>
      </c>
      <c r="F233" s="13">
        <v>5.2</v>
      </c>
      <c r="G233" s="11">
        <v>61</v>
      </c>
      <c r="H233" t="s">
        <v>3014</v>
      </c>
      <c r="I233" t="s">
        <v>15</v>
      </c>
    </row>
    <row r="234" spans="1:9" x14ac:dyDescent="0.25">
      <c r="A234" t="s">
        <v>3248</v>
      </c>
      <c r="B234" t="s">
        <v>968</v>
      </c>
      <c r="C234" t="s">
        <v>969</v>
      </c>
      <c r="D234" s="1">
        <v>45680</v>
      </c>
      <c r="E234" s="11">
        <v>2</v>
      </c>
      <c r="F234" s="13">
        <v>1.3</v>
      </c>
      <c r="G234" s="11">
        <v>65</v>
      </c>
      <c r="H234" t="s">
        <v>3019</v>
      </c>
      <c r="I234" t="s">
        <v>31</v>
      </c>
    </row>
    <row r="235" spans="1:9" x14ac:dyDescent="0.25">
      <c r="A235" t="s">
        <v>3249</v>
      </c>
      <c r="B235" t="s">
        <v>968</v>
      </c>
      <c r="C235" t="s">
        <v>969</v>
      </c>
      <c r="D235" s="1">
        <v>45677.567361111112</v>
      </c>
      <c r="E235" s="11">
        <v>2</v>
      </c>
      <c r="F235" s="13">
        <v>1.5</v>
      </c>
      <c r="G235" s="11">
        <v>59</v>
      </c>
      <c r="H235" t="s">
        <v>3014</v>
      </c>
      <c r="I235" t="s">
        <v>15</v>
      </c>
    </row>
    <row r="236" spans="1:9" x14ac:dyDescent="0.25">
      <c r="A236" t="s">
        <v>3250</v>
      </c>
      <c r="B236" t="s">
        <v>968</v>
      </c>
      <c r="C236" t="s">
        <v>969</v>
      </c>
      <c r="D236" s="1">
        <v>45719.334027777775</v>
      </c>
      <c r="E236" s="11">
        <v>4</v>
      </c>
      <c r="F236" s="13">
        <v>4.3</v>
      </c>
      <c r="G236" s="11">
        <v>48</v>
      </c>
      <c r="H236" t="s">
        <v>3014</v>
      </c>
      <c r="I236" t="s">
        <v>15</v>
      </c>
    </row>
    <row r="237" spans="1:9" x14ac:dyDescent="0.25">
      <c r="A237" t="s">
        <v>3251</v>
      </c>
      <c r="B237" t="s">
        <v>968</v>
      </c>
      <c r="C237" t="s">
        <v>969</v>
      </c>
      <c r="D237" s="1">
        <v>45681.143055555556</v>
      </c>
      <c r="E237" s="11">
        <v>4</v>
      </c>
      <c r="F237" s="13">
        <v>4.5999999999999996</v>
      </c>
      <c r="G237" s="11">
        <v>67</v>
      </c>
      <c r="H237" t="s">
        <v>3014</v>
      </c>
      <c r="I237" t="s">
        <v>15</v>
      </c>
    </row>
    <row r="238" spans="1:9" x14ac:dyDescent="0.25">
      <c r="A238" t="s">
        <v>3252</v>
      </c>
      <c r="B238" t="s">
        <v>968</v>
      </c>
      <c r="C238" t="s">
        <v>969</v>
      </c>
      <c r="D238" s="1">
        <v>45673.188888888886</v>
      </c>
      <c r="E238" s="11">
        <v>3</v>
      </c>
      <c r="F238" s="13">
        <v>3</v>
      </c>
      <c r="G238" s="11">
        <v>70</v>
      </c>
      <c r="H238" t="s">
        <v>3014</v>
      </c>
      <c r="I238" t="s">
        <v>15</v>
      </c>
    </row>
    <row r="239" spans="1:9" x14ac:dyDescent="0.25">
      <c r="A239" t="s">
        <v>3253</v>
      </c>
      <c r="B239" t="s">
        <v>968</v>
      </c>
      <c r="C239" t="s">
        <v>969</v>
      </c>
      <c r="D239" s="1">
        <v>45674.191666666666</v>
      </c>
      <c r="E239" s="11">
        <v>3</v>
      </c>
      <c r="F239" s="13">
        <v>3.9</v>
      </c>
      <c r="G239" s="11">
        <v>59</v>
      </c>
      <c r="H239" t="s">
        <v>3014</v>
      </c>
      <c r="I239" t="s">
        <v>15</v>
      </c>
    </row>
    <row r="240" spans="1:9" x14ac:dyDescent="0.25">
      <c r="A240" t="s">
        <v>3254</v>
      </c>
      <c r="B240" t="s">
        <v>968</v>
      </c>
      <c r="C240" t="s">
        <v>969</v>
      </c>
      <c r="D240" s="1">
        <v>45767.199305555558</v>
      </c>
      <c r="E240" s="11">
        <v>4</v>
      </c>
      <c r="F240" s="13">
        <v>4.2</v>
      </c>
      <c r="G240" s="11">
        <v>57</v>
      </c>
      <c r="H240" t="s">
        <v>3014</v>
      </c>
      <c r="I240" t="s">
        <v>15</v>
      </c>
    </row>
    <row r="241" spans="1:9" x14ac:dyDescent="0.25">
      <c r="A241" t="s">
        <v>3255</v>
      </c>
      <c r="B241" t="s">
        <v>968</v>
      </c>
      <c r="C241" t="s">
        <v>969</v>
      </c>
      <c r="D241" s="1">
        <v>45758.73541666667</v>
      </c>
      <c r="E241" s="11">
        <v>2</v>
      </c>
      <c r="F241" s="13">
        <v>2.1</v>
      </c>
      <c r="G241" s="11">
        <v>64</v>
      </c>
      <c r="H241" t="s">
        <v>3014</v>
      </c>
      <c r="I241" t="s">
        <v>15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AFBB-D90A-4B1F-9684-FFEE524EB307}">
  <sheetPr>
    <tabColor theme="9" tint="0.39997558519241921"/>
  </sheetPr>
  <dimension ref="A1:G421"/>
  <sheetViews>
    <sheetView tabSelected="1" workbookViewId="0">
      <selection activeCell="J16" sqref="J16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28515625" bestFit="1" customWidth="1"/>
    <col min="4" max="4" width="24.42578125" bestFit="1" customWidth="1"/>
    <col min="5" max="5" width="14.28515625" bestFit="1" customWidth="1"/>
    <col min="6" max="6" width="14.85546875" bestFit="1" customWidth="1"/>
    <col min="7" max="7" width="19.5703125" bestFit="1" customWidth="1"/>
  </cols>
  <sheetData>
    <row r="1" spans="1:7" x14ac:dyDescent="0.25">
      <c r="A1" t="s">
        <v>1135</v>
      </c>
      <c r="B1" t="s">
        <v>385</v>
      </c>
      <c r="C1" t="s">
        <v>0</v>
      </c>
      <c r="D1" t="s">
        <v>3335</v>
      </c>
      <c r="E1" t="s">
        <v>1136</v>
      </c>
      <c r="F1" t="s">
        <v>3336</v>
      </c>
      <c r="G1" t="s">
        <v>3337</v>
      </c>
    </row>
    <row r="2" spans="1:7" x14ac:dyDescent="0.25">
      <c r="A2" s="4" t="s">
        <v>1141</v>
      </c>
      <c r="B2" s="4" t="s">
        <v>888</v>
      </c>
      <c r="C2" s="4" t="s">
        <v>208</v>
      </c>
      <c r="D2" s="3">
        <v>45690</v>
      </c>
      <c r="E2" s="11">
        <v>85</v>
      </c>
      <c r="F2" s="11">
        <v>84</v>
      </c>
      <c r="G2" t="str">
        <f>IF(E2-F2 &lt;&gt; 0,
      TEXT(F2/E2,
       "0%") &amp; " of goods arrived",
      IF(E2=F2,
      "All goods arrived",
      "All goods missing"))</f>
        <v>99% of goods arrived</v>
      </c>
    </row>
    <row r="3" spans="1:7" x14ac:dyDescent="0.25">
      <c r="A3" s="4" t="s">
        <v>1142</v>
      </c>
      <c r="B3" s="4" t="s">
        <v>888</v>
      </c>
      <c r="C3" s="4" t="s">
        <v>208</v>
      </c>
      <c r="D3" s="3">
        <v>45690</v>
      </c>
      <c r="E3" s="11">
        <v>96</v>
      </c>
      <c r="F3" s="11">
        <v>92</v>
      </c>
      <c r="G3" t="str">
        <f t="shared" ref="G2:G65" si="0">IF(E3-F3 &lt;&gt; 0,
      TEXT(F3/E3,
       "0%") &amp; " of goods arrived",
      IF(E3=F3,
      "All goods arrived",
      "All goods missing"))</f>
        <v>96% of goods arrived</v>
      </c>
    </row>
    <row r="4" spans="1:7" x14ac:dyDescent="0.25">
      <c r="A4" s="4" t="s">
        <v>1143</v>
      </c>
      <c r="B4" s="4" t="s">
        <v>888</v>
      </c>
      <c r="C4" s="4" t="s">
        <v>208</v>
      </c>
      <c r="D4" s="3">
        <v>45690</v>
      </c>
      <c r="E4" s="11">
        <v>169</v>
      </c>
      <c r="F4" s="11">
        <v>144</v>
      </c>
      <c r="G4" t="str">
        <f t="shared" si="0"/>
        <v>85% of goods arrived</v>
      </c>
    </row>
    <row r="5" spans="1:7" x14ac:dyDescent="0.25">
      <c r="A5" s="4" t="s">
        <v>1144</v>
      </c>
      <c r="B5" s="4" t="s">
        <v>606</v>
      </c>
      <c r="C5" s="4" t="s">
        <v>327</v>
      </c>
      <c r="D5" s="3">
        <v>45677</v>
      </c>
      <c r="E5" s="11">
        <v>144</v>
      </c>
      <c r="F5" s="11">
        <v>0</v>
      </c>
      <c r="G5" t="str">
        <f t="shared" si="0"/>
        <v>0% of goods arrived</v>
      </c>
    </row>
    <row r="6" spans="1:7" x14ac:dyDescent="0.25">
      <c r="A6" s="4" t="s">
        <v>1145</v>
      </c>
      <c r="B6" s="4" t="s">
        <v>502</v>
      </c>
      <c r="C6" s="4" t="s">
        <v>327</v>
      </c>
      <c r="D6" s="3">
        <v>45677</v>
      </c>
      <c r="E6" s="11">
        <v>237</v>
      </c>
      <c r="F6" s="11">
        <v>195</v>
      </c>
      <c r="G6" t="str">
        <f t="shared" si="0"/>
        <v>82% of goods arrived</v>
      </c>
    </row>
    <row r="7" spans="1:7" x14ac:dyDescent="0.25">
      <c r="A7" s="4" t="s">
        <v>1146</v>
      </c>
      <c r="B7" s="4" t="s">
        <v>939</v>
      </c>
      <c r="C7" s="4" t="s">
        <v>291</v>
      </c>
      <c r="D7" s="3">
        <v>45668</v>
      </c>
      <c r="E7" s="11">
        <v>64</v>
      </c>
      <c r="F7" s="11">
        <v>49</v>
      </c>
      <c r="G7" t="str">
        <f t="shared" si="0"/>
        <v>77% of goods arrived</v>
      </c>
    </row>
    <row r="8" spans="1:7" x14ac:dyDescent="0.25">
      <c r="A8" s="4" t="s">
        <v>1147</v>
      </c>
      <c r="B8" s="4" t="s">
        <v>433</v>
      </c>
      <c r="C8" s="4" t="s">
        <v>291</v>
      </c>
      <c r="D8" s="3">
        <v>45668</v>
      </c>
      <c r="E8" s="11">
        <v>156</v>
      </c>
      <c r="F8" s="11">
        <v>121</v>
      </c>
      <c r="G8" t="str">
        <f t="shared" si="0"/>
        <v>78% of goods arrived</v>
      </c>
    </row>
    <row r="9" spans="1:7" x14ac:dyDescent="0.25">
      <c r="A9" s="4" t="s">
        <v>1148</v>
      </c>
      <c r="B9" s="4" t="s">
        <v>420</v>
      </c>
      <c r="C9" s="4" t="s">
        <v>28</v>
      </c>
      <c r="D9" s="3">
        <v>45686</v>
      </c>
      <c r="E9" s="11">
        <v>105</v>
      </c>
      <c r="F9" s="11">
        <v>93</v>
      </c>
      <c r="G9" t="str">
        <f t="shared" si="0"/>
        <v>89% of goods arrived</v>
      </c>
    </row>
    <row r="10" spans="1:7" x14ac:dyDescent="0.25">
      <c r="A10" s="4" t="s">
        <v>1149</v>
      </c>
      <c r="B10" s="4" t="s">
        <v>579</v>
      </c>
      <c r="C10" s="4" t="s">
        <v>28</v>
      </c>
      <c r="D10" s="3">
        <v>45686</v>
      </c>
      <c r="E10" s="11">
        <v>104</v>
      </c>
      <c r="F10" s="11">
        <v>85</v>
      </c>
      <c r="G10" t="str">
        <f t="shared" si="0"/>
        <v>82% of goods arrived</v>
      </c>
    </row>
    <row r="11" spans="1:7" x14ac:dyDescent="0.25">
      <c r="A11" s="4" t="s">
        <v>1150</v>
      </c>
      <c r="B11" s="4" t="s">
        <v>828</v>
      </c>
      <c r="C11" s="4" t="s">
        <v>28</v>
      </c>
      <c r="D11" s="3">
        <v>45686</v>
      </c>
      <c r="E11" s="11">
        <v>96</v>
      </c>
      <c r="F11" s="11">
        <v>93</v>
      </c>
      <c r="G11" t="str">
        <f t="shared" si="0"/>
        <v>97% of goods arrived</v>
      </c>
    </row>
    <row r="12" spans="1:7" x14ac:dyDescent="0.25">
      <c r="A12" s="4" t="s">
        <v>1151</v>
      </c>
      <c r="B12" s="4" t="s">
        <v>915</v>
      </c>
      <c r="C12" s="4" t="s">
        <v>202</v>
      </c>
      <c r="D12" s="3">
        <v>45691</v>
      </c>
      <c r="E12" s="11">
        <v>29</v>
      </c>
      <c r="F12" s="11">
        <v>0</v>
      </c>
      <c r="G12" t="str">
        <f t="shared" si="0"/>
        <v>0% of goods arrived</v>
      </c>
    </row>
    <row r="13" spans="1:7" x14ac:dyDescent="0.25">
      <c r="A13" s="4" t="s">
        <v>1152</v>
      </c>
      <c r="B13" s="4" t="s">
        <v>846</v>
      </c>
      <c r="C13" s="4" t="s">
        <v>202</v>
      </c>
      <c r="D13" s="3">
        <v>45691</v>
      </c>
      <c r="E13" s="11">
        <v>130</v>
      </c>
      <c r="F13" s="11">
        <v>113</v>
      </c>
      <c r="G13" t="str">
        <f t="shared" si="0"/>
        <v>87% of goods arrived</v>
      </c>
    </row>
    <row r="14" spans="1:7" x14ac:dyDescent="0.25">
      <c r="A14" s="4" t="s">
        <v>1153</v>
      </c>
      <c r="B14" s="4" t="s">
        <v>915</v>
      </c>
      <c r="C14" s="4" t="s">
        <v>202</v>
      </c>
      <c r="D14" s="3">
        <v>45691</v>
      </c>
      <c r="E14" s="11">
        <v>74</v>
      </c>
      <c r="F14" s="11">
        <v>73</v>
      </c>
      <c r="G14" t="str">
        <f t="shared" si="0"/>
        <v>99% of goods arrived</v>
      </c>
    </row>
    <row r="15" spans="1:7" x14ac:dyDescent="0.25">
      <c r="A15" s="4" t="s">
        <v>1154</v>
      </c>
      <c r="B15" s="4" t="s">
        <v>792</v>
      </c>
      <c r="C15" s="4" t="s">
        <v>256</v>
      </c>
      <c r="D15" s="3">
        <v>45722</v>
      </c>
      <c r="E15" s="11">
        <v>218</v>
      </c>
      <c r="F15" s="11">
        <v>194</v>
      </c>
      <c r="G15" t="str">
        <f t="shared" si="0"/>
        <v>89% of goods arrived</v>
      </c>
    </row>
    <row r="16" spans="1:7" x14ac:dyDescent="0.25">
      <c r="A16" s="4" t="s">
        <v>1155</v>
      </c>
      <c r="B16" s="4" t="s">
        <v>792</v>
      </c>
      <c r="C16" s="4" t="s">
        <v>256</v>
      </c>
      <c r="D16" s="3">
        <v>45722</v>
      </c>
      <c r="E16" s="11">
        <v>12</v>
      </c>
      <c r="F16" s="11">
        <v>9</v>
      </c>
      <c r="G16" t="str">
        <f t="shared" si="0"/>
        <v>75% of goods arrived</v>
      </c>
    </row>
    <row r="17" spans="1:7" x14ac:dyDescent="0.25">
      <c r="A17" s="4" t="s">
        <v>1156</v>
      </c>
      <c r="B17" s="4" t="s">
        <v>792</v>
      </c>
      <c r="C17" s="4" t="s">
        <v>256</v>
      </c>
      <c r="D17" s="3">
        <v>45722</v>
      </c>
      <c r="E17" s="11">
        <v>201</v>
      </c>
      <c r="F17" s="11">
        <v>192</v>
      </c>
      <c r="G17" t="str">
        <f t="shared" si="0"/>
        <v>96% of goods arrived</v>
      </c>
    </row>
    <row r="18" spans="1:7" x14ac:dyDescent="0.25">
      <c r="A18" s="4" t="s">
        <v>1157</v>
      </c>
      <c r="B18" s="4" t="s">
        <v>564</v>
      </c>
      <c r="C18" s="4" t="s">
        <v>262</v>
      </c>
      <c r="D18" s="3">
        <v>45731</v>
      </c>
      <c r="E18" s="11">
        <v>208</v>
      </c>
      <c r="F18" s="11">
        <v>194</v>
      </c>
      <c r="G18" t="str">
        <f t="shared" si="0"/>
        <v>93% of goods arrived</v>
      </c>
    </row>
    <row r="19" spans="1:7" x14ac:dyDescent="0.25">
      <c r="A19" s="4" t="s">
        <v>1158</v>
      </c>
      <c r="B19" s="4" t="s">
        <v>834</v>
      </c>
      <c r="C19" s="4" t="s">
        <v>262</v>
      </c>
      <c r="D19" s="3">
        <v>45731</v>
      </c>
      <c r="E19" s="11">
        <v>227</v>
      </c>
      <c r="F19" s="11">
        <v>218</v>
      </c>
      <c r="G19" t="str">
        <f t="shared" si="0"/>
        <v>96% of goods arrived</v>
      </c>
    </row>
    <row r="20" spans="1:7" x14ac:dyDescent="0.25">
      <c r="A20" s="4" t="s">
        <v>1159</v>
      </c>
      <c r="B20" s="4" t="s">
        <v>912</v>
      </c>
      <c r="C20" s="4" t="s">
        <v>262</v>
      </c>
      <c r="D20" s="3">
        <v>45731</v>
      </c>
      <c r="E20" s="11">
        <v>67</v>
      </c>
      <c r="F20" s="11">
        <v>54</v>
      </c>
      <c r="G20" t="str">
        <f t="shared" si="0"/>
        <v>81% of goods arrived</v>
      </c>
    </row>
    <row r="21" spans="1:7" x14ac:dyDescent="0.25">
      <c r="A21" s="4" t="s">
        <v>1160</v>
      </c>
      <c r="B21" s="4" t="s">
        <v>714</v>
      </c>
      <c r="C21" s="4" t="s">
        <v>274</v>
      </c>
      <c r="D21" s="3">
        <v>45684</v>
      </c>
      <c r="E21" s="11">
        <v>149</v>
      </c>
      <c r="F21" s="11">
        <v>119</v>
      </c>
      <c r="G21" t="str">
        <f t="shared" si="0"/>
        <v>80% of goods arrived</v>
      </c>
    </row>
    <row r="22" spans="1:7" x14ac:dyDescent="0.25">
      <c r="A22" s="4" t="s">
        <v>1161</v>
      </c>
      <c r="B22" s="4" t="s">
        <v>714</v>
      </c>
      <c r="C22" s="4" t="s">
        <v>274</v>
      </c>
      <c r="D22" s="3">
        <v>45684</v>
      </c>
      <c r="E22" s="11">
        <v>49</v>
      </c>
      <c r="F22" s="11">
        <v>38</v>
      </c>
      <c r="G22" t="str">
        <f t="shared" si="0"/>
        <v>78% of goods arrived</v>
      </c>
    </row>
    <row r="23" spans="1:7" x14ac:dyDescent="0.25">
      <c r="A23" s="4" t="s">
        <v>1162</v>
      </c>
      <c r="B23" s="4" t="s">
        <v>681</v>
      </c>
      <c r="C23" s="4" t="s">
        <v>179</v>
      </c>
      <c r="D23" s="3">
        <v>45679</v>
      </c>
      <c r="E23" s="11">
        <v>237</v>
      </c>
      <c r="F23" s="11">
        <v>184</v>
      </c>
      <c r="G23" t="str">
        <f t="shared" si="0"/>
        <v>78% of goods arrived</v>
      </c>
    </row>
    <row r="24" spans="1:7" x14ac:dyDescent="0.25">
      <c r="A24" s="4" t="s">
        <v>1163</v>
      </c>
      <c r="B24" s="4" t="s">
        <v>681</v>
      </c>
      <c r="C24" s="4" t="s">
        <v>179</v>
      </c>
      <c r="D24" s="3">
        <v>45679</v>
      </c>
      <c r="E24" s="11">
        <v>206</v>
      </c>
      <c r="F24" s="11">
        <v>189</v>
      </c>
      <c r="G24" t="str">
        <f t="shared" si="0"/>
        <v>92% of goods arrived</v>
      </c>
    </row>
    <row r="25" spans="1:7" x14ac:dyDescent="0.25">
      <c r="A25" s="4" t="s">
        <v>1164</v>
      </c>
      <c r="B25" s="4" t="s">
        <v>681</v>
      </c>
      <c r="C25" s="4" t="s">
        <v>179</v>
      </c>
      <c r="D25" s="3">
        <v>45679</v>
      </c>
      <c r="E25" s="11">
        <v>156</v>
      </c>
      <c r="F25" s="11">
        <v>155</v>
      </c>
      <c r="G25" t="str">
        <f t="shared" si="0"/>
        <v>99% of goods arrived</v>
      </c>
    </row>
    <row r="26" spans="1:7" x14ac:dyDescent="0.25">
      <c r="A26" s="4" t="s">
        <v>1165</v>
      </c>
      <c r="B26" s="4" t="s">
        <v>786</v>
      </c>
      <c r="C26" s="4" t="s">
        <v>170</v>
      </c>
      <c r="D26" s="3">
        <v>45675</v>
      </c>
      <c r="E26" s="11">
        <v>173</v>
      </c>
      <c r="F26" s="11">
        <v>0</v>
      </c>
      <c r="G26" t="str">
        <f t="shared" si="0"/>
        <v>0% of goods arrived</v>
      </c>
    </row>
    <row r="27" spans="1:7" x14ac:dyDescent="0.25">
      <c r="A27" s="4" t="s">
        <v>1166</v>
      </c>
      <c r="B27" s="4" t="s">
        <v>557</v>
      </c>
      <c r="C27" s="4" t="s">
        <v>170</v>
      </c>
      <c r="D27" s="3">
        <v>45675</v>
      </c>
      <c r="E27" s="11">
        <v>220</v>
      </c>
      <c r="F27" s="11">
        <v>198</v>
      </c>
      <c r="G27" t="str">
        <f t="shared" si="0"/>
        <v>90% of goods arrived</v>
      </c>
    </row>
    <row r="28" spans="1:7" x14ac:dyDescent="0.25">
      <c r="A28" s="4" t="s">
        <v>1167</v>
      </c>
      <c r="B28" s="4" t="s">
        <v>906</v>
      </c>
      <c r="C28" s="4" t="s">
        <v>170</v>
      </c>
      <c r="D28" s="3">
        <v>45675</v>
      </c>
      <c r="E28" s="11">
        <v>100</v>
      </c>
      <c r="F28" s="11">
        <v>80</v>
      </c>
      <c r="G28" t="str">
        <f t="shared" si="0"/>
        <v>80% of goods arrived</v>
      </c>
    </row>
    <row r="29" spans="1:7" x14ac:dyDescent="0.25">
      <c r="A29" s="4" t="s">
        <v>1168</v>
      </c>
      <c r="B29" s="4" t="s">
        <v>759</v>
      </c>
      <c r="C29" s="4" t="s">
        <v>155</v>
      </c>
      <c r="D29" s="3">
        <v>45705</v>
      </c>
      <c r="E29" s="11">
        <v>127</v>
      </c>
      <c r="F29" s="11">
        <v>123</v>
      </c>
      <c r="G29" t="str">
        <f t="shared" si="0"/>
        <v>97% of goods arrived</v>
      </c>
    </row>
    <row r="30" spans="1:7" x14ac:dyDescent="0.25">
      <c r="A30" s="4" t="s">
        <v>1169</v>
      </c>
      <c r="B30" s="4" t="s">
        <v>591</v>
      </c>
      <c r="C30" s="4" t="s">
        <v>155</v>
      </c>
      <c r="D30" s="3">
        <v>45705</v>
      </c>
      <c r="E30" s="11">
        <v>92</v>
      </c>
      <c r="F30" s="11">
        <v>82</v>
      </c>
      <c r="G30" t="str">
        <f t="shared" si="0"/>
        <v>89% of goods arrived</v>
      </c>
    </row>
    <row r="31" spans="1:7" x14ac:dyDescent="0.25">
      <c r="A31" s="4" t="s">
        <v>1170</v>
      </c>
      <c r="B31" s="4" t="s">
        <v>666</v>
      </c>
      <c r="C31" s="4" t="s">
        <v>155</v>
      </c>
      <c r="D31" s="3">
        <v>45705</v>
      </c>
      <c r="E31" s="11">
        <v>99</v>
      </c>
      <c r="F31" s="11">
        <v>85</v>
      </c>
      <c r="G31" t="str">
        <f t="shared" si="0"/>
        <v>86% of goods arrived</v>
      </c>
    </row>
    <row r="32" spans="1:7" x14ac:dyDescent="0.25">
      <c r="A32" s="4" t="s">
        <v>1171</v>
      </c>
      <c r="B32" s="4" t="s">
        <v>526</v>
      </c>
      <c r="C32" s="4" t="s">
        <v>106</v>
      </c>
      <c r="D32" s="3">
        <v>45707</v>
      </c>
      <c r="E32" s="11">
        <v>171</v>
      </c>
      <c r="F32" s="11">
        <v>168</v>
      </c>
      <c r="G32" t="str">
        <f t="shared" si="0"/>
        <v>98% of goods arrived</v>
      </c>
    </row>
    <row r="33" spans="1:7" x14ac:dyDescent="0.25">
      <c r="A33" s="4" t="s">
        <v>1172</v>
      </c>
      <c r="B33" s="4" t="s">
        <v>526</v>
      </c>
      <c r="C33" s="4" t="s">
        <v>106</v>
      </c>
      <c r="D33" s="3">
        <v>45707</v>
      </c>
      <c r="E33" s="11">
        <v>122</v>
      </c>
      <c r="F33" s="11">
        <v>120</v>
      </c>
      <c r="G33" t="str">
        <f t="shared" si="0"/>
        <v>98% of goods arrived</v>
      </c>
    </row>
    <row r="34" spans="1:7" x14ac:dyDescent="0.25">
      <c r="A34" s="4" t="s">
        <v>1173</v>
      </c>
      <c r="B34" s="4" t="s">
        <v>526</v>
      </c>
      <c r="C34" s="4" t="s">
        <v>106</v>
      </c>
      <c r="D34" s="3">
        <v>45707</v>
      </c>
      <c r="E34" s="11">
        <v>144</v>
      </c>
      <c r="F34" s="11">
        <v>129</v>
      </c>
      <c r="G34" t="str">
        <f t="shared" si="0"/>
        <v>90% of goods arrived</v>
      </c>
    </row>
    <row r="35" spans="1:7" x14ac:dyDescent="0.25">
      <c r="A35" s="4" t="s">
        <v>1174</v>
      </c>
      <c r="B35" s="4" t="s">
        <v>417</v>
      </c>
      <c r="C35" s="4" t="s">
        <v>294</v>
      </c>
      <c r="D35" s="3">
        <v>45692</v>
      </c>
      <c r="E35" s="11">
        <v>23</v>
      </c>
      <c r="F35" s="11">
        <v>0</v>
      </c>
      <c r="G35" t="str">
        <f t="shared" si="0"/>
        <v>0% of goods arrived</v>
      </c>
    </row>
    <row r="36" spans="1:7" x14ac:dyDescent="0.25">
      <c r="A36" s="4" t="s">
        <v>1175</v>
      </c>
      <c r="B36" s="4" t="s">
        <v>837</v>
      </c>
      <c r="C36" s="4" t="s">
        <v>294</v>
      </c>
      <c r="D36" s="3">
        <v>45692</v>
      </c>
      <c r="E36" s="11">
        <v>100</v>
      </c>
      <c r="F36" s="11">
        <v>77</v>
      </c>
      <c r="G36" t="str">
        <f t="shared" si="0"/>
        <v>77% of goods arrived</v>
      </c>
    </row>
    <row r="37" spans="1:7" x14ac:dyDescent="0.25">
      <c r="A37" s="4" t="s">
        <v>1176</v>
      </c>
      <c r="B37" s="4" t="s">
        <v>417</v>
      </c>
      <c r="C37" s="4" t="s">
        <v>294</v>
      </c>
      <c r="D37" s="3">
        <v>45692</v>
      </c>
      <c r="E37" s="11">
        <v>161</v>
      </c>
      <c r="F37" s="11">
        <v>156</v>
      </c>
      <c r="G37" t="str">
        <f t="shared" si="0"/>
        <v>97% of goods arrived</v>
      </c>
    </row>
    <row r="38" spans="1:7" x14ac:dyDescent="0.25">
      <c r="A38" s="4" t="s">
        <v>1177</v>
      </c>
      <c r="B38" s="4" t="s">
        <v>720</v>
      </c>
      <c r="C38" s="4" t="s">
        <v>17</v>
      </c>
      <c r="D38" s="3">
        <v>45716</v>
      </c>
      <c r="E38" s="11">
        <v>132</v>
      </c>
      <c r="F38" s="11">
        <v>0</v>
      </c>
      <c r="G38" t="str">
        <f t="shared" si="0"/>
        <v>0% of goods arrived</v>
      </c>
    </row>
    <row r="39" spans="1:7" x14ac:dyDescent="0.25">
      <c r="A39" s="4" t="s">
        <v>1178</v>
      </c>
      <c r="B39" s="4" t="s">
        <v>876</v>
      </c>
      <c r="C39" s="4" t="s">
        <v>17</v>
      </c>
      <c r="D39" s="3">
        <v>45716</v>
      </c>
      <c r="E39" s="11">
        <v>203</v>
      </c>
      <c r="F39" s="11">
        <v>0</v>
      </c>
      <c r="G39" t="str">
        <f t="shared" si="0"/>
        <v>0% of goods arrived</v>
      </c>
    </row>
    <row r="40" spans="1:7" x14ac:dyDescent="0.25">
      <c r="A40" s="4" t="s">
        <v>1179</v>
      </c>
      <c r="B40" s="4" t="s">
        <v>876</v>
      </c>
      <c r="C40" s="4" t="s">
        <v>17</v>
      </c>
      <c r="D40" s="3">
        <v>45716</v>
      </c>
      <c r="E40" s="11">
        <v>35</v>
      </c>
      <c r="F40" s="11">
        <v>32</v>
      </c>
      <c r="G40" t="str">
        <f t="shared" si="0"/>
        <v>91% of goods arrived</v>
      </c>
    </row>
    <row r="41" spans="1:7" x14ac:dyDescent="0.25">
      <c r="A41" s="4" t="s">
        <v>1180</v>
      </c>
      <c r="B41" s="4" t="s">
        <v>675</v>
      </c>
      <c r="C41" s="4" t="s">
        <v>318</v>
      </c>
      <c r="D41" s="3">
        <v>45667</v>
      </c>
      <c r="E41" s="11">
        <v>193</v>
      </c>
      <c r="F41" s="11">
        <v>193</v>
      </c>
      <c r="G41" t="str">
        <f t="shared" si="0"/>
        <v>All goods arrived</v>
      </c>
    </row>
    <row r="42" spans="1:7" x14ac:dyDescent="0.25">
      <c r="A42" s="4" t="s">
        <v>1181</v>
      </c>
      <c r="B42" s="4" t="s">
        <v>675</v>
      </c>
      <c r="C42" s="4" t="s">
        <v>318</v>
      </c>
      <c r="D42" s="3">
        <v>45667</v>
      </c>
      <c r="E42" s="11">
        <v>13</v>
      </c>
      <c r="F42" s="11">
        <v>13</v>
      </c>
      <c r="G42" t="str">
        <f t="shared" si="0"/>
        <v>All goods arrived</v>
      </c>
    </row>
    <row r="43" spans="1:7" x14ac:dyDescent="0.25">
      <c r="A43" s="4" t="s">
        <v>1182</v>
      </c>
      <c r="B43" s="4" t="s">
        <v>675</v>
      </c>
      <c r="C43" s="4" t="s">
        <v>318</v>
      </c>
      <c r="D43" s="3">
        <v>45667</v>
      </c>
      <c r="E43" s="11">
        <v>35</v>
      </c>
      <c r="F43" s="11">
        <v>0</v>
      </c>
      <c r="G43" t="str">
        <f t="shared" si="0"/>
        <v>0% of goods arrived</v>
      </c>
    </row>
    <row r="44" spans="1:7" x14ac:dyDescent="0.25">
      <c r="A44" s="4" t="s">
        <v>1183</v>
      </c>
      <c r="B44" s="4" t="s">
        <v>882</v>
      </c>
      <c r="C44" s="4" t="s">
        <v>217</v>
      </c>
      <c r="D44" s="3">
        <v>45713</v>
      </c>
      <c r="E44" s="11">
        <v>207</v>
      </c>
      <c r="F44" s="11">
        <v>176</v>
      </c>
      <c r="G44" t="str">
        <f t="shared" si="0"/>
        <v>85% of goods arrived</v>
      </c>
    </row>
    <row r="45" spans="1:7" x14ac:dyDescent="0.25">
      <c r="A45" s="4" t="s">
        <v>1184</v>
      </c>
      <c r="B45" s="4" t="s">
        <v>753</v>
      </c>
      <c r="C45" s="4" t="s">
        <v>217</v>
      </c>
      <c r="D45" s="3">
        <v>45713</v>
      </c>
      <c r="E45" s="11">
        <v>51</v>
      </c>
      <c r="F45" s="11">
        <v>0</v>
      </c>
      <c r="G45" t="str">
        <f t="shared" si="0"/>
        <v>0% of goods arrived</v>
      </c>
    </row>
    <row r="46" spans="1:7" x14ac:dyDescent="0.25">
      <c r="A46" s="4" t="s">
        <v>1185</v>
      </c>
      <c r="B46" s="4" t="s">
        <v>864</v>
      </c>
      <c r="C46" s="4" t="s">
        <v>217</v>
      </c>
      <c r="D46" s="3">
        <v>45713</v>
      </c>
      <c r="E46" s="11">
        <v>11</v>
      </c>
      <c r="F46" s="11">
        <v>0</v>
      </c>
      <c r="G46" t="str">
        <f t="shared" si="0"/>
        <v>0% of goods arrived</v>
      </c>
    </row>
    <row r="47" spans="1:7" x14ac:dyDescent="0.25">
      <c r="A47" s="4" t="s">
        <v>1186</v>
      </c>
      <c r="B47" s="4" t="s">
        <v>810</v>
      </c>
      <c r="C47" s="4" t="s">
        <v>364</v>
      </c>
      <c r="D47" s="3">
        <v>45680</v>
      </c>
      <c r="E47" s="11">
        <v>206</v>
      </c>
      <c r="F47" s="11">
        <v>166</v>
      </c>
      <c r="G47" t="str">
        <f t="shared" si="0"/>
        <v>81% of goods arrived</v>
      </c>
    </row>
    <row r="48" spans="1:7" x14ac:dyDescent="0.25">
      <c r="A48" s="4" t="s">
        <v>1187</v>
      </c>
      <c r="B48" s="4" t="s">
        <v>539</v>
      </c>
      <c r="C48" s="4" t="s">
        <v>364</v>
      </c>
      <c r="D48" s="3">
        <v>45680</v>
      </c>
      <c r="E48" s="11">
        <v>215</v>
      </c>
      <c r="F48" s="11">
        <v>174</v>
      </c>
      <c r="G48" t="str">
        <f t="shared" si="0"/>
        <v>81% of goods arrived</v>
      </c>
    </row>
    <row r="49" spans="1:7" x14ac:dyDescent="0.25">
      <c r="A49" s="4" t="s">
        <v>1188</v>
      </c>
      <c r="B49" s="4" t="s">
        <v>624</v>
      </c>
      <c r="C49" s="4" t="s">
        <v>364</v>
      </c>
      <c r="D49" s="3">
        <v>45680</v>
      </c>
      <c r="E49" s="11">
        <v>170</v>
      </c>
      <c r="F49" s="11">
        <v>137</v>
      </c>
      <c r="G49" t="str">
        <f t="shared" si="0"/>
        <v>81% of goods arrived</v>
      </c>
    </row>
    <row r="50" spans="1:7" x14ac:dyDescent="0.25">
      <c r="A50" s="4" t="s">
        <v>1189</v>
      </c>
      <c r="B50" s="4" t="s">
        <v>708</v>
      </c>
      <c r="C50" s="4" t="s">
        <v>214</v>
      </c>
      <c r="D50" s="3">
        <v>45738</v>
      </c>
      <c r="E50" s="11">
        <v>92</v>
      </c>
      <c r="F50" s="11">
        <v>92</v>
      </c>
      <c r="G50" t="str">
        <f t="shared" si="0"/>
        <v>All goods arrived</v>
      </c>
    </row>
    <row r="51" spans="1:7" x14ac:dyDescent="0.25">
      <c r="A51" s="4" t="s">
        <v>1190</v>
      </c>
      <c r="B51" s="4" t="s">
        <v>699</v>
      </c>
      <c r="C51" s="4" t="s">
        <v>214</v>
      </c>
      <c r="D51" s="3">
        <v>45738</v>
      </c>
      <c r="E51" s="11">
        <v>165</v>
      </c>
      <c r="F51" s="11">
        <v>124</v>
      </c>
      <c r="G51" t="str">
        <f t="shared" si="0"/>
        <v>75% of goods arrived</v>
      </c>
    </row>
    <row r="52" spans="1:7" x14ac:dyDescent="0.25">
      <c r="A52" s="4" t="s">
        <v>1191</v>
      </c>
      <c r="B52" s="4" t="s">
        <v>708</v>
      </c>
      <c r="C52" s="4" t="s">
        <v>214</v>
      </c>
      <c r="D52" s="3">
        <v>45738</v>
      </c>
      <c r="E52" s="11">
        <v>146</v>
      </c>
      <c r="F52" s="11">
        <v>131</v>
      </c>
      <c r="G52" t="str">
        <f t="shared" si="0"/>
        <v>90% of goods arrived</v>
      </c>
    </row>
    <row r="53" spans="1:7" x14ac:dyDescent="0.25">
      <c r="A53" s="4" t="s">
        <v>1192</v>
      </c>
      <c r="B53" s="4" t="s">
        <v>639</v>
      </c>
      <c r="C53" s="4" t="s">
        <v>116</v>
      </c>
      <c r="D53" s="3">
        <v>45695</v>
      </c>
      <c r="E53" s="11">
        <v>165</v>
      </c>
      <c r="F53" s="11">
        <v>152</v>
      </c>
      <c r="G53" t="str">
        <f t="shared" si="0"/>
        <v>92% of goods arrived</v>
      </c>
    </row>
    <row r="54" spans="1:7" x14ac:dyDescent="0.25">
      <c r="A54" s="4" t="s">
        <v>1193</v>
      </c>
      <c r="B54" s="4" t="s">
        <v>639</v>
      </c>
      <c r="C54" s="4" t="s">
        <v>116</v>
      </c>
      <c r="D54" s="3">
        <v>45695</v>
      </c>
      <c r="E54" s="11">
        <v>200</v>
      </c>
      <c r="F54" s="11">
        <v>0</v>
      </c>
      <c r="G54" t="str">
        <f t="shared" si="0"/>
        <v>0% of goods arrived</v>
      </c>
    </row>
    <row r="55" spans="1:7" x14ac:dyDescent="0.25">
      <c r="A55" s="4" t="s">
        <v>1194</v>
      </c>
      <c r="B55" s="4" t="s">
        <v>639</v>
      </c>
      <c r="C55" s="4" t="s">
        <v>116</v>
      </c>
      <c r="D55" s="3">
        <v>45695</v>
      </c>
      <c r="E55" s="11">
        <v>35</v>
      </c>
      <c r="F55" s="11">
        <v>32</v>
      </c>
      <c r="G55" t="str">
        <f t="shared" si="0"/>
        <v>91% of goods arrived</v>
      </c>
    </row>
    <row r="56" spans="1:7" x14ac:dyDescent="0.25">
      <c r="A56" s="4" t="s">
        <v>1195</v>
      </c>
      <c r="B56" s="4" t="s">
        <v>699</v>
      </c>
      <c r="C56" s="4" t="s">
        <v>28</v>
      </c>
      <c r="D56" s="3">
        <v>45717</v>
      </c>
      <c r="E56" s="11">
        <v>127</v>
      </c>
      <c r="F56" s="11">
        <v>104</v>
      </c>
      <c r="G56" t="str">
        <f t="shared" si="0"/>
        <v>82% of goods arrived</v>
      </c>
    </row>
    <row r="57" spans="1:7" x14ac:dyDescent="0.25">
      <c r="A57" s="4" t="s">
        <v>1196</v>
      </c>
      <c r="B57" s="4" t="s">
        <v>606</v>
      </c>
      <c r="C57" s="4" t="s">
        <v>28</v>
      </c>
      <c r="D57" s="3">
        <v>45717</v>
      </c>
      <c r="E57" s="11">
        <v>24</v>
      </c>
      <c r="F57" s="11">
        <v>18</v>
      </c>
      <c r="G57" t="str">
        <f t="shared" si="0"/>
        <v>75% of goods arrived</v>
      </c>
    </row>
    <row r="58" spans="1:7" x14ac:dyDescent="0.25">
      <c r="A58" s="4" t="s">
        <v>1197</v>
      </c>
      <c r="B58" s="4" t="s">
        <v>490</v>
      </c>
      <c r="C58" s="4" t="s">
        <v>28</v>
      </c>
      <c r="D58" s="3">
        <v>45717</v>
      </c>
      <c r="E58" s="11">
        <v>220</v>
      </c>
      <c r="F58" s="11">
        <v>214</v>
      </c>
      <c r="G58" t="str">
        <f t="shared" si="0"/>
        <v>97% of goods arrived</v>
      </c>
    </row>
    <row r="59" spans="1:7" x14ac:dyDescent="0.25">
      <c r="A59" s="4" t="s">
        <v>1198</v>
      </c>
      <c r="B59" s="4" t="s">
        <v>894</v>
      </c>
      <c r="C59" s="4" t="s">
        <v>336</v>
      </c>
      <c r="D59" s="3">
        <v>45720</v>
      </c>
      <c r="E59" s="11">
        <v>19</v>
      </c>
      <c r="F59" s="11">
        <v>18</v>
      </c>
      <c r="G59" t="str">
        <f t="shared" si="0"/>
        <v>95% of goods arrived</v>
      </c>
    </row>
    <row r="60" spans="1:7" x14ac:dyDescent="0.25">
      <c r="A60" s="4" t="s">
        <v>1199</v>
      </c>
      <c r="B60" s="4" t="s">
        <v>933</v>
      </c>
      <c r="C60" s="4" t="s">
        <v>336</v>
      </c>
      <c r="D60" s="3">
        <v>45720</v>
      </c>
      <c r="E60" s="11">
        <v>74</v>
      </c>
      <c r="F60" s="11">
        <v>71</v>
      </c>
      <c r="G60" t="str">
        <f t="shared" si="0"/>
        <v>96% of goods arrived</v>
      </c>
    </row>
    <row r="61" spans="1:7" x14ac:dyDescent="0.25">
      <c r="A61" s="4" t="s">
        <v>1200</v>
      </c>
      <c r="B61" s="4" t="s">
        <v>876</v>
      </c>
      <c r="C61" s="4" t="s">
        <v>336</v>
      </c>
      <c r="D61" s="3">
        <v>45720</v>
      </c>
      <c r="E61" s="11">
        <v>50</v>
      </c>
      <c r="F61" s="11">
        <v>40</v>
      </c>
      <c r="G61" t="str">
        <f t="shared" si="0"/>
        <v>80% of goods arrived</v>
      </c>
    </row>
    <row r="62" spans="1:7" x14ac:dyDescent="0.25">
      <c r="A62" s="4" t="s">
        <v>1201</v>
      </c>
      <c r="B62" s="4" t="s">
        <v>588</v>
      </c>
      <c r="C62" s="4" t="s">
        <v>346</v>
      </c>
      <c r="D62" s="3">
        <v>45714</v>
      </c>
      <c r="E62" s="11">
        <v>215</v>
      </c>
      <c r="F62" s="11">
        <v>192</v>
      </c>
      <c r="G62" t="str">
        <f t="shared" si="0"/>
        <v>89% of goods arrived</v>
      </c>
    </row>
    <row r="63" spans="1:7" x14ac:dyDescent="0.25">
      <c r="A63" s="4" t="s">
        <v>1202</v>
      </c>
      <c r="B63" s="4" t="s">
        <v>675</v>
      </c>
      <c r="C63" s="4" t="s">
        <v>346</v>
      </c>
      <c r="D63" s="3">
        <v>45714</v>
      </c>
      <c r="E63" s="11">
        <v>167</v>
      </c>
      <c r="F63" s="11">
        <v>0</v>
      </c>
      <c r="G63" t="str">
        <f t="shared" si="0"/>
        <v>0% of goods arrived</v>
      </c>
    </row>
    <row r="64" spans="1:7" x14ac:dyDescent="0.25">
      <c r="A64" s="4" t="s">
        <v>1203</v>
      </c>
      <c r="B64" s="4" t="s">
        <v>777</v>
      </c>
      <c r="C64" s="4" t="s">
        <v>346</v>
      </c>
      <c r="D64" s="3">
        <v>45714</v>
      </c>
      <c r="E64" s="11">
        <v>70</v>
      </c>
      <c r="F64" s="11">
        <v>0</v>
      </c>
      <c r="G64" t="str">
        <f t="shared" si="0"/>
        <v>0% of goods arrived</v>
      </c>
    </row>
    <row r="65" spans="1:7" x14ac:dyDescent="0.25">
      <c r="A65" s="4" t="s">
        <v>1204</v>
      </c>
      <c r="B65" s="4" t="s">
        <v>530</v>
      </c>
      <c r="C65" s="4" t="s">
        <v>342</v>
      </c>
      <c r="D65" s="3">
        <v>45712</v>
      </c>
      <c r="E65" s="11">
        <v>102</v>
      </c>
      <c r="F65" s="11">
        <v>86</v>
      </c>
      <c r="G65" t="str">
        <f t="shared" si="0"/>
        <v>84% of goods arrived</v>
      </c>
    </row>
    <row r="66" spans="1:7" x14ac:dyDescent="0.25">
      <c r="A66" s="4" t="s">
        <v>1205</v>
      </c>
      <c r="B66" s="4" t="s">
        <v>530</v>
      </c>
      <c r="C66" s="4" t="s">
        <v>342</v>
      </c>
      <c r="D66" s="3">
        <v>45712</v>
      </c>
      <c r="E66" s="11">
        <v>211</v>
      </c>
      <c r="F66" s="11">
        <v>0</v>
      </c>
      <c r="G66" t="str">
        <f t="shared" ref="G66:G129" si="1">IF(E66-F66 &lt;&gt; 0,
      TEXT(F66/E66,
       "0%") &amp; " of goods arrived",
      IF(E66=F66,
      "All goods arrived",
      "All goods missing"))</f>
        <v>0% of goods arrived</v>
      </c>
    </row>
    <row r="67" spans="1:7" x14ac:dyDescent="0.25">
      <c r="A67" s="4" t="s">
        <v>1206</v>
      </c>
      <c r="B67" s="4" t="s">
        <v>729</v>
      </c>
      <c r="C67" s="4" t="s">
        <v>342</v>
      </c>
      <c r="D67" s="3">
        <v>45712</v>
      </c>
      <c r="E67" s="11">
        <v>30</v>
      </c>
      <c r="F67" s="11">
        <v>0</v>
      </c>
      <c r="G67" t="str">
        <f t="shared" si="1"/>
        <v>0% of goods arrived</v>
      </c>
    </row>
    <row r="68" spans="1:7" x14ac:dyDescent="0.25">
      <c r="A68" s="4" t="s">
        <v>1207</v>
      </c>
      <c r="B68" s="4" t="s">
        <v>579</v>
      </c>
      <c r="C68" s="4" t="s">
        <v>330</v>
      </c>
      <c r="D68" s="3">
        <v>45729</v>
      </c>
      <c r="E68" s="11">
        <v>210</v>
      </c>
      <c r="F68" s="11">
        <v>204</v>
      </c>
      <c r="G68" t="str">
        <f t="shared" si="1"/>
        <v>97% of goods arrived</v>
      </c>
    </row>
    <row r="69" spans="1:7" x14ac:dyDescent="0.25">
      <c r="A69" s="4" t="s">
        <v>1208</v>
      </c>
      <c r="B69" s="4" t="s">
        <v>657</v>
      </c>
      <c r="C69" s="4" t="s">
        <v>330</v>
      </c>
      <c r="D69" s="3">
        <v>45729</v>
      </c>
      <c r="E69" s="11">
        <v>221</v>
      </c>
      <c r="F69" s="11">
        <v>181</v>
      </c>
      <c r="G69" t="str">
        <f t="shared" si="1"/>
        <v>82% of goods arrived</v>
      </c>
    </row>
    <row r="70" spans="1:7" x14ac:dyDescent="0.25">
      <c r="A70" s="4" t="s">
        <v>1209</v>
      </c>
      <c r="B70" s="4" t="s">
        <v>657</v>
      </c>
      <c r="C70" s="4" t="s">
        <v>330</v>
      </c>
      <c r="D70" s="3">
        <v>45729</v>
      </c>
      <c r="E70" s="11">
        <v>65</v>
      </c>
      <c r="F70" s="11">
        <v>0</v>
      </c>
      <c r="G70" t="str">
        <f t="shared" si="1"/>
        <v>0% of goods arrived</v>
      </c>
    </row>
    <row r="71" spans="1:7" x14ac:dyDescent="0.25">
      <c r="A71" s="4" t="s">
        <v>1210</v>
      </c>
      <c r="B71" s="4" t="s">
        <v>490</v>
      </c>
      <c r="C71" s="4" t="s">
        <v>352</v>
      </c>
      <c r="D71" s="3">
        <v>45728</v>
      </c>
      <c r="E71" s="11">
        <v>232</v>
      </c>
      <c r="F71" s="11">
        <v>176</v>
      </c>
      <c r="G71" t="str">
        <f t="shared" si="1"/>
        <v>76% of goods arrived</v>
      </c>
    </row>
    <row r="72" spans="1:7" x14ac:dyDescent="0.25">
      <c r="A72" s="4" t="s">
        <v>1211</v>
      </c>
      <c r="B72" s="4" t="s">
        <v>690</v>
      </c>
      <c r="C72" s="4" t="s">
        <v>352</v>
      </c>
      <c r="D72" s="3">
        <v>45728</v>
      </c>
      <c r="E72" s="11">
        <v>68</v>
      </c>
      <c r="F72" s="11">
        <v>0</v>
      </c>
      <c r="G72" t="str">
        <f t="shared" si="1"/>
        <v>0% of goods arrived</v>
      </c>
    </row>
    <row r="73" spans="1:7" x14ac:dyDescent="0.25">
      <c r="A73" s="4" t="s">
        <v>1212</v>
      </c>
      <c r="B73" s="4" t="s">
        <v>915</v>
      </c>
      <c r="C73" s="4" t="s">
        <v>202</v>
      </c>
      <c r="D73" s="3">
        <v>45723</v>
      </c>
      <c r="E73" s="11">
        <v>173</v>
      </c>
      <c r="F73" s="11">
        <v>0</v>
      </c>
      <c r="G73" t="str">
        <f t="shared" si="1"/>
        <v>0% of goods arrived</v>
      </c>
    </row>
    <row r="74" spans="1:7" x14ac:dyDescent="0.25">
      <c r="A74" s="4" t="s">
        <v>1213</v>
      </c>
      <c r="B74" s="4" t="s">
        <v>533</v>
      </c>
      <c r="C74" s="4" t="s">
        <v>202</v>
      </c>
      <c r="D74" s="3">
        <v>45723</v>
      </c>
      <c r="E74" s="11">
        <v>166</v>
      </c>
      <c r="F74" s="11">
        <v>148</v>
      </c>
      <c r="G74" t="str">
        <f t="shared" si="1"/>
        <v>89% of goods arrived</v>
      </c>
    </row>
    <row r="75" spans="1:7" x14ac:dyDescent="0.25">
      <c r="A75" s="4" t="s">
        <v>1214</v>
      </c>
      <c r="B75" s="4" t="s">
        <v>915</v>
      </c>
      <c r="C75" s="4" t="s">
        <v>202</v>
      </c>
      <c r="D75" s="3">
        <v>45723</v>
      </c>
      <c r="E75" s="11">
        <v>119</v>
      </c>
      <c r="F75" s="11">
        <v>99</v>
      </c>
      <c r="G75" t="str">
        <f t="shared" si="1"/>
        <v>83% of goods arrived</v>
      </c>
    </row>
    <row r="76" spans="1:7" x14ac:dyDescent="0.25">
      <c r="A76" s="4" t="s">
        <v>1215</v>
      </c>
      <c r="B76" s="4" t="s">
        <v>401</v>
      </c>
      <c r="C76" s="4" t="s">
        <v>59</v>
      </c>
      <c r="D76" s="3">
        <v>45730</v>
      </c>
      <c r="E76" s="11">
        <v>220</v>
      </c>
      <c r="F76" s="11">
        <v>181</v>
      </c>
      <c r="G76" t="str">
        <f t="shared" si="1"/>
        <v>82% of goods arrived</v>
      </c>
    </row>
    <row r="77" spans="1:7" x14ac:dyDescent="0.25">
      <c r="A77" s="4" t="s">
        <v>1216</v>
      </c>
      <c r="B77" s="4" t="s">
        <v>401</v>
      </c>
      <c r="C77" s="4" t="s">
        <v>59</v>
      </c>
      <c r="D77" s="3">
        <v>45730</v>
      </c>
      <c r="E77" s="11">
        <v>193</v>
      </c>
      <c r="F77" s="11">
        <v>161</v>
      </c>
      <c r="G77" t="str">
        <f t="shared" si="1"/>
        <v>83% of goods arrived</v>
      </c>
    </row>
    <row r="78" spans="1:7" x14ac:dyDescent="0.25">
      <c r="A78" s="4" t="s">
        <v>1217</v>
      </c>
      <c r="B78" s="4" t="s">
        <v>514</v>
      </c>
      <c r="C78" s="4" t="s">
        <v>344</v>
      </c>
      <c r="D78" s="3">
        <v>45673</v>
      </c>
      <c r="E78" s="11">
        <v>105</v>
      </c>
      <c r="F78" s="11">
        <v>94</v>
      </c>
      <c r="G78" t="str">
        <f t="shared" si="1"/>
        <v>90% of goods arrived</v>
      </c>
    </row>
    <row r="79" spans="1:7" x14ac:dyDescent="0.25">
      <c r="A79" s="4" t="s">
        <v>1218</v>
      </c>
      <c r="B79" s="4" t="s">
        <v>663</v>
      </c>
      <c r="C79" s="4" t="s">
        <v>344</v>
      </c>
      <c r="D79" s="3">
        <v>45673</v>
      </c>
      <c r="E79" s="11">
        <v>153</v>
      </c>
      <c r="F79" s="11">
        <v>117</v>
      </c>
      <c r="G79" t="str">
        <f t="shared" si="1"/>
        <v>76% of goods arrived</v>
      </c>
    </row>
    <row r="80" spans="1:7" x14ac:dyDescent="0.25">
      <c r="A80" s="4" t="s">
        <v>1219</v>
      </c>
      <c r="B80" s="4" t="s">
        <v>514</v>
      </c>
      <c r="C80" s="4" t="s">
        <v>344</v>
      </c>
      <c r="D80" s="3">
        <v>45673</v>
      </c>
      <c r="E80" s="11">
        <v>129</v>
      </c>
      <c r="F80" s="11">
        <v>97</v>
      </c>
      <c r="G80" t="str">
        <f t="shared" si="1"/>
        <v>75% of goods arrived</v>
      </c>
    </row>
    <row r="81" spans="1:7" x14ac:dyDescent="0.25">
      <c r="A81" s="4" t="s">
        <v>1220</v>
      </c>
      <c r="B81" s="4" t="s">
        <v>807</v>
      </c>
      <c r="C81" s="4" t="s">
        <v>184</v>
      </c>
      <c r="D81" s="3">
        <v>45707</v>
      </c>
      <c r="E81" s="11">
        <v>79</v>
      </c>
      <c r="F81" s="11">
        <v>69</v>
      </c>
      <c r="G81" t="str">
        <f t="shared" si="1"/>
        <v>87% of goods arrived</v>
      </c>
    </row>
    <row r="82" spans="1:7" x14ac:dyDescent="0.25">
      <c r="A82" s="4" t="s">
        <v>1221</v>
      </c>
      <c r="B82" s="4" t="s">
        <v>807</v>
      </c>
      <c r="C82" s="4" t="s">
        <v>184</v>
      </c>
      <c r="D82" s="3">
        <v>45707</v>
      </c>
      <c r="E82" s="11">
        <v>142</v>
      </c>
      <c r="F82" s="11">
        <v>133</v>
      </c>
      <c r="G82" t="str">
        <f t="shared" si="1"/>
        <v>94% of goods arrived</v>
      </c>
    </row>
    <row r="83" spans="1:7" x14ac:dyDescent="0.25">
      <c r="A83" s="4" t="s">
        <v>1222</v>
      </c>
      <c r="B83" s="4" t="s">
        <v>539</v>
      </c>
      <c r="C83" s="4" t="s">
        <v>184</v>
      </c>
      <c r="D83" s="3">
        <v>45707</v>
      </c>
      <c r="E83" s="11">
        <v>97</v>
      </c>
      <c r="F83" s="11">
        <v>87</v>
      </c>
      <c r="G83" t="str">
        <f t="shared" si="1"/>
        <v>90% of goods arrived</v>
      </c>
    </row>
    <row r="84" spans="1:7" x14ac:dyDescent="0.25">
      <c r="A84" s="4" t="s">
        <v>1223</v>
      </c>
      <c r="B84" s="4" t="s">
        <v>567</v>
      </c>
      <c r="C84" s="4" t="s">
        <v>268</v>
      </c>
      <c r="D84" s="3">
        <v>45700</v>
      </c>
      <c r="E84" s="11">
        <v>45</v>
      </c>
      <c r="F84" s="11">
        <v>0</v>
      </c>
      <c r="G84" t="str">
        <f t="shared" si="1"/>
        <v>0% of goods arrived</v>
      </c>
    </row>
    <row r="85" spans="1:7" x14ac:dyDescent="0.25">
      <c r="A85" s="4" t="s">
        <v>1224</v>
      </c>
      <c r="B85" s="4" t="s">
        <v>567</v>
      </c>
      <c r="C85" s="4" t="s">
        <v>268</v>
      </c>
      <c r="D85" s="3">
        <v>45700</v>
      </c>
      <c r="E85" s="11">
        <v>195</v>
      </c>
      <c r="F85" s="11">
        <v>194</v>
      </c>
      <c r="G85" t="str">
        <f t="shared" si="1"/>
        <v>99% of goods arrived</v>
      </c>
    </row>
    <row r="86" spans="1:7" x14ac:dyDescent="0.25">
      <c r="A86" s="4" t="s">
        <v>1225</v>
      </c>
      <c r="B86" s="4" t="s">
        <v>475</v>
      </c>
      <c r="C86" s="4" t="s">
        <v>235</v>
      </c>
      <c r="D86" s="3">
        <v>45723</v>
      </c>
      <c r="E86" s="11">
        <v>20</v>
      </c>
      <c r="F86" s="11">
        <v>0</v>
      </c>
      <c r="G86" t="str">
        <f t="shared" si="1"/>
        <v>0% of goods arrived</v>
      </c>
    </row>
    <row r="87" spans="1:7" x14ac:dyDescent="0.25">
      <c r="A87" s="4" t="s">
        <v>1226</v>
      </c>
      <c r="B87" s="4" t="s">
        <v>900</v>
      </c>
      <c r="C87" s="4" t="s">
        <v>235</v>
      </c>
      <c r="D87" s="3">
        <v>45723</v>
      </c>
      <c r="E87" s="11">
        <v>107</v>
      </c>
      <c r="F87" s="11">
        <v>86</v>
      </c>
      <c r="G87" t="str">
        <f t="shared" si="1"/>
        <v>80% of goods arrived</v>
      </c>
    </row>
    <row r="88" spans="1:7" x14ac:dyDescent="0.25">
      <c r="A88" s="4" t="s">
        <v>1227</v>
      </c>
      <c r="B88" s="4" t="s">
        <v>452</v>
      </c>
      <c r="C88" s="4" t="s">
        <v>235</v>
      </c>
      <c r="D88" s="3">
        <v>45723</v>
      </c>
      <c r="E88" s="11">
        <v>130</v>
      </c>
      <c r="F88" s="11">
        <v>101</v>
      </c>
      <c r="G88" t="str">
        <f t="shared" si="1"/>
        <v>78% of goods arrived</v>
      </c>
    </row>
    <row r="89" spans="1:7" x14ac:dyDescent="0.25">
      <c r="A89" s="4" t="s">
        <v>1228</v>
      </c>
      <c r="B89" s="4" t="s">
        <v>440</v>
      </c>
      <c r="C89" s="4" t="s">
        <v>49</v>
      </c>
      <c r="D89" s="3">
        <v>45723</v>
      </c>
      <c r="E89" s="11">
        <v>28</v>
      </c>
      <c r="F89" s="11">
        <v>22</v>
      </c>
      <c r="G89" t="str">
        <f t="shared" si="1"/>
        <v>79% of goods arrived</v>
      </c>
    </row>
    <row r="90" spans="1:7" x14ac:dyDescent="0.25">
      <c r="A90" s="4" t="s">
        <v>1229</v>
      </c>
      <c r="B90" s="4" t="s">
        <v>452</v>
      </c>
      <c r="C90" s="4" t="s">
        <v>49</v>
      </c>
      <c r="D90" s="3">
        <v>45723</v>
      </c>
      <c r="E90" s="11">
        <v>25</v>
      </c>
      <c r="F90" s="11">
        <v>23</v>
      </c>
      <c r="G90" t="str">
        <f t="shared" si="1"/>
        <v>92% of goods arrived</v>
      </c>
    </row>
    <row r="91" spans="1:7" x14ac:dyDescent="0.25">
      <c r="A91" s="4" t="s">
        <v>1230</v>
      </c>
      <c r="B91" s="4" t="s">
        <v>693</v>
      </c>
      <c r="C91" s="4" t="s">
        <v>309</v>
      </c>
      <c r="D91" s="3">
        <v>45713</v>
      </c>
      <c r="E91" s="11">
        <v>116</v>
      </c>
      <c r="F91" s="11">
        <v>98</v>
      </c>
      <c r="G91" t="str">
        <f t="shared" si="1"/>
        <v>84% of goods arrived</v>
      </c>
    </row>
    <row r="92" spans="1:7" x14ac:dyDescent="0.25">
      <c r="A92" s="4" t="s">
        <v>1231</v>
      </c>
      <c r="B92" s="4" t="s">
        <v>693</v>
      </c>
      <c r="C92" s="4" t="s">
        <v>309</v>
      </c>
      <c r="D92" s="3">
        <v>45713</v>
      </c>
      <c r="E92" s="11">
        <v>162</v>
      </c>
      <c r="F92" s="11">
        <v>153</v>
      </c>
      <c r="G92" t="str">
        <f t="shared" si="1"/>
        <v>94% of goods arrived</v>
      </c>
    </row>
    <row r="93" spans="1:7" x14ac:dyDescent="0.25">
      <c r="A93" s="4" t="s">
        <v>1232</v>
      </c>
      <c r="B93" s="4" t="s">
        <v>642</v>
      </c>
      <c r="C93" s="4" t="s">
        <v>309</v>
      </c>
      <c r="D93" s="3">
        <v>45713</v>
      </c>
      <c r="E93" s="11">
        <v>143</v>
      </c>
      <c r="F93" s="11">
        <v>135</v>
      </c>
      <c r="G93" t="str">
        <f t="shared" si="1"/>
        <v>94% of goods arrived</v>
      </c>
    </row>
    <row r="94" spans="1:7" x14ac:dyDescent="0.25">
      <c r="A94" s="4" t="s">
        <v>1233</v>
      </c>
      <c r="B94" s="4" t="s">
        <v>846</v>
      </c>
      <c r="C94" s="4" t="s">
        <v>155</v>
      </c>
      <c r="D94" s="3">
        <v>45726</v>
      </c>
      <c r="E94" s="11">
        <v>154</v>
      </c>
      <c r="F94" s="11">
        <v>138</v>
      </c>
      <c r="G94" t="str">
        <f t="shared" si="1"/>
        <v>90% of goods arrived</v>
      </c>
    </row>
    <row r="95" spans="1:7" x14ac:dyDescent="0.25">
      <c r="A95" s="4" t="s">
        <v>1234</v>
      </c>
      <c r="B95" s="4" t="s">
        <v>801</v>
      </c>
      <c r="C95" s="4" t="s">
        <v>155</v>
      </c>
      <c r="D95" s="3">
        <v>45726</v>
      </c>
      <c r="E95" s="11">
        <v>158</v>
      </c>
      <c r="F95" s="11">
        <v>0</v>
      </c>
      <c r="G95" t="str">
        <f t="shared" si="1"/>
        <v>0% of goods arrived</v>
      </c>
    </row>
    <row r="96" spans="1:7" x14ac:dyDescent="0.25">
      <c r="A96" s="4" t="s">
        <v>1235</v>
      </c>
      <c r="B96" s="4" t="s">
        <v>822</v>
      </c>
      <c r="C96" s="4" t="s">
        <v>155</v>
      </c>
      <c r="D96" s="3">
        <v>45726</v>
      </c>
      <c r="E96" s="11">
        <v>173</v>
      </c>
      <c r="F96" s="11">
        <v>152</v>
      </c>
      <c r="G96" t="str">
        <f t="shared" si="1"/>
        <v>88% of goods arrived</v>
      </c>
    </row>
    <row r="97" spans="1:7" x14ac:dyDescent="0.25">
      <c r="A97" s="4" t="s">
        <v>1236</v>
      </c>
      <c r="B97" s="4" t="s">
        <v>430</v>
      </c>
      <c r="C97" s="4" t="s">
        <v>312</v>
      </c>
      <c r="D97" s="3">
        <v>45726</v>
      </c>
      <c r="E97" s="11">
        <v>161</v>
      </c>
      <c r="F97" s="11">
        <v>128</v>
      </c>
      <c r="G97" t="str">
        <f t="shared" si="1"/>
        <v>80% of goods arrived</v>
      </c>
    </row>
    <row r="98" spans="1:7" x14ac:dyDescent="0.25">
      <c r="A98" s="4" t="s">
        <v>1237</v>
      </c>
      <c r="B98" s="4" t="s">
        <v>430</v>
      </c>
      <c r="C98" s="4" t="s">
        <v>312</v>
      </c>
      <c r="D98" s="3">
        <v>45726</v>
      </c>
      <c r="E98" s="11">
        <v>58</v>
      </c>
      <c r="F98" s="11">
        <v>50</v>
      </c>
      <c r="G98" t="str">
        <f t="shared" si="1"/>
        <v>86% of goods arrived</v>
      </c>
    </row>
    <row r="99" spans="1:7" x14ac:dyDescent="0.25">
      <c r="A99" s="4" t="s">
        <v>1238</v>
      </c>
      <c r="B99" s="4" t="s">
        <v>867</v>
      </c>
      <c r="C99" s="4" t="s">
        <v>303</v>
      </c>
      <c r="D99" s="3">
        <v>45740</v>
      </c>
      <c r="E99" s="11">
        <v>65</v>
      </c>
      <c r="F99" s="11">
        <v>52</v>
      </c>
      <c r="G99" t="str">
        <f t="shared" si="1"/>
        <v>80% of goods arrived</v>
      </c>
    </row>
    <row r="100" spans="1:7" x14ac:dyDescent="0.25">
      <c r="A100" s="4" t="s">
        <v>1239</v>
      </c>
      <c r="B100" s="4" t="s">
        <v>867</v>
      </c>
      <c r="C100" s="4" t="s">
        <v>303</v>
      </c>
      <c r="D100" s="3">
        <v>45740</v>
      </c>
      <c r="E100" s="11">
        <v>105</v>
      </c>
      <c r="F100" s="11">
        <v>0</v>
      </c>
      <c r="G100" t="str">
        <f t="shared" si="1"/>
        <v>0% of goods arrived</v>
      </c>
    </row>
    <row r="101" spans="1:7" x14ac:dyDescent="0.25">
      <c r="A101" s="4" t="s">
        <v>1240</v>
      </c>
      <c r="B101" s="4" t="s">
        <v>867</v>
      </c>
      <c r="C101" s="4" t="s">
        <v>303</v>
      </c>
      <c r="D101" s="3">
        <v>45740</v>
      </c>
      <c r="E101" s="11">
        <v>224</v>
      </c>
      <c r="F101" s="11">
        <v>211</v>
      </c>
      <c r="G101" t="str">
        <f t="shared" si="1"/>
        <v>94% of goods arrived</v>
      </c>
    </row>
    <row r="102" spans="1:7" x14ac:dyDescent="0.25">
      <c r="A102" s="4" t="s">
        <v>1241</v>
      </c>
      <c r="B102" s="4" t="s">
        <v>615</v>
      </c>
      <c r="C102" s="4" t="s">
        <v>56</v>
      </c>
      <c r="D102" s="3">
        <v>45713</v>
      </c>
      <c r="E102" s="11">
        <v>170</v>
      </c>
      <c r="F102" s="11">
        <v>136</v>
      </c>
      <c r="G102" t="str">
        <f t="shared" si="1"/>
        <v>80% of goods arrived</v>
      </c>
    </row>
    <row r="103" spans="1:7" x14ac:dyDescent="0.25">
      <c r="A103" s="4" t="s">
        <v>1242</v>
      </c>
      <c r="B103" s="4" t="s">
        <v>615</v>
      </c>
      <c r="C103" s="4" t="s">
        <v>56</v>
      </c>
      <c r="D103" s="3">
        <v>45713</v>
      </c>
      <c r="E103" s="11">
        <v>104</v>
      </c>
      <c r="F103" s="11">
        <v>102</v>
      </c>
      <c r="G103" t="str">
        <f t="shared" si="1"/>
        <v>98% of goods arrived</v>
      </c>
    </row>
    <row r="104" spans="1:7" x14ac:dyDescent="0.25">
      <c r="A104" s="4" t="s">
        <v>1243</v>
      </c>
      <c r="B104" s="4" t="s">
        <v>780</v>
      </c>
      <c r="C104" s="4" t="s">
        <v>300</v>
      </c>
      <c r="D104" s="3">
        <v>45711</v>
      </c>
      <c r="E104" s="11">
        <v>55</v>
      </c>
      <c r="F104" s="11">
        <v>54</v>
      </c>
      <c r="G104" t="str">
        <f t="shared" si="1"/>
        <v>98% of goods arrived</v>
      </c>
    </row>
    <row r="105" spans="1:7" x14ac:dyDescent="0.25">
      <c r="A105" s="4" t="s">
        <v>1244</v>
      </c>
      <c r="B105" s="4" t="s">
        <v>882</v>
      </c>
      <c r="C105" s="4" t="s">
        <v>300</v>
      </c>
      <c r="D105" s="3">
        <v>45711</v>
      </c>
      <c r="E105" s="11">
        <v>17</v>
      </c>
      <c r="F105" s="11">
        <v>15</v>
      </c>
      <c r="G105" t="str">
        <f t="shared" si="1"/>
        <v>88% of goods arrived</v>
      </c>
    </row>
    <row r="106" spans="1:7" x14ac:dyDescent="0.25">
      <c r="A106" s="4" t="s">
        <v>1245</v>
      </c>
      <c r="B106" s="4" t="s">
        <v>496</v>
      </c>
      <c r="C106" s="4" t="s">
        <v>300</v>
      </c>
      <c r="D106" s="3">
        <v>45711</v>
      </c>
      <c r="E106" s="11">
        <v>129</v>
      </c>
      <c r="F106" s="11">
        <v>108</v>
      </c>
      <c r="G106" t="str">
        <f t="shared" si="1"/>
        <v>84% of goods arrived</v>
      </c>
    </row>
    <row r="107" spans="1:7" x14ac:dyDescent="0.25">
      <c r="A107" s="4" t="s">
        <v>1246</v>
      </c>
      <c r="B107" s="4" t="s">
        <v>520</v>
      </c>
      <c r="C107" s="4" t="s">
        <v>244</v>
      </c>
      <c r="D107" s="3">
        <v>45664</v>
      </c>
      <c r="E107" s="11">
        <v>192</v>
      </c>
      <c r="F107" s="11">
        <v>178</v>
      </c>
      <c r="G107" t="str">
        <f t="shared" si="1"/>
        <v>93% of goods arrived</v>
      </c>
    </row>
    <row r="108" spans="1:7" x14ac:dyDescent="0.25">
      <c r="A108" s="4" t="s">
        <v>1247</v>
      </c>
      <c r="B108" s="4" t="s">
        <v>621</v>
      </c>
      <c r="C108" s="4" t="s">
        <v>244</v>
      </c>
      <c r="D108" s="3">
        <v>45664</v>
      </c>
      <c r="E108" s="11">
        <v>56</v>
      </c>
      <c r="F108" s="11">
        <v>0</v>
      </c>
      <c r="G108" t="str">
        <f t="shared" si="1"/>
        <v>0% of goods arrived</v>
      </c>
    </row>
    <row r="109" spans="1:7" x14ac:dyDescent="0.25">
      <c r="A109" s="4" t="s">
        <v>1249</v>
      </c>
      <c r="B109" s="4" t="s">
        <v>520</v>
      </c>
      <c r="C109" s="4" t="s">
        <v>244</v>
      </c>
      <c r="D109" s="3">
        <v>45664</v>
      </c>
      <c r="E109" s="11">
        <v>204</v>
      </c>
      <c r="F109" s="11">
        <v>177</v>
      </c>
      <c r="G109" t="str">
        <f t="shared" si="1"/>
        <v>87% of goods arrived</v>
      </c>
    </row>
    <row r="110" spans="1:7" x14ac:dyDescent="0.25">
      <c r="A110" s="4" t="s">
        <v>1250</v>
      </c>
      <c r="B110" s="4" t="s">
        <v>440</v>
      </c>
      <c r="C110" s="4" t="s">
        <v>131</v>
      </c>
      <c r="D110" s="3">
        <v>45700</v>
      </c>
      <c r="E110" s="11">
        <v>221</v>
      </c>
      <c r="F110" s="11">
        <v>187</v>
      </c>
      <c r="G110" t="str">
        <f t="shared" si="1"/>
        <v>85% of goods arrived</v>
      </c>
    </row>
    <row r="111" spans="1:7" x14ac:dyDescent="0.25">
      <c r="A111" s="4" t="s">
        <v>1251</v>
      </c>
      <c r="B111" s="4" t="s">
        <v>554</v>
      </c>
      <c r="C111" s="4" t="s">
        <v>131</v>
      </c>
      <c r="D111" s="3">
        <v>45700</v>
      </c>
      <c r="E111" s="11">
        <v>93</v>
      </c>
      <c r="F111" s="11">
        <v>87</v>
      </c>
      <c r="G111" t="str">
        <f t="shared" si="1"/>
        <v>94% of goods arrived</v>
      </c>
    </row>
    <row r="112" spans="1:7" x14ac:dyDescent="0.25">
      <c r="A112" s="4" t="s">
        <v>1252</v>
      </c>
      <c r="B112" s="4" t="s">
        <v>554</v>
      </c>
      <c r="C112" s="4" t="s">
        <v>131</v>
      </c>
      <c r="D112" s="3">
        <v>45700</v>
      </c>
      <c r="E112" s="11">
        <v>10</v>
      </c>
      <c r="F112" s="11">
        <v>9</v>
      </c>
      <c r="G112" t="str">
        <f t="shared" si="1"/>
        <v>90% of goods arrived</v>
      </c>
    </row>
    <row r="113" spans="1:7" x14ac:dyDescent="0.25">
      <c r="A113" s="4" t="s">
        <v>1253</v>
      </c>
      <c r="B113" s="4" t="s">
        <v>413</v>
      </c>
      <c r="C113" s="4" t="s">
        <v>288</v>
      </c>
      <c r="D113" s="3">
        <v>45731</v>
      </c>
      <c r="E113" s="11">
        <v>74</v>
      </c>
      <c r="F113" s="11">
        <v>67</v>
      </c>
      <c r="G113" t="str">
        <f t="shared" si="1"/>
        <v>91% of goods arrived</v>
      </c>
    </row>
    <row r="114" spans="1:7" x14ac:dyDescent="0.25">
      <c r="A114" s="4" t="s">
        <v>1254</v>
      </c>
      <c r="B114" s="4" t="s">
        <v>630</v>
      </c>
      <c r="C114" s="4" t="s">
        <v>288</v>
      </c>
      <c r="D114" s="3">
        <v>45731</v>
      </c>
      <c r="E114" s="11">
        <v>207</v>
      </c>
      <c r="F114" s="11">
        <v>0</v>
      </c>
      <c r="G114" t="str">
        <f t="shared" si="1"/>
        <v>0% of goods arrived</v>
      </c>
    </row>
    <row r="115" spans="1:7" x14ac:dyDescent="0.25">
      <c r="A115" s="4" t="s">
        <v>1255</v>
      </c>
      <c r="B115" s="4" t="s">
        <v>630</v>
      </c>
      <c r="C115" s="4" t="s">
        <v>288</v>
      </c>
      <c r="D115" s="3">
        <v>45731</v>
      </c>
      <c r="E115" s="11">
        <v>173</v>
      </c>
      <c r="F115" s="11">
        <v>136</v>
      </c>
      <c r="G115" t="str">
        <f t="shared" si="1"/>
        <v>79% of goods arrived</v>
      </c>
    </row>
    <row r="116" spans="1:7" x14ac:dyDescent="0.25">
      <c r="A116" s="4" t="s">
        <v>1256</v>
      </c>
      <c r="B116" s="4" t="s">
        <v>813</v>
      </c>
      <c r="C116" s="4" t="s">
        <v>232</v>
      </c>
      <c r="D116" s="3">
        <v>45726</v>
      </c>
      <c r="E116" s="11">
        <v>195</v>
      </c>
      <c r="F116" s="11">
        <v>163</v>
      </c>
      <c r="G116" t="str">
        <f t="shared" si="1"/>
        <v>84% of goods arrived</v>
      </c>
    </row>
    <row r="117" spans="1:7" x14ac:dyDescent="0.25">
      <c r="A117" s="4" t="s">
        <v>1257</v>
      </c>
      <c r="B117" s="4" t="s">
        <v>813</v>
      </c>
      <c r="C117" s="4" t="s">
        <v>232</v>
      </c>
      <c r="D117" s="3">
        <v>45726</v>
      </c>
      <c r="E117" s="11">
        <v>59</v>
      </c>
      <c r="F117" s="11">
        <v>46</v>
      </c>
      <c r="G117" t="str">
        <f t="shared" si="1"/>
        <v>78% of goods arrived</v>
      </c>
    </row>
    <row r="118" spans="1:7" x14ac:dyDescent="0.25">
      <c r="A118" s="4" t="s">
        <v>1259</v>
      </c>
      <c r="B118" s="4" t="s">
        <v>530</v>
      </c>
      <c r="C118" s="4" t="s">
        <v>342</v>
      </c>
      <c r="D118" s="3">
        <v>45732</v>
      </c>
      <c r="E118" s="11">
        <v>50</v>
      </c>
      <c r="F118" s="11">
        <v>42</v>
      </c>
      <c r="G118" t="str">
        <f t="shared" si="1"/>
        <v>84% of goods arrived</v>
      </c>
    </row>
    <row r="119" spans="1:7" x14ac:dyDescent="0.25">
      <c r="A119" s="4" t="s">
        <v>1260</v>
      </c>
      <c r="B119" s="4" t="s">
        <v>729</v>
      </c>
      <c r="C119" s="4" t="s">
        <v>342</v>
      </c>
      <c r="D119" s="3">
        <v>45732</v>
      </c>
      <c r="E119" s="11">
        <v>175</v>
      </c>
      <c r="F119" s="11">
        <v>169</v>
      </c>
      <c r="G119" t="str">
        <f t="shared" si="1"/>
        <v>97% of goods arrived</v>
      </c>
    </row>
    <row r="120" spans="1:7" x14ac:dyDescent="0.25">
      <c r="A120" s="4" t="s">
        <v>1261</v>
      </c>
      <c r="B120" s="4" t="s">
        <v>729</v>
      </c>
      <c r="C120" s="4" t="s">
        <v>342</v>
      </c>
      <c r="D120" s="3">
        <v>45732</v>
      </c>
      <c r="E120" s="11">
        <v>183</v>
      </c>
      <c r="F120" s="11">
        <v>144</v>
      </c>
      <c r="G120" t="str">
        <f t="shared" si="1"/>
        <v>79% of goods arrived</v>
      </c>
    </row>
    <row r="121" spans="1:7" x14ac:dyDescent="0.25">
      <c r="A121" s="4" t="s">
        <v>1262</v>
      </c>
      <c r="B121" s="4" t="s">
        <v>705</v>
      </c>
      <c r="C121" s="4" t="s">
        <v>122</v>
      </c>
      <c r="D121" s="3">
        <v>45677</v>
      </c>
      <c r="E121" s="11">
        <v>115</v>
      </c>
      <c r="F121" s="11">
        <v>92</v>
      </c>
      <c r="G121" t="str">
        <f t="shared" si="1"/>
        <v>80% of goods arrived</v>
      </c>
    </row>
    <row r="122" spans="1:7" x14ac:dyDescent="0.25">
      <c r="A122" s="4" t="s">
        <v>1263</v>
      </c>
      <c r="B122" s="4" t="s">
        <v>705</v>
      </c>
      <c r="C122" s="4" t="s">
        <v>122</v>
      </c>
      <c r="D122" s="3">
        <v>45677</v>
      </c>
      <c r="E122" s="11">
        <v>222</v>
      </c>
      <c r="F122" s="11">
        <v>209</v>
      </c>
      <c r="G122" t="str">
        <f t="shared" si="1"/>
        <v>94% of goods arrived</v>
      </c>
    </row>
    <row r="123" spans="1:7" x14ac:dyDescent="0.25">
      <c r="A123" s="4" t="s">
        <v>1264</v>
      </c>
      <c r="B123" s="4" t="s">
        <v>717</v>
      </c>
      <c r="C123" s="4" t="s">
        <v>122</v>
      </c>
      <c r="D123" s="3">
        <v>45677</v>
      </c>
      <c r="E123" s="11">
        <v>50</v>
      </c>
      <c r="F123" s="11">
        <v>44</v>
      </c>
      <c r="G123" t="str">
        <f t="shared" si="1"/>
        <v>88% of goods arrived</v>
      </c>
    </row>
    <row r="124" spans="1:7" x14ac:dyDescent="0.25">
      <c r="A124" s="4" t="s">
        <v>1265</v>
      </c>
      <c r="B124" s="4" t="s">
        <v>502</v>
      </c>
      <c r="C124" s="4" t="s">
        <v>232</v>
      </c>
      <c r="D124" s="3">
        <v>45705</v>
      </c>
      <c r="E124" s="11">
        <v>193</v>
      </c>
      <c r="F124" s="11">
        <v>0</v>
      </c>
      <c r="G124" t="str">
        <f t="shared" si="1"/>
        <v>0% of goods arrived</v>
      </c>
    </row>
    <row r="125" spans="1:7" x14ac:dyDescent="0.25">
      <c r="A125" s="4" t="s">
        <v>1266</v>
      </c>
      <c r="B125" s="4" t="s">
        <v>813</v>
      </c>
      <c r="C125" s="4" t="s">
        <v>232</v>
      </c>
      <c r="D125" s="3">
        <v>45705</v>
      </c>
      <c r="E125" s="11">
        <v>59</v>
      </c>
      <c r="F125" s="11">
        <v>58</v>
      </c>
      <c r="G125" t="str">
        <f t="shared" si="1"/>
        <v>98% of goods arrived</v>
      </c>
    </row>
    <row r="126" spans="1:7" x14ac:dyDescent="0.25">
      <c r="A126" s="4" t="s">
        <v>1267</v>
      </c>
      <c r="B126" s="4" t="s">
        <v>813</v>
      </c>
      <c r="C126" s="4" t="s">
        <v>232</v>
      </c>
      <c r="D126" s="3">
        <v>45705</v>
      </c>
      <c r="E126" s="11">
        <v>72</v>
      </c>
      <c r="F126" s="11">
        <v>58</v>
      </c>
      <c r="G126" t="str">
        <f t="shared" si="1"/>
        <v>81% of goods arrived</v>
      </c>
    </row>
    <row r="127" spans="1:7" x14ac:dyDescent="0.25">
      <c r="A127" s="4" t="s">
        <v>1268</v>
      </c>
      <c r="B127" s="4" t="s">
        <v>413</v>
      </c>
      <c r="C127" s="4" t="s">
        <v>288</v>
      </c>
      <c r="D127" s="3">
        <v>45705</v>
      </c>
      <c r="E127" s="11">
        <v>180</v>
      </c>
      <c r="F127" s="11">
        <v>0</v>
      </c>
      <c r="G127" t="str">
        <f t="shared" si="1"/>
        <v>0% of goods arrived</v>
      </c>
    </row>
    <row r="128" spans="1:7" x14ac:dyDescent="0.25">
      <c r="A128" s="4" t="s">
        <v>1269</v>
      </c>
      <c r="B128" s="4" t="s">
        <v>413</v>
      </c>
      <c r="C128" s="4" t="s">
        <v>288</v>
      </c>
      <c r="D128" s="3">
        <v>45705</v>
      </c>
      <c r="E128" s="11">
        <v>205</v>
      </c>
      <c r="F128" s="11">
        <v>154</v>
      </c>
      <c r="G128" t="str">
        <f t="shared" si="1"/>
        <v>75% of goods arrived</v>
      </c>
    </row>
    <row r="129" spans="1:7" x14ac:dyDescent="0.25">
      <c r="A129" s="4" t="s">
        <v>1270</v>
      </c>
      <c r="B129" s="4" t="s">
        <v>630</v>
      </c>
      <c r="C129" s="4" t="s">
        <v>288</v>
      </c>
      <c r="D129" s="3">
        <v>45705</v>
      </c>
      <c r="E129" s="11">
        <v>49</v>
      </c>
      <c r="F129" s="11">
        <v>44</v>
      </c>
      <c r="G129" t="str">
        <f t="shared" si="1"/>
        <v>90% of goods arrived</v>
      </c>
    </row>
    <row r="130" spans="1:7" x14ac:dyDescent="0.25">
      <c r="A130" s="4" t="s">
        <v>1271</v>
      </c>
      <c r="B130" s="4" t="s">
        <v>888</v>
      </c>
      <c r="C130" s="4" t="s">
        <v>208</v>
      </c>
      <c r="D130" s="3">
        <v>45718</v>
      </c>
      <c r="E130" s="11">
        <v>83</v>
      </c>
      <c r="F130" s="11">
        <v>66</v>
      </c>
      <c r="G130" t="str">
        <f t="shared" ref="G130:G193" si="2">IF(E130-F130 &lt;&gt; 0,
      TEXT(F130/E130,
       "0%") &amp; " of goods arrived",
      IF(E130=F130,
      "All goods arrived",
      "All goods missing"))</f>
        <v>80% of goods arrived</v>
      </c>
    </row>
    <row r="131" spans="1:7" x14ac:dyDescent="0.25">
      <c r="A131" s="4" t="s">
        <v>1272</v>
      </c>
      <c r="B131" s="4" t="s">
        <v>888</v>
      </c>
      <c r="C131" s="4" t="s">
        <v>208</v>
      </c>
      <c r="D131" s="3">
        <v>45718</v>
      </c>
      <c r="E131" s="11">
        <v>24</v>
      </c>
      <c r="F131" s="11">
        <v>24</v>
      </c>
      <c r="G131" t="str">
        <f t="shared" si="2"/>
        <v>All goods arrived</v>
      </c>
    </row>
    <row r="132" spans="1:7" x14ac:dyDescent="0.25">
      <c r="A132" s="4" t="s">
        <v>1273</v>
      </c>
      <c r="B132" s="4" t="s">
        <v>888</v>
      </c>
      <c r="C132" s="4" t="s">
        <v>208</v>
      </c>
      <c r="D132" s="3">
        <v>45718</v>
      </c>
      <c r="E132" s="11">
        <v>115</v>
      </c>
      <c r="F132" s="11">
        <v>115</v>
      </c>
      <c r="G132" t="str">
        <f t="shared" si="2"/>
        <v>All goods arrived</v>
      </c>
    </row>
    <row r="133" spans="1:7" x14ac:dyDescent="0.25">
      <c r="A133" s="4" t="s">
        <v>1274</v>
      </c>
      <c r="B133" s="4" t="s">
        <v>420</v>
      </c>
      <c r="C133" s="4" t="s">
        <v>155</v>
      </c>
      <c r="D133" s="3">
        <v>45678</v>
      </c>
      <c r="E133" s="11">
        <v>18</v>
      </c>
      <c r="F133" s="11">
        <v>0</v>
      </c>
      <c r="G133" t="str">
        <f t="shared" si="2"/>
        <v>0% of goods arrived</v>
      </c>
    </row>
    <row r="134" spans="1:7" x14ac:dyDescent="0.25">
      <c r="A134" s="4" t="s">
        <v>1275</v>
      </c>
      <c r="B134" s="4" t="s">
        <v>597</v>
      </c>
      <c r="C134" s="4" t="s">
        <v>155</v>
      </c>
      <c r="D134" s="3">
        <v>45678</v>
      </c>
      <c r="E134" s="11">
        <v>228</v>
      </c>
      <c r="F134" s="11">
        <v>0</v>
      </c>
      <c r="G134" t="str">
        <f t="shared" si="2"/>
        <v>0% of goods arrived</v>
      </c>
    </row>
    <row r="135" spans="1:7" x14ac:dyDescent="0.25">
      <c r="A135" s="4" t="s">
        <v>1276</v>
      </c>
      <c r="B135" s="4" t="s">
        <v>557</v>
      </c>
      <c r="C135" s="4" t="s">
        <v>62</v>
      </c>
      <c r="D135" s="3">
        <v>45699</v>
      </c>
      <c r="E135" s="11">
        <v>109</v>
      </c>
      <c r="F135" s="11">
        <v>89</v>
      </c>
      <c r="G135" t="str">
        <f t="shared" si="2"/>
        <v>82% of goods arrived</v>
      </c>
    </row>
    <row r="136" spans="1:7" x14ac:dyDescent="0.25">
      <c r="A136" s="4" t="s">
        <v>1277</v>
      </c>
      <c r="B136" s="4" t="s">
        <v>557</v>
      </c>
      <c r="C136" s="4" t="s">
        <v>62</v>
      </c>
      <c r="D136" s="3">
        <v>45699</v>
      </c>
      <c r="E136" s="11">
        <v>138</v>
      </c>
      <c r="F136" s="11">
        <v>117</v>
      </c>
      <c r="G136" t="str">
        <f t="shared" si="2"/>
        <v>85% of goods arrived</v>
      </c>
    </row>
    <row r="137" spans="1:7" x14ac:dyDescent="0.25">
      <c r="A137" s="4" t="s">
        <v>1278</v>
      </c>
      <c r="B137" s="4" t="s">
        <v>557</v>
      </c>
      <c r="C137" s="4" t="s">
        <v>62</v>
      </c>
      <c r="D137" s="3">
        <v>45699</v>
      </c>
      <c r="E137" s="11">
        <v>34</v>
      </c>
      <c r="F137" s="11">
        <v>0</v>
      </c>
      <c r="G137" t="str">
        <f t="shared" si="2"/>
        <v>0% of goods arrived</v>
      </c>
    </row>
    <row r="138" spans="1:7" x14ac:dyDescent="0.25">
      <c r="A138" s="4" t="s">
        <v>1279</v>
      </c>
      <c r="B138" s="4" t="s">
        <v>603</v>
      </c>
      <c r="C138" s="4" t="s">
        <v>161</v>
      </c>
      <c r="D138" s="3">
        <v>45730</v>
      </c>
      <c r="E138" s="11">
        <v>58</v>
      </c>
      <c r="F138" s="11">
        <v>46</v>
      </c>
      <c r="G138" t="str">
        <f t="shared" si="2"/>
        <v>79% of goods arrived</v>
      </c>
    </row>
    <row r="139" spans="1:7" x14ac:dyDescent="0.25">
      <c r="A139" s="4" t="s">
        <v>1280</v>
      </c>
      <c r="B139" s="4" t="s">
        <v>603</v>
      </c>
      <c r="C139" s="4" t="s">
        <v>161</v>
      </c>
      <c r="D139" s="3">
        <v>45730</v>
      </c>
      <c r="E139" s="11">
        <v>201</v>
      </c>
      <c r="F139" s="11">
        <v>181</v>
      </c>
      <c r="G139" t="str">
        <f t="shared" si="2"/>
        <v>90% of goods arrived</v>
      </c>
    </row>
    <row r="140" spans="1:7" x14ac:dyDescent="0.25">
      <c r="A140" s="4" t="s">
        <v>1281</v>
      </c>
      <c r="B140" s="4" t="s">
        <v>603</v>
      </c>
      <c r="C140" s="4" t="s">
        <v>161</v>
      </c>
      <c r="D140" s="3">
        <v>45730</v>
      </c>
      <c r="E140" s="11">
        <v>69</v>
      </c>
      <c r="F140" s="11">
        <v>64</v>
      </c>
      <c r="G140" t="str">
        <f t="shared" si="2"/>
        <v>93% of goods arrived</v>
      </c>
    </row>
    <row r="141" spans="1:7" x14ac:dyDescent="0.25">
      <c r="A141" s="4" t="s">
        <v>1282</v>
      </c>
      <c r="B141" s="4" t="s">
        <v>699</v>
      </c>
      <c r="C141" s="4" t="s">
        <v>90</v>
      </c>
      <c r="D141" s="3">
        <v>45676</v>
      </c>
      <c r="E141" s="11">
        <v>109</v>
      </c>
      <c r="F141" s="11">
        <v>0</v>
      </c>
      <c r="G141" t="str">
        <f t="shared" si="2"/>
        <v>0% of goods arrived</v>
      </c>
    </row>
    <row r="142" spans="1:7" x14ac:dyDescent="0.25">
      <c r="A142" s="4" t="s">
        <v>1283</v>
      </c>
      <c r="B142" s="4" t="s">
        <v>699</v>
      </c>
      <c r="C142" s="4" t="s">
        <v>90</v>
      </c>
      <c r="D142" s="3">
        <v>45676</v>
      </c>
      <c r="E142" s="11">
        <v>134</v>
      </c>
      <c r="F142" s="11">
        <v>104</v>
      </c>
      <c r="G142" t="str">
        <f t="shared" si="2"/>
        <v>78% of goods arrived</v>
      </c>
    </row>
    <row r="143" spans="1:7" x14ac:dyDescent="0.25">
      <c r="A143" s="4" t="s">
        <v>1284</v>
      </c>
      <c r="B143" s="4" t="s">
        <v>699</v>
      </c>
      <c r="C143" s="4" t="s">
        <v>90</v>
      </c>
      <c r="D143" s="3">
        <v>45676</v>
      </c>
      <c r="E143" s="11">
        <v>164</v>
      </c>
      <c r="F143" s="11">
        <v>129</v>
      </c>
      <c r="G143" t="str">
        <f t="shared" si="2"/>
        <v>79% of goods arrived</v>
      </c>
    </row>
    <row r="144" spans="1:7" x14ac:dyDescent="0.25">
      <c r="A144" s="4" t="s">
        <v>1285</v>
      </c>
      <c r="B144" s="4" t="s">
        <v>846</v>
      </c>
      <c r="C144" s="4" t="s">
        <v>285</v>
      </c>
      <c r="D144" s="3">
        <v>45731</v>
      </c>
      <c r="E144" s="11">
        <v>188</v>
      </c>
      <c r="F144" s="11">
        <v>163</v>
      </c>
      <c r="G144" t="str">
        <f t="shared" si="2"/>
        <v>87% of goods arrived</v>
      </c>
    </row>
    <row r="145" spans="1:7" x14ac:dyDescent="0.25">
      <c r="A145" s="4" t="s">
        <v>1286</v>
      </c>
      <c r="B145" s="4" t="s">
        <v>852</v>
      </c>
      <c r="C145" s="4" t="s">
        <v>285</v>
      </c>
      <c r="D145" s="3">
        <v>45731</v>
      </c>
      <c r="E145" s="11">
        <v>164</v>
      </c>
      <c r="F145" s="11">
        <v>154</v>
      </c>
      <c r="G145" t="str">
        <f t="shared" si="2"/>
        <v>94% of goods arrived</v>
      </c>
    </row>
    <row r="146" spans="1:7" x14ac:dyDescent="0.25">
      <c r="A146" s="4" t="s">
        <v>1287</v>
      </c>
      <c r="B146" s="4" t="s">
        <v>846</v>
      </c>
      <c r="C146" s="4" t="s">
        <v>285</v>
      </c>
      <c r="D146" s="3">
        <v>45731</v>
      </c>
      <c r="E146" s="11">
        <v>230</v>
      </c>
      <c r="F146" s="11">
        <v>195</v>
      </c>
      <c r="G146" t="str">
        <f t="shared" si="2"/>
        <v>85% of goods arrived</v>
      </c>
    </row>
    <row r="147" spans="1:7" x14ac:dyDescent="0.25">
      <c r="A147" s="4" t="s">
        <v>1288</v>
      </c>
      <c r="B147" s="4" t="s">
        <v>557</v>
      </c>
      <c r="C147" s="4" t="s">
        <v>62</v>
      </c>
      <c r="D147" s="3">
        <v>45690</v>
      </c>
      <c r="E147" s="11">
        <v>191</v>
      </c>
      <c r="F147" s="11">
        <v>147</v>
      </c>
      <c r="G147" t="str">
        <f t="shared" si="2"/>
        <v>77% of goods arrived</v>
      </c>
    </row>
    <row r="148" spans="1:7" x14ac:dyDescent="0.25">
      <c r="A148" s="4" t="s">
        <v>1289</v>
      </c>
      <c r="B148" s="4" t="s">
        <v>557</v>
      </c>
      <c r="C148" s="4" t="s">
        <v>62</v>
      </c>
      <c r="D148" s="3">
        <v>45690</v>
      </c>
      <c r="E148" s="11">
        <v>77</v>
      </c>
      <c r="F148" s="11">
        <v>0</v>
      </c>
      <c r="G148" t="str">
        <f t="shared" si="2"/>
        <v>0% of goods arrived</v>
      </c>
    </row>
    <row r="149" spans="1:7" x14ac:dyDescent="0.25">
      <c r="A149" s="4" t="s">
        <v>1290</v>
      </c>
      <c r="B149" s="4" t="s">
        <v>557</v>
      </c>
      <c r="C149" s="4" t="s">
        <v>62</v>
      </c>
      <c r="D149" s="3">
        <v>45690</v>
      </c>
      <c r="E149" s="11">
        <v>185</v>
      </c>
      <c r="F149" s="11">
        <v>155</v>
      </c>
      <c r="G149" t="str">
        <f t="shared" si="2"/>
        <v>84% of goods arrived</v>
      </c>
    </row>
    <row r="150" spans="1:7" x14ac:dyDescent="0.25">
      <c r="A150" s="4" t="s">
        <v>1291</v>
      </c>
      <c r="B150" s="4" t="s">
        <v>508</v>
      </c>
      <c r="C150" s="4" t="s">
        <v>271</v>
      </c>
      <c r="D150" s="3">
        <v>45668</v>
      </c>
      <c r="E150" s="11">
        <v>59</v>
      </c>
      <c r="F150" s="11">
        <v>55</v>
      </c>
      <c r="G150" t="str">
        <f t="shared" si="2"/>
        <v>93% of goods arrived</v>
      </c>
    </row>
    <row r="151" spans="1:7" x14ac:dyDescent="0.25">
      <c r="A151" s="4" t="s">
        <v>1292</v>
      </c>
      <c r="B151" s="4" t="s">
        <v>750</v>
      </c>
      <c r="C151" s="4" t="s">
        <v>271</v>
      </c>
      <c r="D151" s="3">
        <v>45668</v>
      </c>
      <c r="E151" s="11">
        <v>182</v>
      </c>
      <c r="F151" s="11">
        <v>0</v>
      </c>
      <c r="G151" t="str">
        <f t="shared" si="2"/>
        <v>0% of goods arrived</v>
      </c>
    </row>
    <row r="152" spans="1:7" x14ac:dyDescent="0.25">
      <c r="A152" s="4" t="s">
        <v>1293</v>
      </c>
      <c r="B152" s="4" t="s">
        <v>433</v>
      </c>
      <c r="C152" s="4" t="s">
        <v>271</v>
      </c>
      <c r="D152" s="3">
        <v>45668</v>
      </c>
      <c r="E152" s="11">
        <v>49</v>
      </c>
      <c r="F152" s="11">
        <v>42</v>
      </c>
      <c r="G152" t="str">
        <f t="shared" si="2"/>
        <v>86% of goods arrived</v>
      </c>
    </row>
    <row r="153" spans="1:7" x14ac:dyDescent="0.25">
      <c r="A153" s="4" t="s">
        <v>1294</v>
      </c>
      <c r="B153" s="4" t="s">
        <v>505</v>
      </c>
      <c r="C153" s="4" t="s">
        <v>211</v>
      </c>
      <c r="D153" s="3">
        <v>45665</v>
      </c>
      <c r="E153" s="11">
        <v>17</v>
      </c>
      <c r="F153" s="11">
        <v>15</v>
      </c>
      <c r="G153" t="str">
        <f t="shared" si="2"/>
        <v>88% of goods arrived</v>
      </c>
    </row>
    <row r="154" spans="1:7" x14ac:dyDescent="0.25">
      <c r="A154" s="4" t="s">
        <v>1295</v>
      </c>
      <c r="B154" s="4" t="s">
        <v>505</v>
      </c>
      <c r="C154" s="4" t="s">
        <v>211</v>
      </c>
      <c r="D154" s="3">
        <v>45665</v>
      </c>
      <c r="E154" s="11">
        <v>142</v>
      </c>
      <c r="F154" s="11">
        <v>139</v>
      </c>
      <c r="G154" t="str">
        <f t="shared" si="2"/>
        <v>98% of goods arrived</v>
      </c>
    </row>
    <row r="155" spans="1:7" x14ac:dyDescent="0.25">
      <c r="A155" s="4" t="s">
        <v>1296</v>
      </c>
      <c r="B155" s="4" t="s">
        <v>505</v>
      </c>
      <c r="C155" s="4" t="s">
        <v>211</v>
      </c>
      <c r="D155" s="3">
        <v>45665</v>
      </c>
      <c r="E155" s="11">
        <v>171</v>
      </c>
      <c r="F155" s="11">
        <v>131</v>
      </c>
      <c r="G155" t="str">
        <f t="shared" si="2"/>
        <v>77% of goods arrived</v>
      </c>
    </row>
    <row r="156" spans="1:7" x14ac:dyDescent="0.25">
      <c r="A156" s="4" t="s">
        <v>1297</v>
      </c>
      <c r="B156" s="4" t="s">
        <v>603</v>
      </c>
      <c r="C156" s="4" t="s">
        <v>161</v>
      </c>
      <c r="D156" s="3">
        <v>45710</v>
      </c>
      <c r="E156" s="11">
        <v>63</v>
      </c>
      <c r="F156" s="11">
        <v>59</v>
      </c>
      <c r="G156" t="str">
        <f t="shared" si="2"/>
        <v>94% of goods arrived</v>
      </c>
    </row>
    <row r="157" spans="1:7" x14ac:dyDescent="0.25">
      <c r="A157" s="4" t="s">
        <v>1298</v>
      </c>
      <c r="B157" s="4" t="s">
        <v>603</v>
      </c>
      <c r="C157" s="4" t="s">
        <v>161</v>
      </c>
      <c r="D157" s="3">
        <v>45710</v>
      </c>
      <c r="E157" s="11">
        <v>149</v>
      </c>
      <c r="F157" s="11">
        <v>117</v>
      </c>
      <c r="G157" t="str">
        <f t="shared" si="2"/>
        <v>79% of goods arrived</v>
      </c>
    </row>
    <row r="158" spans="1:7" x14ac:dyDescent="0.25">
      <c r="A158" s="4" t="s">
        <v>1299</v>
      </c>
      <c r="B158" s="4" t="s">
        <v>687</v>
      </c>
      <c r="C158" s="4" t="s">
        <v>164</v>
      </c>
      <c r="D158" s="3">
        <v>45715</v>
      </c>
      <c r="E158" s="11">
        <v>103</v>
      </c>
      <c r="F158" s="11">
        <v>81</v>
      </c>
      <c r="G158" t="str">
        <f t="shared" si="2"/>
        <v>79% of goods arrived</v>
      </c>
    </row>
    <row r="159" spans="1:7" x14ac:dyDescent="0.25">
      <c r="A159" s="4" t="s">
        <v>1300</v>
      </c>
      <c r="B159" s="4" t="s">
        <v>687</v>
      </c>
      <c r="C159" s="4" t="s">
        <v>164</v>
      </c>
      <c r="D159" s="3">
        <v>45715</v>
      </c>
      <c r="E159" s="11">
        <v>121</v>
      </c>
      <c r="F159" s="11">
        <v>109</v>
      </c>
      <c r="G159" t="str">
        <f t="shared" si="2"/>
        <v>90% of goods arrived</v>
      </c>
    </row>
    <row r="160" spans="1:7" x14ac:dyDescent="0.25">
      <c r="A160" s="4" t="s">
        <v>1301</v>
      </c>
      <c r="B160" s="4" t="s">
        <v>660</v>
      </c>
      <c r="C160" s="4" t="s">
        <v>164</v>
      </c>
      <c r="D160" s="3">
        <v>45715</v>
      </c>
      <c r="E160" s="11">
        <v>173</v>
      </c>
      <c r="F160" s="11">
        <v>142</v>
      </c>
      <c r="G160" t="str">
        <f t="shared" si="2"/>
        <v>82% of goods arrived</v>
      </c>
    </row>
    <row r="161" spans="1:7" x14ac:dyDescent="0.25">
      <c r="A161" s="4" t="s">
        <v>1302</v>
      </c>
      <c r="B161" s="4" t="s">
        <v>822</v>
      </c>
      <c r="C161" s="4" t="s">
        <v>324</v>
      </c>
      <c r="D161" s="3">
        <v>45677</v>
      </c>
      <c r="E161" s="11">
        <v>13</v>
      </c>
      <c r="F161" s="11">
        <v>0</v>
      </c>
      <c r="G161" t="str">
        <f t="shared" si="2"/>
        <v>0% of goods arrived</v>
      </c>
    </row>
    <row r="162" spans="1:7" x14ac:dyDescent="0.25">
      <c r="A162" s="4" t="s">
        <v>1303</v>
      </c>
      <c r="B162" s="4" t="s">
        <v>446</v>
      </c>
      <c r="C162" s="4" t="s">
        <v>324</v>
      </c>
      <c r="D162" s="3">
        <v>45677</v>
      </c>
      <c r="E162" s="11">
        <v>120</v>
      </c>
      <c r="F162" s="11">
        <v>92</v>
      </c>
      <c r="G162" t="str">
        <f t="shared" si="2"/>
        <v>77% of goods arrived</v>
      </c>
    </row>
    <row r="163" spans="1:7" x14ac:dyDescent="0.25">
      <c r="A163" s="4" t="s">
        <v>1304</v>
      </c>
      <c r="B163" s="4" t="s">
        <v>645</v>
      </c>
      <c r="C163" s="4" t="s">
        <v>324</v>
      </c>
      <c r="D163" s="3">
        <v>45677</v>
      </c>
      <c r="E163" s="11">
        <v>240</v>
      </c>
      <c r="F163" s="11">
        <v>209</v>
      </c>
      <c r="G163" t="str">
        <f t="shared" si="2"/>
        <v>87% of goods arrived</v>
      </c>
    </row>
    <row r="164" spans="1:7" x14ac:dyDescent="0.25">
      <c r="A164" s="4" t="s">
        <v>1305</v>
      </c>
      <c r="B164" s="4" t="s">
        <v>798</v>
      </c>
      <c r="C164" s="4" t="s">
        <v>344</v>
      </c>
      <c r="D164" s="3">
        <v>45663</v>
      </c>
      <c r="E164" s="11">
        <v>84</v>
      </c>
      <c r="F164" s="11">
        <v>66</v>
      </c>
      <c r="G164" t="str">
        <f t="shared" si="2"/>
        <v>79% of goods arrived</v>
      </c>
    </row>
    <row r="165" spans="1:7" x14ac:dyDescent="0.25">
      <c r="A165" s="4" t="s">
        <v>1306</v>
      </c>
      <c r="B165" s="4" t="s">
        <v>735</v>
      </c>
      <c r="C165" s="4" t="s">
        <v>344</v>
      </c>
      <c r="D165" s="3">
        <v>45663</v>
      </c>
      <c r="E165" s="11">
        <v>202</v>
      </c>
      <c r="F165" s="11">
        <v>158</v>
      </c>
      <c r="G165" t="str">
        <f t="shared" si="2"/>
        <v>78% of goods arrived</v>
      </c>
    </row>
    <row r="166" spans="1:7" x14ac:dyDescent="0.25">
      <c r="A166" s="4" t="s">
        <v>1307</v>
      </c>
      <c r="B166" s="4" t="s">
        <v>514</v>
      </c>
      <c r="C166" s="4" t="s">
        <v>344</v>
      </c>
      <c r="D166" s="3">
        <v>45663</v>
      </c>
      <c r="E166" s="11">
        <v>229</v>
      </c>
      <c r="F166" s="11">
        <v>0</v>
      </c>
      <c r="G166" t="str">
        <f t="shared" si="2"/>
        <v>0% of goods arrived</v>
      </c>
    </row>
    <row r="167" spans="1:7" x14ac:dyDescent="0.25">
      <c r="A167" s="4" t="s">
        <v>1308</v>
      </c>
      <c r="B167" s="4" t="s">
        <v>417</v>
      </c>
      <c r="C167" s="4" t="s">
        <v>294</v>
      </c>
      <c r="D167" s="3">
        <v>45682</v>
      </c>
      <c r="E167" s="11">
        <v>14</v>
      </c>
      <c r="F167" s="11">
        <v>0</v>
      </c>
      <c r="G167" t="str">
        <f t="shared" si="2"/>
        <v>0% of goods arrived</v>
      </c>
    </row>
    <row r="168" spans="1:7" x14ac:dyDescent="0.25">
      <c r="A168" s="4" t="s">
        <v>1309</v>
      </c>
      <c r="B168" s="4" t="s">
        <v>696</v>
      </c>
      <c r="C168" s="4" t="s">
        <v>294</v>
      </c>
      <c r="D168" s="3">
        <v>45682</v>
      </c>
      <c r="E168" s="11">
        <v>83</v>
      </c>
      <c r="F168" s="11">
        <v>81</v>
      </c>
      <c r="G168" t="str">
        <f t="shared" si="2"/>
        <v>98% of goods arrived</v>
      </c>
    </row>
    <row r="169" spans="1:7" x14ac:dyDescent="0.25">
      <c r="A169" s="4" t="s">
        <v>1310</v>
      </c>
      <c r="B169" s="4" t="s">
        <v>837</v>
      </c>
      <c r="C169" s="4" t="s">
        <v>294</v>
      </c>
      <c r="D169" s="3">
        <v>45682</v>
      </c>
      <c r="E169" s="11">
        <v>171</v>
      </c>
      <c r="F169" s="11">
        <v>0</v>
      </c>
      <c r="G169" t="str">
        <f t="shared" si="2"/>
        <v>0% of goods arrived</v>
      </c>
    </row>
    <row r="170" spans="1:7" x14ac:dyDescent="0.25">
      <c r="A170" s="4" t="s">
        <v>1311</v>
      </c>
      <c r="B170" s="4" t="s">
        <v>496</v>
      </c>
      <c r="C170" s="4" t="s">
        <v>125</v>
      </c>
      <c r="D170" s="3">
        <v>45732</v>
      </c>
      <c r="E170" s="11">
        <v>165</v>
      </c>
      <c r="F170" s="11">
        <v>129</v>
      </c>
      <c r="G170" t="str">
        <f t="shared" si="2"/>
        <v>78% of goods arrived</v>
      </c>
    </row>
    <row r="171" spans="1:7" x14ac:dyDescent="0.25">
      <c r="A171" s="4" t="s">
        <v>1312</v>
      </c>
      <c r="B171" s="4" t="s">
        <v>496</v>
      </c>
      <c r="C171" s="4" t="s">
        <v>125</v>
      </c>
      <c r="D171" s="3">
        <v>45732</v>
      </c>
      <c r="E171" s="11">
        <v>226</v>
      </c>
      <c r="F171" s="11">
        <v>222</v>
      </c>
      <c r="G171" t="str">
        <f t="shared" si="2"/>
        <v>98% of goods arrived</v>
      </c>
    </row>
    <row r="172" spans="1:7" x14ac:dyDescent="0.25">
      <c r="A172" s="4" t="s">
        <v>1313</v>
      </c>
      <c r="B172" s="4" t="s">
        <v>496</v>
      </c>
      <c r="C172" s="4" t="s">
        <v>125</v>
      </c>
      <c r="D172" s="3">
        <v>45732</v>
      </c>
      <c r="E172" s="11">
        <v>145</v>
      </c>
      <c r="F172" s="11">
        <v>0</v>
      </c>
      <c r="G172" t="str">
        <f t="shared" si="2"/>
        <v>0% of goods arrived</v>
      </c>
    </row>
    <row r="173" spans="1:7" x14ac:dyDescent="0.25">
      <c r="A173" s="4" t="s">
        <v>1314</v>
      </c>
      <c r="B173" s="4" t="s">
        <v>437</v>
      </c>
      <c r="C173" s="4" t="s">
        <v>65</v>
      </c>
      <c r="D173" s="3">
        <v>45683</v>
      </c>
      <c r="E173" s="11">
        <v>95</v>
      </c>
      <c r="F173" s="11">
        <v>0</v>
      </c>
      <c r="G173" t="str">
        <f t="shared" si="2"/>
        <v>0% of goods arrived</v>
      </c>
    </row>
    <row r="174" spans="1:7" x14ac:dyDescent="0.25">
      <c r="A174" s="4" t="s">
        <v>1315</v>
      </c>
      <c r="B174" s="4" t="s">
        <v>437</v>
      </c>
      <c r="C174" s="4" t="s">
        <v>65</v>
      </c>
      <c r="D174" s="3">
        <v>45683</v>
      </c>
      <c r="E174" s="11">
        <v>71</v>
      </c>
      <c r="F174" s="11">
        <v>59</v>
      </c>
      <c r="G174" t="str">
        <f t="shared" si="2"/>
        <v>83% of goods arrived</v>
      </c>
    </row>
    <row r="175" spans="1:7" x14ac:dyDescent="0.25">
      <c r="A175" s="4" t="s">
        <v>1316</v>
      </c>
      <c r="B175" s="4" t="s">
        <v>564</v>
      </c>
      <c r="C175" s="4" t="s">
        <v>65</v>
      </c>
      <c r="D175" s="3">
        <v>45683</v>
      </c>
      <c r="E175" s="11">
        <v>65</v>
      </c>
      <c r="F175" s="11">
        <v>61</v>
      </c>
      <c r="G175" t="str">
        <f t="shared" si="2"/>
        <v>94% of goods arrived</v>
      </c>
    </row>
    <row r="176" spans="1:7" x14ac:dyDescent="0.25">
      <c r="A176" s="4" t="s">
        <v>1317</v>
      </c>
      <c r="B176" s="4" t="s">
        <v>876</v>
      </c>
      <c r="C176" s="4" t="s">
        <v>17</v>
      </c>
      <c r="D176" s="3">
        <v>45678</v>
      </c>
      <c r="E176" s="11">
        <v>37</v>
      </c>
      <c r="F176" s="11">
        <v>31</v>
      </c>
      <c r="G176" t="str">
        <f t="shared" si="2"/>
        <v>84% of goods arrived</v>
      </c>
    </row>
    <row r="177" spans="1:7" x14ac:dyDescent="0.25">
      <c r="A177" s="4" t="s">
        <v>1318</v>
      </c>
      <c r="B177" s="4" t="s">
        <v>921</v>
      </c>
      <c r="C177" s="4" t="s">
        <v>17</v>
      </c>
      <c r="D177" s="3">
        <v>45678</v>
      </c>
      <c r="E177" s="11">
        <v>20</v>
      </c>
      <c r="F177" s="11">
        <v>15</v>
      </c>
      <c r="G177" t="str">
        <f t="shared" si="2"/>
        <v>75% of goods arrived</v>
      </c>
    </row>
    <row r="178" spans="1:7" x14ac:dyDescent="0.25">
      <c r="A178" s="4" t="s">
        <v>1319</v>
      </c>
      <c r="B178" s="4" t="s">
        <v>648</v>
      </c>
      <c r="C178" s="4" t="s">
        <v>17</v>
      </c>
      <c r="D178" s="3">
        <v>45678</v>
      </c>
      <c r="E178" s="11">
        <v>45</v>
      </c>
      <c r="F178" s="11">
        <v>35</v>
      </c>
      <c r="G178" t="str">
        <f t="shared" si="2"/>
        <v>78% of goods arrived</v>
      </c>
    </row>
    <row r="179" spans="1:7" x14ac:dyDescent="0.25">
      <c r="A179" s="4" t="s">
        <v>1320</v>
      </c>
      <c r="B179" s="4" t="s">
        <v>615</v>
      </c>
      <c r="C179" s="4" t="s">
        <v>56</v>
      </c>
      <c r="D179" s="3">
        <v>45677</v>
      </c>
      <c r="E179" s="11">
        <v>19</v>
      </c>
      <c r="F179" s="11">
        <v>18</v>
      </c>
      <c r="G179" t="str">
        <f t="shared" si="2"/>
        <v>95% of goods arrived</v>
      </c>
    </row>
    <row r="180" spans="1:7" x14ac:dyDescent="0.25">
      <c r="A180" s="4" t="s">
        <v>1321</v>
      </c>
      <c r="B180" s="4" t="s">
        <v>615</v>
      </c>
      <c r="C180" s="4" t="s">
        <v>56</v>
      </c>
      <c r="D180" s="3">
        <v>45677</v>
      </c>
      <c r="E180" s="11">
        <v>115</v>
      </c>
      <c r="F180" s="11">
        <v>0</v>
      </c>
      <c r="G180" t="str">
        <f t="shared" si="2"/>
        <v>0% of goods arrived</v>
      </c>
    </row>
    <row r="181" spans="1:7" x14ac:dyDescent="0.25">
      <c r="A181" s="4" t="s">
        <v>1322</v>
      </c>
      <c r="B181" s="4" t="s">
        <v>615</v>
      </c>
      <c r="C181" s="4" t="s">
        <v>56</v>
      </c>
      <c r="D181" s="3">
        <v>45677</v>
      </c>
      <c r="E181" s="11">
        <v>80</v>
      </c>
      <c r="F181" s="11">
        <v>68</v>
      </c>
      <c r="G181" t="str">
        <f t="shared" si="2"/>
        <v>85% of goods arrived</v>
      </c>
    </row>
    <row r="182" spans="1:7" x14ac:dyDescent="0.25">
      <c r="A182" s="4" t="s">
        <v>1323</v>
      </c>
      <c r="B182" s="4" t="s">
        <v>606</v>
      </c>
      <c r="C182" s="4" t="s">
        <v>349</v>
      </c>
      <c r="D182" s="3">
        <v>45738</v>
      </c>
      <c r="E182" s="11">
        <v>126</v>
      </c>
      <c r="F182" s="11">
        <v>126</v>
      </c>
      <c r="G182" t="str">
        <f t="shared" si="2"/>
        <v>All goods arrived</v>
      </c>
    </row>
    <row r="183" spans="1:7" x14ac:dyDescent="0.25">
      <c r="A183" s="4" t="s">
        <v>1324</v>
      </c>
      <c r="B183" s="4" t="s">
        <v>843</v>
      </c>
      <c r="C183" s="4" t="s">
        <v>349</v>
      </c>
      <c r="D183" s="3">
        <v>45738</v>
      </c>
      <c r="E183" s="11">
        <v>54</v>
      </c>
      <c r="F183" s="11">
        <v>48</v>
      </c>
      <c r="G183" t="str">
        <f t="shared" si="2"/>
        <v>89% of goods arrived</v>
      </c>
    </row>
    <row r="184" spans="1:7" x14ac:dyDescent="0.25">
      <c r="A184" s="4" t="s">
        <v>1325</v>
      </c>
      <c r="B184" s="4" t="s">
        <v>606</v>
      </c>
      <c r="C184" s="4" t="s">
        <v>349</v>
      </c>
      <c r="D184" s="3">
        <v>45738</v>
      </c>
      <c r="E184" s="11">
        <v>157</v>
      </c>
      <c r="F184" s="11">
        <v>121</v>
      </c>
      <c r="G184" t="str">
        <f t="shared" si="2"/>
        <v>77% of goods arrived</v>
      </c>
    </row>
    <row r="185" spans="1:7" x14ac:dyDescent="0.25">
      <c r="A185" s="4" t="s">
        <v>1326</v>
      </c>
      <c r="B185" s="4" t="s">
        <v>843</v>
      </c>
      <c r="C185" s="4" t="s">
        <v>349</v>
      </c>
      <c r="D185" s="3">
        <v>45720</v>
      </c>
      <c r="E185" s="11">
        <v>144</v>
      </c>
      <c r="F185" s="11">
        <v>124</v>
      </c>
      <c r="G185" t="str">
        <f t="shared" si="2"/>
        <v>86% of goods arrived</v>
      </c>
    </row>
    <row r="186" spans="1:7" x14ac:dyDescent="0.25">
      <c r="A186" s="4" t="s">
        <v>1327</v>
      </c>
      <c r="B186" s="4" t="s">
        <v>606</v>
      </c>
      <c r="C186" s="4" t="s">
        <v>349</v>
      </c>
      <c r="D186" s="3">
        <v>45720</v>
      </c>
      <c r="E186" s="11">
        <v>196</v>
      </c>
      <c r="F186" s="11">
        <v>182</v>
      </c>
      <c r="G186" t="str">
        <f t="shared" si="2"/>
        <v>93% of goods arrived</v>
      </c>
    </row>
    <row r="187" spans="1:7" x14ac:dyDescent="0.25">
      <c r="A187" s="4" t="s">
        <v>1328</v>
      </c>
      <c r="B187" s="4" t="s">
        <v>843</v>
      </c>
      <c r="C187" s="4" t="s">
        <v>349</v>
      </c>
      <c r="D187" s="3">
        <v>45720</v>
      </c>
      <c r="E187" s="11">
        <v>140</v>
      </c>
      <c r="F187" s="11">
        <v>106</v>
      </c>
      <c r="G187" t="str">
        <f t="shared" si="2"/>
        <v>76% of goods arrived</v>
      </c>
    </row>
    <row r="188" spans="1:7" x14ac:dyDescent="0.25">
      <c r="A188" s="4" t="s">
        <v>1329</v>
      </c>
      <c r="B188" s="4" t="s">
        <v>873</v>
      </c>
      <c r="C188" s="4" t="s">
        <v>68</v>
      </c>
      <c r="D188" s="3">
        <v>45738</v>
      </c>
      <c r="E188" s="11">
        <v>137</v>
      </c>
      <c r="F188" s="11">
        <v>0</v>
      </c>
      <c r="G188" t="str">
        <f t="shared" si="2"/>
        <v>0% of goods arrived</v>
      </c>
    </row>
    <row r="189" spans="1:7" x14ac:dyDescent="0.25">
      <c r="A189" s="4" t="s">
        <v>1330</v>
      </c>
      <c r="B189" s="4" t="s">
        <v>405</v>
      </c>
      <c r="C189" s="4" t="s">
        <v>68</v>
      </c>
      <c r="D189" s="3">
        <v>45738</v>
      </c>
      <c r="E189" s="11">
        <v>48</v>
      </c>
      <c r="F189" s="11">
        <v>47</v>
      </c>
      <c r="G189" t="str">
        <f t="shared" si="2"/>
        <v>98% of goods arrived</v>
      </c>
    </row>
    <row r="190" spans="1:7" x14ac:dyDescent="0.25">
      <c r="A190" s="4" t="s">
        <v>1331</v>
      </c>
      <c r="B190" s="4" t="s">
        <v>493</v>
      </c>
      <c r="C190" s="4" t="s">
        <v>68</v>
      </c>
      <c r="D190" s="3">
        <v>45738</v>
      </c>
      <c r="E190" s="11">
        <v>179</v>
      </c>
      <c r="F190" s="11">
        <v>138</v>
      </c>
      <c r="G190" t="str">
        <f t="shared" si="2"/>
        <v>77% of goods arrived</v>
      </c>
    </row>
    <row r="191" spans="1:7" x14ac:dyDescent="0.25">
      <c r="A191" s="4" t="s">
        <v>1332</v>
      </c>
      <c r="B191" s="4" t="s">
        <v>933</v>
      </c>
      <c r="C191" s="4" t="s">
        <v>306</v>
      </c>
      <c r="D191" s="3">
        <v>45684</v>
      </c>
      <c r="E191" s="11">
        <v>30</v>
      </c>
      <c r="F191" s="11">
        <v>0</v>
      </c>
      <c r="G191" t="str">
        <f t="shared" si="2"/>
        <v>0% of goods arrived</v>
      </c>
    </row>
    <row r="192" spans="1:7" x14ac:dyDescent="0.25">
      <c r="A192" s="4" t="s">
        <v>1333</v>
      </c>
      <c r="B192" s="4" t="s">
        <v>933</v>
      </c>
      <c r="C192" s="4" t="s">
        <v>306</v>
      </c>
      <c r="D192" s="3">
        <v>45684</v>
      </c>
      <c r="E192" s="11">
        <v>240</v>
      </c>
      <c r="F192" s="11">
        <v>208</v>
      </c>
      <c r="G192" t="str">
        <f t="shared" si="2"/>
        <v>87% of goods arrived</v>
      </c>
    </row>
    <row r="193" spans="1:7" x14ac:dyDescent="0.25">
      <c r="A193" s="4" t="s">
        <v>1334</v>
      </c>
      <c r="B193" s="4" t="s">
        <v>933</v>
      </c>
      <c r="C193" s="4" t="s">
        <v>306</v>
      </c>
      <c r="D193" s="3">
        <v>45684</v>
      </c>
      <c r="E193" s="11">
        <v>203</v>
      </c>
      <c r="F193" s="11">
        <v>153</v>
      </c>
      <c r="G193" t="str">
        <f t="shared" si="2"/>
        <v>75% of goods arrived</v>
      </c>
    </row>
    <row r="194" spans="1:7" x14ac:dyDescent="0.25">
      <c r="A194" s="4" t="s">
        <v>1335</v>
      </c>
      <c r="B194" s="4" t="s">
        <v>440</v>
      </c>
      <c r="C194" s="4" t="s">
        <v>28</v>
      </c>
      <c r="D194" s="3">
        <v>45699</v>
      </c>
      <c r="E194" s="11">
        <v>185</v>
      </c>
      <c r="F194" s="11">
        <v>144</v>
      </c>
      <c r="G194" t="str">
        <f t="shared" ref="G194:G257" si="3">IF(E194-F194 &lt;&gt; 0,
      TEXT(F194/E194,
       "0%") &amp; " of goods arrived",
      IF(E194=F194,
      "All goods arrived",
      "All goods missing"))</f>
        <v>78% of goods arrived</v>
      </c>
    </row>
    <row r="195" spans="1:7" x14ac:dyDescent="0.25">
      <c r="A195" s="4" t="s">
        <v>1336</v>
      </c>
      <c r="B195" s="4" t="s">
        <v>681</v>
      </c>
      <c r="C195" s="4" t="s">
        <v>28</v>
      </c>
      <c r="D195" s="3">
        <v>45699</v>
      </c>
      <c r="E195" s="11">
        <v>69</v>
      </c>
      <c r="F195" s="11">
        <v>0</v>
      </c>
      <c r="G195" t="str">
        <f t="shared" si="3"/>
        <v>0% of goods arrived</v>
      </c>
    </row>
    <row r="196" spans="1:7" x14ac:dyDescent="0.25">
      <c r="A196" s="4" t="s">
        <v>1337</v>
      </c>
      <c r="B196" s="4" t="s">
        <v>417</v>
      </c>
      <c r="C196" s="4" t="s">
        <v>28</v>
      </c>
      <c r="D196" s="3">
        <v>45699</v>
      </c>
      <c r="E196" s="11">
        <v>63</v>
      </c>
      <c r="F196" s="11">
        <v>0</v>
      </c>
      <c r="G196" t="str">
        <f t="shared" si="3"/>
        <v>0% of goods arrived</v>
      </c>
    </row>
    <row r="197" spans="1:7" x14ac:dyDescent="0.25">
      <c r="A197" s="4" t="s">
        <v>1338</v>
      </c>
      <c r="B197" s="4" t="s">
        <v>460</v>
      </c>
      <c r="C197" s="4" t="s">
        <v>274</v>
      </c>
      <c r="D197" s="3">
        <v>45729</v>
      </c>
      <c r="E197" s="11">
        <v>21</v>
      </c>
      <c r="F197" s="11">
        <v>0</v>
      </c>
      <c r="G197" t="str">
        <f t="shared" si="3"/>
        <v>0% of goods arrived</v>
      </c>
    </row>
    <row r="198" spans="1:7" x14ac:dyDescent="0.25">
      <c r="A198" s="4" t="s">
        <v>1339</v>
      </c>
      <c r="B198" s="4" t="s">
        <v>714</v>
      </c>
      <c r="C198" s="4" t="s">
        <v>274</v>
      </c>
      <c r="D198" s="3">
        <v>45729</v>
      </c>
      <c r="E198" s="11">
        <v>128</v>
      </c>
      <c r="F198" s="11">
        <v>0</v>
      </c>
      <c r="G198" t="str">
        <f t="shared" si="3"/>
        <v>0% of goods arrived</v>
      </c>
    </row>
    <row r="199" spans="1:7" x14ac:dyDescent="0.25">
      <c r="A199" s="4" t="s">
        <v>1340</v>
      </c>
      <c r="B199" s="4" t="s">
        <v>714</v>
      </c>
      <c r="C199" s="4" t="s">
        <v>274</v>
      </c>
      <c r="D199" s="3">
        <v>45729</v>
      </c>
      <c r="E199" s="11">
        <v>225</v>
      </c>
      <c r="F199" s="11">
        <v>0</v>
      </c>
      <c r="G199" t="str">
        <f t="shared" si="3"/>
        <v>0% of goods arrived</v>
      </c>
    </row>
    <row r="200" spans="1:7" x14ac:dyDescent="0.25">
      <c r="A200" s="4" t="s">
        <v>1341</v>
      </c>
      <c r="B200" s="4" t="s">
        <v>777</v>
      </c>
      <c r="C200" s="4" t="s">
        <v>346</v>
      </c>
      <c r="D200" s="3">
        <v>45737</v>
      </c>
      <c r="E200" s="11">
        <v>223</v>
      </c>
      <c r="F200" s="11">
        <v>167</v>
      </c>
      <c r="G200" t="str">
        <f t="shared" si="3"/>
        <v>75% of goods arrived</v>
      </c>
    </row>
    <row r="201" spans="1:7" x14ac:dyDescent="0.25">
      <c r="A201" s="4" t="s">
        <v>1342</v>
      </c>
      <c r="B201" s="4" t="s">
        <v>777</v>
      </c>
      <c r="C201" s="4" t="s">
        <v>346</v>
      </c>
      <c r="D201" s="3">
        <v>45737</v>
      </c>
      <c r="E201" s="11">
        <v>199</v>
      </c>
      <c r="F201" s="11">
        <v>170</v>
      </c>
      <c r="G201" t="str">
        <f t="shared" si="3"/>
        <v>85% of goods arrived</v>
      </c>
    </row>
    <row r="202" spans="1:7" x14ac:dyDescent="0.25">
      <c r="A202" s="4" t="s">
        <v>1343</v>
      </c>
      <c r="B202" s="4" t="s">
        <v>777</v>
      </c>
      <c r="C202" s="4" t="s">
        <v>346</v>
      </c>
      <c r="D202" s="3">
        <v>45737</v>
      </c>
      <c r="E202" s="11">
        <v>101</v>
      </c>
      <c r="F202" s="11">
        <v>98</v>
      </c>
      <c r="G202" t="str">
        <f t="shared" si="3"/>
        <v>97% of goods arrived</v>
      </c>
    </row>
    <row r="203" spans="1:7" x14ac:dyDescent="0.25">
      <c r="A203" s="4" t="s">
        <v>1344</v>
      </c>
      <c r="B203" s="4" t="s">
        <v>630</v>
      </c>
      <c r="C203" s="4" t="s">
        <v>336</v>
      </c>
      <c r="D203" s="3">
        <v>45711</v>
      </c>
      <c r="E203" s="11">
        <v>135</v>
      </c>
      <c r="F203" s="11">
        <v>133</v>
      </c>
      <c r="G203" t="str">
        <f t="shared" si="3"/>
        <v>99% of goods arrived</v>
      </c>
    </row>
    <row r="204" spans="1:7" x14ac:dyDescent="0.25">
      <c r="A204" s="4" t="s">
        <v>1345</v>
      </c>
      <c r="B204" s="4" t="s">
        <v>861</v>
      </c>
      <c r="C204" s="4" t="s">
        <v>336</v>
      </c>
      <c r="D204" s="3">
        <v>45711</v>
      </c>
      <c r="E204" s="11">
        <v>94</v>
      </c>
      <c r="F204" s="11">
        <v>0</v>
      </c>
      <c r="G204" t="str">
        <f t="shared" si="3"/>
        <v>0% of goods arrived</v>
      </c>
    </row>
    <row r="205" spans="1:7" x14ac:dyDescent="0.25">
      <c r="A205" s="4" t="s">
        <v>1346</v>
      </c>
      <c r="B205" s="4" t="s">
        <v>909</v>
      </c>
      <c r="C205" s="4" t="s">
        <v>336</v>
      </c>
      <c r="D205" s="3">
        <v>45711</v>
      </c>
      <c r="E205" s="11">
        <v>207</v>
      </c>
      <c r="F205" s="11">
        <v>174</v>
      </c>
      <c r="G205" t="str">
        <f t="shared" si="3"/>
        <v>84% of goods arrived</v>
      </c>
    </row>
    <row r="206" spans="1:7" x14ac:dyDescent="0.25">
      <c r="A206" s="4" t="s">
        <v>1347</v>
      </c>
      <c r="B206" s="4" t="s">
        <v>666</v>
      </c>
      <c r="C206" s="4" t="s">
        <v>382</v>
      </c>
      <c r="D206" s="3">
        <v>45709</v>
      </c>
      <c r="E206" s="11">
        <v>130</v>
      </c>
      <c r="F206" s="11">
        <v>0</v>
      </c>
      <c r="G206" t="str">
        <f t="shared" si="3"/>
        <v>0% of goods arrived</v>
      </c>
    </row>
    <row r="207" spans="1:7" x14ac:dyDescent="0.25">
      <c r="A207" s="4" t="s">
        <v>1348</v>
      </c>
      <c r="B207" s="4" t="s">
        <v>936</v>
      </c>
      <c r="C207" s="4" t="s">
        <v>382</v>
      </c>
      <c r="D207" s="3">
        <v>45709</v>
      </c>
      <c r="E207" s="11">
        <v>48</v>
      </c>
      <c r="F207" s="11">
        <v>0</v>
      </c>
      <c r="G207" t="str">
        <f t="shared" si="3"/>
        <v>0% of goods arrived</v>
      </c>
    </row>
    <row r="208" spans="1:7" x14ac:dyDescent="0.25">
      <c r="A208" s="4" t="s">
        <v>1349</v>
      </c>
      <c r="B208" s="4" t="s">
        <v>449</v>
      </c>
      <c r="C208" s="4" t="s">
        <v>137</v>
      </c>
      <c r="D208" s="3">
        <v>45746</v>
      </c>
      <c r="E208" s="11">
        <v>144</v>
      </c>
      <c r="F208" s="11">
        <v>111</v>
      </c>
      <c r="G208" t="str">
        <f t="shared" si="3"/>
        <v>77% of goods arrived</v>
      </c>
    </row>
    <row r="209" spans="1:7" x14ac:dyDescent="0.25">
      <c r="A209" s="4" t="s">
        <v>1350</v>
      </c>
      <c r="B209" s="4" t="s">
        <v>449</v>
      </c>
      <c r="C209" s="4" t="s">
        <v>137</v>
      </c>
      <c r="D209" s="3">
        <v>45746</v>
      </c>
      <c r="E209" s="11">
        <v>110</v>
      </c>
      <c r="F209" s="11">
        <v>109</v>
      </c>
      <c r="G209" t="str">
        <f t="shared" si="3"/>
        <v>99% of goods arrived</v>
      </c>
    </row>
    <row r="210" spans="1:7" x14ac:dyDescent="0.25">
      <c r="A210" s="4" t="s">
        <v>1351</v>
      </c>
      <c r="B210" s="4" t="s">
        <v>449</v>
      </c>
      <c r="C210" s="4" t="s">
        <v>137</v>
      </c>
      <c r="D210" s="3">
        <v>45746</v>
      </c>
      <c r="E210" s="11">
        <v>235</v>
      </c>
      <c r="F210" s="11">
        <v>0</v>
      </c>
      <c r="G210" t="str">
        <f t="shared" si="3"/>
        <v>0% of goods arrived</v>
      </c>
    </row>
    <row r="211" spans="1:7" x14ac:dyDescent="0.25">
      <c r="A211" s="4" t="s">
        <v>1352</v>
      </c>
      <c r="B211" s="4" t="s">
        <v>879</v>
      </c>
      <c r="C211" s="4" t="s">
        <v>83</v>
      </c>
      <c r="D211" s="3">
        <v>45724</v>
      </c>
      <c r="E211" s="11">
        <v>111</v>
      </c>
      <c r="F211" s="11">
        <v>0</v>
      </c>
      <c r="G211" t="str">
        <f t="shared" si="3"/>
        <v>0% of goods arrived</v>
      </c>
    </row>
    <row r="212" spans="1:7" x14ac:dyDescent="0.25">
      <c r="A212" s="4" t="s">
        <v>1353</v>
      </c>
      <c r="B212" s="4" t="s">
        <v>548</v>
      </c>
      <c r="C212" s="4" t="s">
        <v>83</v>
      </c>
      <c r="D212" s="3">
        <v>45724</v>
      </c>
      <c r="E212" s="11">
        <v>181</v>
      </c>
      <c r="F212" s="11">
        <v>0</v>
      </c>
      <c r="G212" t="str">
        <f t="shared" si="3"/>
        <v>0% of goods arrived</v>
      </c>
    </row>
    <row r="213" spans="1:7" x14ac:dyDescent="0.25">
      <c r="A213" s="4" t="s">
        <v>1354</v>
      </c>
      <c r="B213" s="4" t="s">
        <v>885</v>
      </c>
      <c r="C213" s="4" t="s">
        <v>83</v>
      </c>
      <c r="D213" s="3">
        <v>45724</v>
      </c>
      <c r="E213" s="11">
        <v>89</v>
      </c>
      <c r="F213" s="11">
        <v>79</v>
      </c>
      <c r="G213" t="str">
        <f t="shared" si="3"/>
        <v>89% of goods arrived</v>
      </c>
    </row>
    <row r="214" spans="1:7" x14ac:dyDescent="0.25">
      <c r="A214" s="4" t="s">
        <v>1355</v>
      </c>
      <c r="B214" s="4" t="s">
        <v>423</v>
      </c>
      <c r="C214" s="4" t="s">
        <v>199</v>
      </c>
      <c r="D214" s="3">
        <v>45664</v>
      </c>
      <c r="E214" s="11">
        <v>51</v>
      </c>
      <c r="F214" s="11">
        <v>0</v>
      </c>
      <c r="G214" t="str">
        <f t="shared" si="3"/>
        <v>0% of goods arrived</v>
      </c>
    </row>
    <row r="215" spans="1:7" x14ac:dyDescent="0.25">
      <c r="A215" s="4" t="s">
        <v>1356</v>
      </c>
      <c r="B215" s="4" t="s">
        <v>526</v>
      </c>
      <c r="C215" s="4" t="s">
        <v>199</v>
      </c>
      <c r="D215" s="3">
        <v>45664</v>
      </c>
      <c r="E215" s="11">
        <v>44</v>
      </c>
      <c r="F215" s="11">
        <v>40</v>
      </c>
      <c r="G215" t="str">
        <f t="shared" si="3"/>
        <v>91% of goods arrived</v>
      </c>
    </row>
    <row r="216" spans="1:7" x14ac:dyDescent="0.25">
      <c r="A216" s="4" t="s">
        <v>1357</v>
      </c>
      <c r="B216" s="4" t="s">
        <v>423</v>
      </c>
      <c r="C216" s="4" t="s">
        <v>199</v>
      </c>
      <c r="D216" s="3">
        <v>45664</v>
      </c>
      <c r="E216" s="11">
        <v>37</v>
      </c>
      <c r="F216" s="11">
        <v>35</v>
      </c>
      <c r="G216" t="str">
        <f t="shared" si="3"/>
        <v>95% of goods arrived</v>
      </c>
    </row>
    <row r="217" spans="1:7" x14ac:dyDescent="0.25">
      <c r="A217" s="4" t="s">
        <v>1358</v>
      </c>
      <c r="B217" s="4" t="s">
        <v>502</v>
      </c>
      <c r="C217" s="4" t="s">
        <v>376</v>
      </c>
      <c r="D217" s="3">
        <v>45680</v>
      </c>
      <c r="E217" s="11">
        <v>51</v>
      </c>
      <c r="F217" s="11">
        <v>45</v>
      </c>
      <c r="G217" t="str">
        <f t="shared" si="3"/>
        <v>88% of goods arrived</v>
      </c>
    </row>
    <row r="218" spans="1:7" x14ac:dyDescent="0.25">
      <c r="A218" s="4" t="s">
        <v>1359</v>
      </c>
      <c r="B218" s="4" t="s">
        <v>654</v>
      </c>
      <c r="C218" s="4" t="s">
        <v>376</v>
      </c>
      <c r="D218" s="3">
        <v>45680</v>
      </c>
      <c r="E218" s="11">
        <v>92</v>
      </c>
      <c r="F218" s="11">
        <v>0</v>
      </c>
      <c r="G218" t="str">
        <f t="shared" si="3"/>
        <v>0% of goods arrived</v>
      </c>
    </row>
    <row r="219" spans="1:7" x14ac:dyDescent="0.25">
      <c r="A219" s="4" t="s">
        <v>1360</v>
      </c>
      <c r="B219" s="4" t="s">
        <v>502</v>
      </c>
      <c r="C219" s="4" t="s">
        <v>376</v>
      </c>
      <c r="D219" s="3">
        <v>45680</v>
      </c>
      <c r="E219" s="11">
        <v>51</v>
      </c>
      <c r="F219" s="11">
        <v>39</v>
      </c>
      <c r="G219" t="str">
        <f t="shared" si="3"/>
        <v>76% of goods arrived</v>
      </c>
    </row>
    <row r="220" spans="1:7" x14ac:dyDescent="0.25">
      <c r="A220" s="4" t="s">
        <v>1361</v>
      </c>
      <c r="B220" s="4" t="s">
        <v>570</v>
      </c>
      <c r="C220" s="4" t="s">
        <v>33</v>
      </c>
      <c r="D220" s="3">
        <v>45684</v>
      </c>
      <c r="E220" s="11">
        <v>169</v>
      </c>
      <c r="F220" s="11">
        <v>135</v>
      </c>
      <c r="G220" t="str">
        <f t="shared" si="3"/>
        <v>80% of goods arrived</v>
      </c>
    </row>
    <row r="221" spans="1:7" x14ac:dyDescent="0.25">
      <c r="A221" s="4" t="s">
        <v>1362</v>
      </c>
      <c r="B221" s="4" t="s">
        <v>570</v>
      </c>
      <c r="C221" s="4" t="s">
        <v>33</v>
      </c>
      <c r="D221" s="3">
        <v>45684</v>
      </c>
      <c r="E221" s="11">
        <v>30</v>
      </c>
      <c r="F221" s="11">
        <v>25</v>
      </c>
      <c r="G221" t="str">
        <f t="shared" si="3"/>
        <v>83% of goods arrived</v>
      </c>
    </row>
    <row r="222" spans="1:7" x14ac:dyDescent="0.25">
      <c r="A222" s="4" t="s">
        <v>1363</v>
      </c>
      <c r="B222" s="4" t="s">
        <v>570</v>
      </c>
      <c r="C222" s="4" t="s">
        <v>33</v>
      </c>
      <c r="D222" s="3">
        <v>45684</v>
      </c>
      <c r="E222" s="11">
        <v>120</v>
      </c>
      <c r="F222" s="11">
        <v>116</v>
      </c>
      <c r="G222" t="str">
        <f t="shared" si="3"/>
        <v>97% of goods arrived</v>
      </c>
    </row>
    <row r="223" spans="1:7" x14ac:dyDescent="0.25">
      <c r="A223" s="4" t="s">
        <v>1364</v>
      </c>
      <c r="B223" s="4" t="s">
        <v>427</v>
      </c>
      <c r="C223" s="4" t="s">
        <v>93</v>
      </c>
      <c r="D223" s="3">
        <v>45729</v>
      </c>
      <c r="E223" s="11">
        <v>231</v>
      </c>
      <c r="F223" s="11">
        <v>220</v>
      </c>
      <c r="G223" t="str">
        <f t="shared" si="3"/>
        <v>95% of goods arrived</v>
      </c>
    </row>
    <row r="224" spans="1:7" x14ac:dyDescent="0.25">
      <c r="A224" s="4" t="s">
        <v>1365</v>
      </c>
      <c r="B224" s="4" t="s">
        <v>427</v>
      </c>
      <c r="C224" s="4" t="s">
        <v>93</v>
      </c>
      <c r="D224" s="3">
        <v>45729</v>
      </c>
      <c r="E224" s="11">
        <v>92</v>
      </c>
      <c r="F224" s="11">
        <v>0</v>
      </c>
      <c r="G224" t="str">
        <f t="shared" si="3"/>
        <v>0% of goods arrived</v>
      </c>
    </row>
    <row r="225" spans="1:7" x14ac:dyDescent="0.25">
      <c r="A225" s="4" t="s">
        <v>1366</v>
      </c>
      <c r="B225" s="4" t="s">
        <v>855</v>
      </c>
      <c r="C225" s="4" t="s">
        <v>93</v>
      </c>
      <c r="D225" s="3">
        <v>45729</v>
      </c>
      <c r="E225" s="11">
        <v>157</v>
      </c>
      <c r="F225" s="11">
        <v>143</v>
      </c>
      <c r="G225" t="str">
        <f t="shared" si="3"/>
        <v>91% of goods arrived</v>
      </c>
    </row>
    <row r="226" spans="1:7" x14ac:dyDescent="0.25">
      <c r="A226" s="4" t="s">
        <v>1367</v>
      </c>
      <c r="B226" s="4" t="s">
        <v>708</v>
      </c>
      <c r="C226" s="4" t="s">
        <v>99</v>
      </c>
      <c r="D226" s="3">
        <v>45687</v>
      </c>
      <c r="E226" s="11">
        <v>47</v>
      </c>
      <c r="F226" s="11">
        <v>0</v>
      </c>
      <c r="G226" t="str">
        <f t="shared" si="3"/>
        <v>0% of goods arrived</v>
      </c>
    </row>
    <row r="227" spans="1:7" x14ac:dyDescent="0.25">
      <c r="A227" s="4" t="s">
        <v>1368</v>
      </c>
      <c r="B227" s="4" t="s">
        <v>678</v>
      </c>
      <c r="C227" s="4" t="s">
        <v>99</v>
      </c>
      <c r="D227" s="3">
        <v>45687</v>
      </c>
      <c r="E227" s="11">
        <v>214</v>
      </c>
      <c r="F227" s="11">
        <v>214</v>
      </c>
      <c r="G227" t="str">
        <f t="shared" si="3"/>
        <v>All goods arrived</v>
      </c>
    </row>
    <row r="228" spans="1:7" x14ac:dyDescent="0.25">
      <c r="A228" s="4" t="s">
        <v>1369</v>
      </c>
      <c r="B228" s="4" t="s">
        <v>861</v>
      </c>
      <c r="C228" s="4" t="s">
        <v>99</v>
      </c>
      <c r="D228" s="3">
        <v>45687</v>
      </c>
      <c r="E228" s="11">
        <v>33</v>
      </c>
      <c r="F228" s="11">
        <v>30</v>
      </c>
      <c r="G228" t="str">
        <f t="shared" si="3"/>
        <v>91% of goods arrived</v>
      </c>
    </row>
    <row r="229" spans="1:7" x14ac:dyDescent="0.25">
      <c r="A229" s="4" t="s">
        <v>1370</v>
      </c>
      <c r="B229" s="4" t="s">
        <v>440</v>
      </c>
      <c r="C229" s="4" t="s">
        <v>131</v>
      </c>
      <c r="D229" s="3">
        <v>45664</v>
      </c>
      <c r="E229" s="11">
        <v>121</v>
      </c>
      <c r="F229" s="11">
        <v>98</v>
      </c>
      <c r="G229" t="str">
        <f t="shared" si="3"/>
        <v>81% of goods arrived</v>
      </c>
    </row>
    <row r="230" spans="1:7" x14ac:dyDescent="0.25">
      <c r="A230" s="4" t="s">
        <v>1371</v>
      </c>
      <c r="B230" s="4" t="s">
        <v>440</v>
      </c>
      <c r="C230" s="4" t="s">
        <v>131</v>
      </c>
      <c r="D230" s="3">
        <v>45664</v>
      </c>
      <c r="E230" s="11">
        <v>36</v>
      </c>
      <c r="F230" s="11">
        <v>29</v>
      </c>
      <c r="G230" t="str">
        <f t="shared" si="3"/>
        <v>81% of goods arrived</v>
      </c>
    </row>
    <row r="231" spans="1:7" x14ac:dyDescent="0.25">
      <c r="A231" s="4" t="s">
        <v>1372</v>
      </c>
      <c r="B231" s="4" t="s">
        <v>554</v>
      </c>
      <c r="C231" s="4" t="s">
        <v>131</v>
      </c>
      <c r="D231" s="3">
        <v>45664</v>
      </c>
      <c r="E231" s="11">
        <v>166</v>
      </c>
      <c r="F231" s="11">
        <v>129</v>
      </c>
      <c r="G231" t="str">
        <f t="shared" si="3"/>
        <v>78% of goods arrived</v>
      </c>
    </row>
    <row r="232" spans="1:7" x14ac:dyDescent="0.25">
      <c r="A232" s="4" t="s">
        <v>1373</v>
      </c>
      <c r="B232" s="4" t="s">
        <v>600</v>
      </c>
      <c r="C232" s="4" t="s">
        <v>327</v>
      </c>
      <c r="D232" s="3">
        <v>45668</v>
      </c>
      <c r="E232" s="11">
        <v>90</v>
      </c>
      <c r="F232" s="11">
        <v>89</v>
      </c>
      <c r="G232" t="str">
        <f t="shared" si="3"/>
        <v>99% of goods arrived</v>
      </c>
    </row>
    <row r="233" spans="1:7" x14ac:dyDescent="0.25">
      <c r="A233" s="4" t="s">
        <v>1374</v>
      </c>
      <c r="B233" s="4" t="s">
        <v>612</v>
      </c>
      <c r="C233" s="4" t="s">
        <v>327</v>
      </c>
      <c r="D233" s="3">
        <v>45668</v>
      </c>
      <c r="E233" s="11">
        <v>69</v>
      </c>
      <c r="F233" s="11">
        <v>0</v>
      </c>
      <c r="G233" t="str">
        <f t="shared" si="3"/>
        <v>0% of goods arrived</v>
      </c>
    </row>
    <row r="234" spans="1:7" x14ac:dyDescent="0.25">
      <c r="A234" s="4" t="s">
        <v>1375</v>
      </c>
      <c r="B234" s="4" t="s">
        <v>505</v>
      </c>
      <c r="C234" s="4" t="s">
        <v>327</v>
      </c>
      <c r="D234" s="3">
        <v>45668</v>
      </c>
      <c r="E234" s="11">
        <v>201</v>
      </c>
      <c r="F234" s="11">
        <v>189</v>
      </c>
      <c r="G234" t="str">
        <f t="shared" si="3"/>
        <v>94% of goods arrived</v>
      </c>
    </row>
    <row r="235" spans="1:7" x14ac:dyDescent="0.25">
      <c r="A235" s="4" t="s">
        <v>1376</v>
      </c>
      <c r="B235" s="4" t="s">
        <v>466</v>
      </c>
      <c r="C235" s="4" t="s">
        <v>226</v>
      </c>
      <c r="D235" s="3">
        <v>45692</v>
      </c>
      <c r="E235" s="11">
        <v>53</v>
      </c>
      <c r="F235" s="11">
        <v>51</v>
      </c>
      <c r="G235" t="str">
        <f t="shared" si="3"/>
        <v>96% of goods arrived</v>
      </c>
    </row>
    <row r="236" spans="1:7" x14ac:dyDescent="0.25">
      <c r="A236" s="4" t="s">
        <v>1377</v>
      </c>
      <c r="B236" s="4" t="s">
        <v>466</v>
      </c>
      <c r="C236" s="4" t="s">
        <v>226</v>
      </c>
      <c r="D236" s="3">
        <v>45692</v>
      </c>
      <c r="E236" s="11">
        <v>209</v>
      </c>
      <c r="F236" s="11">
        <v>180</v>
      </c>
      <c r="G236" t="str">
        <f t="shared" si="3"/>
        <v>86% of goods arrived</v>
      </c>
    </row>
    <row r="237" spans="1:7" x14ac:dyDescent="0.25">
      <c r="A237" s="4" t="s">
        <v>1378</v>
      </c>
      <c r="B237" s="4" t="s">
        <v>466</v>
      </c>
      <c r="C237" s="4" t="s">
        <v>226</v>
      </c>
      <c r="D237" s="3">
        <v>45692</v>
      </c>
      <c r="E237" s="11">
        <v>95</v>
      </c>
      <c r="F237" s="11">
        <v>78</v>
      </c>
      <c r="G237" t="str">
        <f t="shared" si="3"/>
        <v>82% of goods arrived</v>
      </c>
    </row>
    <row r="238" spans="1:7" x14ac:dyDescent="0.25">
      <c r="A238" s="4" t="s">
        <v>1379</v>
      </c>
      <c r="B238" s="4" t="s">
        <v>915</v>
      </c>
      <c r="C238" s="4" t="s">
        <v>202</v>
      </c>
      <c r="D238" s="3">
        <v>45702</v>
      </c>
      <c r="E238" s="11">
        <v>86</v>
      </c>
      <c r="F238" s="11">
        <v>82</v>
      </c>
      <c r="G238" t="str">
        <f t="shared" si="3"/>
        <v>95% of goods arrived</v>
      </c>
    </row>
    <row r="239" spans="1:7" x14ac:dyDescent="0.25">
      <c r="A239" s="4" t="s">
        <v>1380</v>
      </c>
      <c r="B239" s="4" t="s">
        <v>915</v>
      </c>
      <c r="C239" s="4" t="s">
        <v>202</v>
      </c>
      <c r="D239" s="3">
        <v>45702</v>
      </c>
      <c r="E239" s="11">
        <v>191</v>
      </c>
      <c r="F239" s="11">
        <v>184</v>
      </c>
      <c r="G239" t="str">
        <f t="shared" si="3"/>
        <v>96% of goods arrived</v>
      </c>
    </row>
    <row r="240" spans="1:7" x14ac:dyDescent="0.25">
      <c r="A240" s="4" t="s">
        <v>1381</v>
      </c>
      <c r="B240" s="4" t="s">
        <v>915</v>
      </c>
      <c r="C240" s="4" t="s">
        <v>202</v>
      </c>
      <c r="D240" s="3">
        <v>45702</v>
      </c>
      <c r="E240" s="11">
        <v>122</v>
      </c>
      <c r="F240" s="11">
        <v>98</v>
      </c>
      <c r="G240" t="str">
        <f t="shared" si="3"/>
        <v>80% of goods arrived</v>
      </c>
    </row>
    <row r="241" spans="1:7" x14ac:dyDescent="0.25">
      <c r="A241" s="4" t="s">
        <v>1382</v>
      </c>
      <c r="B241" s="4" t="s">
        <v>449</v>
      </c>
      <c r="C241" s="4" t="s">
        <v>137</v>
      </c>
      <c r="D241" s="3">
        <v>45745</v>
      </c>
      <c r="E241" s="11">
        <v>192</v>
      </c>
      <c r="F241" s="11">
        <v>145</v>
      </c>
      <c r="G241" t="str">
        <f t="shared" si="3"/>
        <v>76% of goods arrived</v>
      </c>
    </row>
    <row r="242" spans="1:7" x14ac:dyDescent="0.25">
      <c r="A242" s="4" t="s">
        <v>1383</v>
      </c>
      <c r="B242" s="4" t="s">
        <v>449</v>
      </c>
      <c r="C242" s="4" t="s">
        <v>137</v>
      </c>
      <c r="D242" s="3">
        <v>45745</v>
      </c>
      <c r="E242" s="11">
        <v>57</v>
      </c>
      <c r="F242" s="11">
        <v>54</v>
      </c>
      <c r="G242" t="str">
        <f t="shared" si="3"/>
        <v>95% of goods arrived</v>
      </c>
    </row>
    <row r="243" spans="1:7" x14ac:dyDescent="0.25">
      <c r="A243" s="4" t="s">
        <v>1384</v>
      </c>
      <c r="B243" s="4" t="s">
        <v>855</v>
      </c>
      <c r="C243" s="4" t="s">
        <v>93</v>
      </c>
      <c r="D243" s="3">
        <v>45704</v>
      </c>
      <c r="E243" s="11">
        <v>185</v>
      </c>
      <c r="F243" s="11">
        <v>0</v>
      </c>
      <c r="G243" t="str">
        <f t="shared" si="3"/>
        <v>0% of goods arrived</v>
      </c>
    </row>
    <row r="244" spans="1:7" x14ac:dyDescent="0.25">
      <c r="A244" s="4" t="s">
        <v>1385</v>
      </c>
      <c r="B244" s="4" t="s">
        <v>427</v>
      </c>
      <c r="C244" s="4" t="s">
        <v>93</v>
      </c>
      <c r="D244" s="3">
        <v>45704</v>
      </c>
      <c r="E244" s="11">
        <v>237</v>
      </c>
      <c r="F244" s="11">
        <v>181</v>
      </c>
      <c r="G244" t="str">
        <f t="shared" si="3"/>
        <v>76% of goods arrived</v>
      </c>
    </row>
    <row r="245" spans="1:7" x14ac:dyDescent="0.25">
      <c r="A245" s="4" t="s">
        <v>1386</v>
      </c>
      <c r="B245" s="4" t="s">
        <v>855</v>
      </c>
      <c r="C245" s="4" t="s">
        <v>93</v>
      </c>
      <c r="D245" s="3">
        <v>45704</v>
      </c>
      <c r="E245" s="11">
        <v>169</v>
      </c>
      <c r="F245" s="11">
        <v>161</v>
      </c>
      <c r="G245" t="str">
        <f t="shared" si="3"/>
        <v>95% of goods arrived</v>
      </c>
    </row>
    <row r="246" spans="1:7" x14ac:dyDescent="0.25">
      <c r="A246" s="4" t="s">
        <v>1387</v>
      </c>
      <c r="B246" s="4" t="s">
        <v>870</v>
      </c>
      <c r="C246" s="4" t="s">
        <v>321</v>
      </c>
      <c r="D246" s="3">
        <v>45735</v>
      </c>
      <c r="E246" s="11">
        <v>234</v>
      </c>
      <c r="F246" s="11">
        <v>0</v>
      </c>
      <c r="G246" t="str">
        <f t="shared" si="3"/>
        <v>0% of goods arrived</v>
      </c>
    </row>
    <row r="247" spans="1:7" x14ac:dyDescent="0.25">
      <c r="A247" s="4" t="s">
        <v>1388</v>
      </c>
      <c r="B247" s="4" t="s">
        <v>551</v>
      </c>
      <c r="C247" s="4" t="s">
        <v>321</v>
      </c>
      <c r="D247" s="3">
        <v>45735</v>
      </c>
      <c r="E247" s="11">
        <v>188</v>
      </c>
      <c r="F247" s="11">
        <v>147</v>
      </c>
      <c r="G247" t="str">
        <f t="shared" si="3"/>
        <v>78% of goods arrived</v>
      </c>
    </row>
    <row r="248" spans="1:7" x14ac:dyDescent="0.25">
      <c r="A248" s="4" t="s">
        <v>1389</v>
      </c>
      <c r="B248" s="4" t="s">
        <v>420</v>
      </c>
      <c r="C248" s="4" t="s">
        <v>276</v>
      </c>
      <c r="D248" s="3">
        <v>45704</v>
      </c>
      <c r="E248" s="11">
        <v>17</v>
      </c>
      <c r="F248" s="11">
        <v>14</v>
      </c>
      <c r="G248" t="str">
        <f t="shared" si="3"/>
        <v>82% of goods arrived</v>
      </c>
    </row>
    <row r="249" spans="1:7" x14ac:dyDescent="0.25">
      <c r="A249" s="4" t="s">
        <v>1390</v>
      </c>
      <c r="B249" s="4" t="s">
        <v>627</v>
      </c>
      <c r="C249" s="4" t="s">
        <v>276</v>
      </c>
      <c r="D249" s="3">
        <v>45704</v>
      </c>
      <c r="E249" s="11">
        <v>71</v>
      </c>
      <c r="F249" s="11">
        <v>56</v>
      </c>
      <c r="G249" t="str">
        <f t="shared" si="3"/>
        <v>79% of goods arrived</v>
      </c>
    </row>
    <row r="250" spans="1:7" x14ac:dyDescent="0.25">
      <c r="A250" s="4" t="s">
        <v>1391</v>
      </c>
      <c r="B250" s="4" t="s">
        <v>720</v>
      </c>
      <c r="C250" s="4" t="s">
        <v>276</v>
      </c>
      <c r="D250" s="3">
        <v>45704</v>
      </c>
      <c r="E250" s="11">
        <v>180</v>
      </c>
      <c r="F250" s="11">
        <v>157</v>
      </c>
      <c r="G250" t="str">
        <f t="shared" si="3"/>
        <v>87% of goods arrived</v>
      </c>
    </row>
    <row r="251" spans="1:7" x14ac:dyDescent="0.25">
      <c r="A251" s="4" t="s">
        <v>1392</v>
      </c>
      <c r="B251" s="4" t="s">
        <v>942</v>
      </c>
      <c r="C251" s="4" t="s">
        <v>279</v>
      </c>
      <c r="D251" s="3">
        <v>45714</v>
      </c>
      <c r="E251" s="11">
        <v>144</v>
      </c>
      <c r="F251" s="11">
        <v>122</v>
      </c>
      <c r="G251" t="str">
        <f t="shared" si="3"/>
        <v>85% of goods arrived</v>
      </c>
    </row>
    <row r="252" spans="1:7" x14ac:dyDescent="0.25">
      <c r="A252" s="4" t="s">
        <v>1393</v>
      </c>
      <c r="B252" s="4" t="s">
        <v>612</v>
      </c>
      <c r="C252" s="4" t="s">
        <v>279</v>
      </c>
      <c r="D252" s="3">
        <v>45714</v>
      </c>
      <c r="E252" s="11">
        <v>163</v>
      </c>
      <c r="F252" s="11">
        <v>160</v>
      </c>
      <c r="G252" t="str">
        <f t="shared" si="3"/>
        <v>98% of goods arrived</v>
      </c>
    </row>
    <row r="253" spans="1:7" x14ac:dyDescent="0.25">
      <c r="A253" s="4" t="s">
        <v>1394</v>
      </c>
      <c r="B253" s="4" t="s">
        <v>672</v>
      </c>
      <c r="C253" s="4" t="s">
        <v>279</v>
      </c>
      <c r="D253" s="3">
        <v>45714</v>
      </c>
      <c r="E253" s="11">
        <v>231</v>
      </c>
      <c r="F253" s="11">
        <v>0</v>
      </c>
      <c r="G253" t="str">
        <f t="shared" si="3"/>
        <v>0% of goods arrived</v>
      </c>
    </row>
    <row r="254" spans="1:7" x14ac:dyDescent="0.25">
      <c r="A254" s="4" t="s">
        <v>1395</v>
      </c>
      <c r="B254" s="4" t="s">
        <v>768</v>
      </c>
      <c r="C254" s="4" t="s">
        <v>253</v>
      </c>
      <c r="D254" s="3">
        <v>45699</v>
      </c>
      <c r="E254" s="11">
        <v>236</v>
      </c>
      <c r="F254" s="11">
        <v>211</v>
      </c>
      <c r="G254" t="str">
        <f t="shared" si="3"/>
        <v>89% of goods arrived</v>
      </c>
    </row>
    <row r="255" spans="1:7" x14ac:dyDescent="0.25">
      <c r="A255" s="4" t="s">
        <v>1396</v>
      </c>
      <c r="B255" s="4" t="s">
        <v>511</v>
      </c>
      <c r="C255" s="4" t="s">
        <v>253</v>
      </c>
      <c r="D255" s="3">
        <v>45699</v>
      </c>
      <c r="E255" s="11">
        <v>208</v>
      </c>
      <c r="F255" s="11">
        <v>198</v>
      </c>
      <c r="G255" t="str">
        <f t="shared" si="3"/>
        <v>95% of goods arrived</v>
      </c>
    </row>
    <row r="256" spans="1:7" x14ac:dyDescent="0.25">
      <c r="A256" s="4" t="s">
        <v>1397</v>
      </c>
      <c r="B256" s="4" t="s">
        <v>768</v>
      </c>
      <c r="C256" s="4" t="s">
        <v>253</v>
      </c>
      <c r="D256" s="3">
        <v>45699</v>
      </c>
      <c r="E256" s="11">
        <v>49</v>
      </c>
      <c r="F256" s="11">
        <v>38</v>
      </c>
      <c r="G256" t="str">
        <f t="shared" si="3"/>
        <v>78% of goods arrived</v>
      </c>
    </row>
    <row r="257" spans="1:7" x14ac:dyDescent="0.25">
      <c r="A257" s="4" t="s">
        <v>1398</v>
      </c>
      <c r="B257" s="4" t="s">
        <v>502</v>
      </c>
      <c r="C257" s="4" t="s">
        <v>376</v>
      </c>
      <c r="D257" s="3">
        <v>45747</v>
      </c>
      <c r="E257" s="11">
        <v>174</v>
      </c>
      <c r="F257" s="11">
        <v>169</v>
      </c>
      <c r="G257" t="str">
        <f t="shared" si="3"/>
        <v>97% of goods arrived</v>
      </c>
    </row>
    <row r="258" spans="1:7" x14ac:dyDescent="0.25">
      <c r="A258" s="4" t="s">
        <v>1399</v>
      </c>
      <c r="B258" s="4" t="s">
        <v>472</v>
      </c>
      <c r="C258" s="4" t="s">
        <v>376</v>
      </c>
      <c r="D258" s="3">
        <v>45747</v>
      </c>
      <c r="E258" s="11">
        <v>229</v>
      </c>
      <c r="F258" s="11">
        <v>201</v>
      </c>
      <c r="G258" t="str">
        <f t="shared" ref="G258:G321" si="4">IF(E258-F258 &lt;&gt; 0,
      TEXT(F258/E258,
       "0%") &amp; " of goods arrived",
      IF(E258=F258,
      "All goods arrived",
      "All goods missing"))</f>
        <v>88% of goods arrived</v>
      </c>
    </row>
    <row r="259" spans="1:7" x14ac:dyDescent="0.25">
      <c r="A259" s="4" t="s">
        <v>1400</v>
      </c>
      <c r="B259" s="4" t="s">
        <v>597</v>
      </c>
      <c r="C259" s="4" t="s">
        <v>109</v>
      </c>
      <c r="D259" s="3">
        <v>45698</v>
      </c>
      <c r="E259" s="11">
        <v>68</v>
      </c>
      <c r="F259" s="11">
        <v>54</v>
      </c>
      <c r="G259" t="str">
        <f t="shared" si="4"/>
        <v>79% of goods arrived</v>
      </c>
    </row>
    <row r="260" spans="1:7" x14ac:dyDescent="0.25">
      <c r="A260" s="4" t="s">
        <v>1401</v>
      </c>
      <c r="B260" s="4" t="s">
        <v>609</v>
      </c>
      <c r="C260" s="4" t="s">
        <v>109</v>
      </c>
      <c r="D260" s="3">
        <v>45698</v>
      </c>
      <c r="E260" s="11">
        <v>221</v>
      </c>
      <c r="F260" s="11">
        <v>209</v>
      </c>
      <c r="G260" t="str">
        <f t="shared" si="4"/>
        <v>95% of goods arrived</v>
      </c>
    </row>
    <row r="261" spans="1:7" x14ac:dyDescent="0.25">
      <c r="A261" s="4" t="s">
        <v>1402</v>
      </c>
      <c r="B261" s="4" t="s">
        <v>443</v>
      </c>
      <c r="C261" s="4" t="s">
        <v>109</v>
      </c>
      <c r="D261" s="3">
        <v>45698</v>
      </c>
      <c r="E261" s="11">
        <v>223</v>
      </c>
      <c r="F261" s="11">
        <v>178</v>
      </c>
      <c r="G261" t="str">
        <f t="shared" si="4"/>
        <v>80% of goods arrived</v>
      </c>
    </row>
    <row r="262" spans="1:7" x14ac:dyDescent="0.25">
      <c r="A262" s="4" t="s">
        <v>1403</v>
      </c>
      <c r="B262" s="4" t="s">
        <v>484</v>
      </c>
      <c r="C262" s="4" t="s">
        <v>10</v>
      </c>
      <c r="D262" s="3">
        <v>45742</v>
      </c>
      <c r="E262" s="11">
        <v>221</v>
      </c>
      <c r="F262" s="11">
        <v>0</v>
      </c>
      <c r="G262" t="str">
        <f t="shared" si="4"/>
        <v>0% of goods arrived</v>
      </c>
    </row>
    <row r="263" spans="1:7" x14ac:dyDescent="0.25">
      <c r="A263" s="4" t="s">
        <v>1404</v>
      </c>
      <c r="B263" s="4" t="s">
        <v>484</v>
      </c>
      <c r="C263" s="4" t="s">
        <v>10</v>
      </c>
      <c r="D263" s="3">
        <v>45742</v>
      </c>
      <c r="E263" s="11">
        <v>72</v>
      </c>
      <c r="F263" s="11">
        <v>55</v>
      </c>
      <c r="G263" t="str">
        <f t="shared" si="4"/>
        <v>76% of goods arrived</v>
      </c>
    </row>
    <row r="264" spans="1:7" x14ac:dyDescent="0.25">
      <c r="A264" s="4" t="s">
        <v>1405</v>
      </c>
      <c r="B264" s="4" t="s">
        <v>484</v>
      </c>
      <c r="C264" s="4" t="s">
        <v>10</v>
      </c>
      <c r="D264" s="3">
        <v>45742</v>
      </c>
      <c r="E264" s="11">
        <v>180</v>
      </c>
      <c r="F264" s="11">
        <v>145</v>
      </c>
      <c r="G264" t="str">
        <f t="shared" si="4"/>
        <v>81% of goods arrived</v>
      </c>
    </row>
    <row r="265" spans="1:7" x14ac:dyDescent="0.25">
      <c r="A265" s="4" t="s">
        <v>1406</v>
      </c>
      <c r="B265" s="4" t="s">
        <v>460</v>
      </c>
      <c r="C265" s="4" t="s">
        <v>274</v>
      </c>
      <c r="D265" s="3">
        <v>45684</v>
      </c>
      <c r="E265" s="11">
        <v>220</v>
      </c>
      <c r="F265" s="11">
        <v>0</v>
      </c>
      <c r="G265" t="str">
        <f t="shared" si="4"/>
        <v>0% of goods arrived</v>
      </c>
    </row>
    <row r="266" spans="1:7" x14ac:dyDescent="0.25">
      <c r="A266" s="4" t="s">
        <v>1407</v>
      </c>
      <c r="B266" s="4" t="s">
        <v>460</v>
      </c>
      <c r="C266" s="4" t="s">
        <v>274</v>
      </c>
      <c r="D266" s="3">
        <v>45684</v>
      </c>
      <c r="E266" s="11">
        <v>67</v>
      </c>
      <c r="F266" s="11">
        <v>51</v>
      </c>
      <c r="G266" t="str">
        <f t="shared" si="4"/>
        <v>76% of goods arrived</v>
      </c>
    </row>
    <row r="267" spans="1:7" x14ac:dyDescent="0.25">
      <c r="A267" s="4" t="s">
        <v>1408</v>
      </c>
      <c r="B267" s="4" t="s">
        <v>460</v>
      </c>
      <c r="C267" s="4" t="s">
        <v>274</v>
      </c>
      <c r="D267" s="3">
        <v>45684</v>
      </c>
      <c r="E267" s="11">
        <v>44</v>
      </c>
      <c r="F267" s="11">
        <v>0</v>
      </c>
      <c r="G267" t="str">
        <f t="shared" si="4"/>
        <v>0% of goods arrived</v>
      </c>
    </row>
    <row r="268" spans="1:7" x14ac:dyDescent="0.25">
      <c r="A268" s="4" t="s">
        <v>1409</v>
      </c>
      <c r="B268" s="4" t="s">
        <v>517</v>
      </c>
      <c r="C268" s="4" t="s">
        <v>146</v>
      </c>
      <c r="D268" s="3">
        <v>45734</v>
      </c>
      <c r="E268" s="11">
        <v>58</v>
      </c>
      <c r="F268" s="11">
        <v>47</v>
      </c>
      <c r="G268" t="str">
        <f t="shared" si="4"/>
        <v>81% of goods arrived</v>
      </c>
    </row>
    <row r="269" spans="1:7" x14ac:dyDescent="0.25">
      <c r="A269" s="4" t="s">
        <v>1410</v>
      </c>
      <c r="B269" s="4" t="s">
        <v>517</v>
      </c>
      <c r="C269" s="4" t="s">
        <v>146</v>
      </c>
      <c r="D269" s="3">
        <v>45734</v>
      </c>
      <c r="E269" s="11">
        <v>206</v>
      </c>
      <c r="F269" s="11">
        <v>194</v>
      </c>
      <c r="G269" t="str">
        <f t="shared" si="4"/>
        <v>94% of goods arrived</v>
      </c>
    </row>
    <row r="270" spans="1:7" x14ac:dyDescent="0.25">
      <c r="A270" s="4" t="s">
        <v>1411</v>
      </c>
      <c r="B270" s="4" t="s">
        <v>696</v>
      </c>
      <c r="C270" s="4" t="s">
        <v>146</v>
      </c>
      <c r="D270" s="3">
        <v>45734</v>
      </c>
      <c r="E270" s="11">
        <v>100</v>
      </c>
      <c r="F270" s="11">
        <v>83</v>
      </c>
      <c r="G270" t="str">
        <f t="shared" si="4"/>
        <v>83% of goods arrived</v>
      </c>
    </row>
    <row r="271" spans="1:7" x14ac:dyDescent="0.25">
      <c r="A271" s="4" t="s">
        <v>1412</v>
      </c>
      <c r="B271" s="4" t="s">
        <v>771</v>
      </c>
      <c r="C271" s="4" t="s">
        <v>205</v>
      </c>
      <c r="D271" s="3">
        <v>45691</v>
      </c>
      <c r="E271" s="11">
        <v>108</v>
      </c>
      <c r="F271" s="11">
        <v>93</v>
      </c>
      <c r="G271" t="str">
        <f t="shared" si="4"/>
        <v>86% of goods arrived</v>
      </c>
    </row>
    <row r="272" spans="1:7" x14ac:dyDescent="0.25">
      <c r="A272" s="4" t="s">
        <v>1413</v>
      </c>
      <c r="B272" s="4" t="s">
        <v>801</v>
      </c>
      <c r="C272" s="4" t="s">
        <v>205</v>
      </c>
      <c r="D272" s="3">
        <v>45691</v>
      </c>
      <c r="E272" s="11">
        <v>173</v>
      </c>
      <c r="F272" s="11">
        <v>155</v>
      </c>
      <c r="G272" t="str">
        <f t="shared" si="4"/>
        <v>90% of goods arrived</v>
      </c>
    </row>
    <row r="273" spans="1:7" x14ac:dyDescent="0.25">
      <c r="A273" s="4" t="s">
        <v>1414</v>
      </c>
      <c r="B273" s="4" t="s">
        <v>576</v>
      </c>
      <c r="C273" s="4" t="s">
        <v>205</v>
      </c>
      <c r="D273" s="3">
        <v>45691</v>
      </c>
      <c r="E273" s="11">
        <v>199</v>
      </c>
      <c r="F273" s="11">
        <v>0</v>
      </c>
      <c r="G273" t="str">
        <f t="shared" si="4"/>
        <v>0% of goods arrived</v>
      </c>
    </row>
    <row r="274" spans="1:7" x14ac:dyDescent="0.25">
      <c r="A274" s="4" t="s">
        <v>1415</v>
      </c>
      <c r="B274" s="4" t="s">
        <v>466</v>
      </c>
      <c r="C274" s="4" t="s">
        <v>223</v>
      </c>
      <c r="D274" s="3">
        <v>45721</v>
      </c>
      <c r="E274" s="11">
        <v>95</v>
      </c>
      <c r="F274" s="11">
        <v>85</v>
      </c>
      <c r="G274" t="str">
        <f t="shared" si="4"/>
        <v>89% of goods arrived</v>
      </c>
    </row>
    <row r="275" spans="1:7" x14ac:dyDescent="0.25">
      <c r="A275" s="4" t="s">
        <v>1416</v>
      </c>
      <c r="B275" s="4" t="s">
        <v>684</v>
      </c>
      <c r="C275" s="4" t="s">
        <v>223</v>
      </c>
      <c r="D275" s="3">
        <v>45721</v>
      </c>
      <c r="E275" s="11">
        <v>139</v>
      </c>
      <c r="F275" s="11">
        <v>123</v>
      </c>
      <c r="G275" t="str">
        <f t="shared" si="4"/>
        <v>88% of goods arrived</v>
      </c>
    </row>
    <row r="276" spans="1:7" x14ac:dyDescent="0.25">
      <c r="A276" s="4" t="s">
        <v>1417</v>
      </c>
      <c r="B276" s="4" t="s">
        <v>684</v>
      </c>
      <c r="C276" s="4" t="s">
        <v>223</v>
      </c>
      <c r="D276" s="3">
        <v>45721</v>
      </c>
      <c r="E276" s="11">
        <v>146</v>
      </c>
      <c r="F276" s="11">
        <v>113</v>
      </c>
      <c r="G276" t="str">
        <f t="shared" si="4"/>
        <v>77% of goods arrived</v>
      </c>
    </row>
    <row r="277" spans="1:7" x14ac:dyDescent="0.25">
      <c r="A277" s="4" t="s">
        <v>1418</v>
      </c>
      <c r="B277" s="4" t="s">
        <v>933</v>
      </c>
      <c r="C277" s="4" t="s">
        <v>306</v>
      </c>
      <c r="D277" s="3">
        <v>45673</v>
      </c>
      <c r="E277" s="11">
        <v>214</v>
      </c>
      <c r="F277" s="11">
        <v>161</v>
      </c>
      <c r="G277" t="str">
        <f t="shared" si="4"/>
        <v>75% of goods arrived</v>
      </c>
    </row>
    <row r="278" spans="1:7" x14ac:dyDescent="0.25">
      <c r="A278" s="4" t="s">
        <v>1419</v>
      </c>
      <c r="B278" s="4" t="s">
        <v>933</v>
      </c>
      <c r="C278" s="4" t="s">
        <v>306</v>
      </c>
      <c r="D278" s="3">
        <v>45673</v>
      </c>
      <c r="E278" s="11">
        <v>64</v>
      </c>
      <c r="F278" s="11">
        <v>57</v>
      </c>
      <c r="G278" t="str">
        <f t="shared" si="4"/>
        <v>89% of goods arrived</v>
      </c>
    </row>
    <row r="279" spans="1:7" x14ac:dyDescent="0.25">
      <c r="A279" s="4" t="s">
        <v>1420</v>
      </c>
      <c r="B279" s="4" t="s">
        <v>933</v>
      </c>
      <c r="C279" s="4" t="s">
        <v>306</v>
      </c>
      <c r="D279" s="3">
        <v>45673</v>
      </c>
      <c r="E279" s="11">
        <v>184</v>
      </c>
      <c r="F279" s="11">
        <v>0</v>
      </c>
      <c r="G279" t="str">
        <f t="shared" si="4"/>
        <v>0% of goods arrived</v>
      </c>
    </row>
    <row r="280" spans="1:7" x14ac:dyDescent="0.25">
      <c r="A280" s="4" t="s">
        <v>1421</v>
      </c>
      <c r="B280" s="4" t="s">
        <v>699</v>
      </c>
      <c r="C280" s="4" t="s">
        <v>90</v>
      </c>
      <c r="D280" s="3">
        <v>45710</v>
      </c>
      <c r="E280" s="11">
        <v>14</v>
      </c>
      <c r="F280" s="11">
        <v>11</v>
      </c>
      <c r="G280" t="str">
        <f t="shared" si="4"/>
        <v>79% of goods arrived</v>
      </c>
    </row>
    <row r="281" spans="1:7" x14ac:dyDescent="0.25">
      <c r="A281" s="4" t="s">
        <v>1422</v>
      </c>
      <c r="B281" s="4" t="s">
        <v>699</v>
      </c>
      <c r="C281" s="4" t="s">
        <v>90</v>
      </c>
      <c r="D281" s="3">
        <v>45710</v>
      </c>
      <c r="E281" s="11">
        <v>88</v>
      </c>
      <c r="F281" s="11">
        <v>0</v>
      </c>
      <c r="G281" t="str">
        <f t="shared" si="4"/>
        <v>0% of goods arrived</v>
      </c>
    </row>
    <row r="282" spans="1:7" x14ac:dyDescent="0.25">
      <c r="A282" s="4" t="s">
        <v>1423</v>
      </c>
      <c r="B282" s="4" t="s">
        <v>699</v>
      </c>
      <c r="C282" s="4" t="s">
        <v>90</v>
      </c>
      <c r="D282" s="3">
        <v>45710</v>
      </c>
      <c r="E282" s="11">
        <v>73</v>
      </c>
      <c r="F282" s="11">
        <v>56</v>
      </c>
      <c r="G282" t="str">
        <f t="shared" si="4"/>
        <v>77% of goods arrived</v>
      </c>
    </row>
    <row r="283" spans="1:7" x14ac:dyDescent="0.25">
      <c r="A283" s="4" t="s">
        <v>1424</v>
      </c>
      <c r="B283" s="4" t="s">
        <v>744</v>
      </c>
      <c r="C283" s="4" t="s">
        <v>173</v>
      </c>
      <c r="D283" s="3">
        <v>45716</v>
      </c>
      <c r="E283" s="11">
        <v>89</v>
      </c>
      <c r="F283" s="11">
        <v>0</v>
      </c>
      <c r="G283" t="str">
        <f t="shared" si="4"/>
        <v>0% of goods arrived</v>
      </c>
    </row>
    <row r="284" spans="1:7" x14ac:dyDescent="0.25">
      <c r="A284" s="4" t="s">
        <v>1425</v>
      </c>
      <c r="B284" s="4" t="s">
        <v>744</v>
      </c>
      <c r="C284" s="4" t="s">
        <v>173</v>
      </c>
      <c r="D284" s="3">
        <v>45716</v>
      </c>
      <c r="E284" s="11">
        <v>233</v>
      </c>
      <c r="F284" s="11">
        <v>224</v>
      </c>
      <c r="G284" t="str">
        <f t="shared" si="4"/>
        <v>96% of goods arrived</v>
      </c>
    </row>
    <row r="285" spans="1:7" x14ac:dyDescent="0.25">
      <c r="A285" s="4" t="s">
        <v>1426</v>
      </c>
      <c r="B285" s="4" t="s">
        <v>720</v>
      </c>
      <c r="C285" s="4" t="s">
        <v>80</v>
      </c>
      <c r="D285" s="3">
        <v>45697</v>
      </c>
      <c r="E285" s="11">
        <v>225</v>
      </c>
      <c r="F285" s="11">
        <v>198</v>
      </c>
      <c r="G285" t="str">
        <f t="shared" si="4"/>
        <v>88% of goods arrived</v>
      </c>
    </row>
    <row r="286" spans="1:7" x14ac:dyDescent="0.25">
      <c r="A286" s="4" t="s">
        <v>1427</v>
      </c>
      <c r="B286" s="4" t="s">
        <v>816</v>
      </c>
      <c r="C286" s="4" t="s">
        <v>80</v>
      </c>
      <c r="D286" s="3">
        <v>45697</v>
      </c>
      <c r="E286" s="11">
        <v>43</v>
      </c>
      <c r="F286" s="11">
        <v>0</v>
      </c>
      <c r="G286" t="str">
        <f t="shared" si="4"/>
        <v>0% of goods arrived</v>
      </c>
    </row>
    <row r="287" spans="1:7" x14ac:dyDescent="0.25">
      <c r="A287" s="4" t="s">
        <v>1428</v>
      </c>
      <c r="B287" s="4" t="s">
        <v>816</v>
      </c>
      <c r="C287" s="4" t="s">
        <v>80</v>
      </c>
      <c r="D287" s="3">
        <v>45697</v>
      </c>
      <c r="E287" s="11">
        <v>86</v>
      </c>
      <c r="F287" s="11">
        <v>65</v>
      </c>
      <c r="G287" t="str">
        <f t="shared" si="4"/>
        <v>76% of goods arrived</v>
      </c>
    </row>
    <row r="288" spans="1:7" x14ac:dyDescent="0.25">
      <c r="A288" s="4" t="s">
        <v>1429</v>
      </c>
      <c r="B288" s="4" t="s">
        <v>666</v>
      </c>
      <c r="C288" s="4" t="s">
        <v>376</v>
      </c>
      <c r="D288" s="3">
        <v>45695</v>
      </c>
      <c r="E288" s="11">
        <v>221</v>
      </c>
      <c r="F288" s="11">
        <v>199</v>
      </c>
      <c r="G288" t="str">
        <f t="shared" si="4"/>
        <v>90% of goods arrived</v>
      </c>
    </row>
    <row r="289" spans="1:7" x14ac:dyDescent="0.25">
      <c r="A289" s="4" t="s">
        <v>1430</v>
      </c>
      <c r="B289" s="4" t="s">
        <v>502</v>
      </c>
      <c r="C289" s="4" t="s">
        <v>376</v>
      </c>
      <c r="D289" s="3">
        <v>45695</v>
      </c>
      <c r="E289" s="11">
        <v>141</v>
      </c>
      <c r="F289" s="11">
        <v>136</v>
      </c>
      <c r="G289" t="str">
        <f t="shared" si="4"/>
        <v>96% of goods arrived</v>
      </c>
    </row>
    <row r="290" spans="1:7" x14ac:dyDescent="0.25">
      <c r="A290" s="4" t="s">
        <v>1431</v>
      </c>
      <c r="B290" s="4" t="s">
        <v>726</v>
      </c>
      <c r="C290" s="4" t="s">
        <v>247</v>
      </c>
      <c r="D290" s="3">
        <v>45707</v>
      </c>
      <c r="E290" s="11">
        <v>51</v>
      </c>
      <c r="F290" s="11">
        <v>47</v>
      </c>
      <c r="G290" t="str">
        <f t="shared" si="4"/>
        <v>92% of goods arrived</v>
      </c>
    </row>
    <row r="291" spans="1:7" x14ac:dyDescent="0.25">
      <c r="A291" s="4" t="s">
        <v>1432</v>
      </c>
      <c r="B291" s="4" t="s">
        <v>882</v>
      </c>
      <c r="C291" s="4" t="s">
        <v>247</v>
      </c>
      <c r="D291" s="3">
        <v>45707</v>
      </c>
      <c r="E291" s="11">
        <v>208</v>
      </c>
      <c r="F291" s="11">
        <v>179</v>
      </c>
      <c r="G291" t="str">
        <f t="shared" si="4"/>
        <v>86% of goods arrived</v>
      </c>
    </row>
    <row r="292" spans="1:7" x14ac:dyDescent="0.25">
      <c r="A292" s="4" t="s">
        <v>1433</v>
      </c>
      <c r="B292" s="4" t="s">
        <v>469</v>
      </c>
      <c r="C292" s="4" t="s">
        <v>247</v>
      </c>
      <c r="D292" s="3">
        <v>45707</v>
      </c>
      <c r="E292" s="11">
        <v>237</v>
      </c>
      <c r="F292" s="11">
        <v>234</v>
      </c>
      <c r="G292" t="str">
        <f t="shared" si="4"/>
        <v>99% of goods arrived</v>
      </c>
    </row>
    <row r="293" spans="1:7" x14ac:dyDescent="0.25">
      <c r="A293" s="4" t="s">
        <v>1434</v>
      </c>
      <c r="B293" s="4" t="s">
        <v>536</v>
      </c>
      <c r="C293" s="4" t="s">
        <v>238</v>
      </c>
      <c r="D293" s="3">
        <v>45685</v>
      </c>
      <c r="E293" s="11">
        <v>113</v>
      </c>
      <c r="F293" s="11">
        <v>109</v>
      </c>
      <c r="G293" t="str">
        <f t="shared" si="4"/>
        <v>96% of goods arrived</v>
      </c>
    </row>
    <row r="294" spans="1:7" x14ac:dyDescent="0.25">
      <c r="A294" s="4" t="s">
        <v>1435</v>
      </c>
      <c r="B294" s="4" t="s">
        <v>762</v>
      </c>
      <c r="C294" s="4" t="s">
        <v>238</v>
      </c>
      <c r="D294" s="3">
        <v>45685</v>
      </c>
      <c r="E294" s="11">
        <v>28</v>
      </c>
      <c r="F294" s="11">
        <v>23</v>
      </c>
      <c r="G294" t="str">
        <f t="shared" si="4"/>
        <v>82% of goods arrived</v>
      </c>
    </row>
    <row r="295" spans="1:7" x14ac:dyDescent="0.25">
      <c r="A295" s="4" t="s">
        <v>1436</v>
      </c>
      <c r="B295" s="4" t="s">
        <v>536</v>
      </c>
      <c r="C295" s="4" t="s">
        <v>238</v>
      </c>
      <c r="D295" s="3">
        <v>45685</v>
      </c>
      <c r="E295" s="11">
        <v>166</v>
      </c>
      <c r="F295" s="11">
        <v>160</v>
      </c>
      <c r="G295" t="str">
        <f t="shared" si="4"/>
        <v>96% of goods arrived</v>
      </c>
    </row>
    <row r="296" spans="1:7" x14ac:dyDescent="0.25">
      <c r="A296" s="4" t="s">
        <v>1437</v>
      </c>
      <c r="B296" s="4" t="s">
        <v>542</v>
      </c>
      <c r="C296" s="4" t="s">
        <v>87</v>
      </c>
      <c r="D296" s="3">
        <v>45678</v>
      </c>
      <c r="E296" s="11">
        <v>24</v>
      </c>
      <c r="F296" s="11">
        <v>0</v>
      </c>
      <c r="G296" t="str">
        <f t="shared" si="4"/>
        <v>0% of goods arrived</v>
      </c>
    </row>
    <row r="297" spans="1:7" x14ac:dyDescent="0.25">
      <c r="A297" s="4" t="s">
        <v>1438</v>
      </c>
      <c r="B297" s="4" t="s">
        <v>542</v>
      </c>
      <c r="C297" s="4" t="s">
        <v>87</v>
      </c>
      <c r="D297" s="3">
        <v>45678</v>
      </c>
      <c r="E297" s="11">
        <v>225</v>
      </c>
      <c r="F297" s="11">
        <v>0</v>
      </c>
      <c r="G297" t="str">
        <f t="shared" si="4"/>
        <v>0% of goods arrived</v>
      </c>
    </row>
    <row r="298" spans="1:7" x14ac:dyDescent="0.25">
      <c r="A298" s="4" t="s">
        <v>1439</v>
      </c>
      <c r="B298" s="4" t="s">
        <v>789</v>
      </c>
      <c r="C298" s="4" t="s">
        <v>87</v>
      </c>
      <c r="D298" s="3">
        <v>45678</v>
      </c>
      <c r="E298" s="11">
        <v>153</v>
      </c>
      <c r="F298" s="11">
        <v>121</v>
      </c>
      <c r="G298" t="str">
        <f t="shared" si="4"/>
        <v>79% of goods arrived</v>
      </c>
    </row>
    <row r="299" spans="1:7" x14ac:dyDescent="0.25">
      <c r="A299" s="4" t="s">
        <v>1440</v>
      </c>
      <c r="B299" s="4" t="s">
        <v>888</v>
      </c>
      <c r="C299" s="4" t="s">
        <v>208</v>
      </c>
      <c r="D299" s="3">
        <v>45708</v>
      </c>
      <c r="E299" s="11">
        <v>80</v>
      </c>
      <c r="F299" s="11">
        <v>70</v>
      </c>
      <c r="G299" t="str">
        <f t="shared" si="4"/>
        <v>88% of goods arrived</v>
      </c>
    </row>
    <row r="300" spans="1:7" x14ac:dyDescent="0.25">
      <c r="A300" s="4" t="s">
        <v>1441</v>
      </c>
      <c r="B300" s="4" t="s">
        <v>888</v>
      </c>
      <c r="C300" s="4" t="s">
        <v>208</v>
      </c>
      <c r="D300" s="3">
        <v>45708</v>
      </c>
      <c r="E300" s="11">
        <v>155</v>
      </c>
      <c r="F300" s="11">
        <v>141</v>
      </c>
      <c r="G300" t="str">
        <f t="shared" si="4"/>
        <v>91% of goods arrived</v>
      </c>
    </row>
    <row r="301" spans="1:7" x14ac:dyDescent="0.25">
      <c r="A301" s="4" t="s">
        <v>1442</v>
      </c>
      <c r="B301" s="4" t="s">
        <v>858</v>
      </c>
      <c r="C301" s="4" t="s">
        <v>199</v>
      </c>
      <c r="D301" s="3">
        <v>45719</v>
      </c>
      <c r="E301" s="11">
        <v>235</v>
      </c>
      <c r="F301" s="11">
        <v>185</v>
      </c>
      <c r="G301" t="str">
        <f t="shared" si="4"/>
        <v>79% of goods arrived</v>
      </c>
    </row>
    <row r="302" spans="1:7" x14ac:dyDescent="0.25">
      <c r="A302" s="4" t="s">
        <v>1443</v>
      </c>
      <c r="B302" s="4" t="s">
        <v>777</v>
      </c>
      <c r="C302" s="4" t="s">
        <v>199</v>
      </c>
      <c r="D302" s="3">
        <v>45719</v>
      </c>
      <c r="E302" s="11">
        <v>134</v>
      </c>
      <c r="F302" s="11">
        <v>133</v>
      </c>
      <c r="G302" t="str">
        <f t="shared" si="4"/>
        <v>99% of goods arrived</v>
      </c>
    </row>
    <row r="303" spans="1:7" x14ac:dyDescent="0.25">
      <c r="A303" s="4" t="s">
        <v>1444</v>
      </c>
      <c r="B303" s="4" t="s">
        <v>819</v>
      </c>
      <c r="C303" s="4" t="s">
        <v>199</v>
      </c>
      <c r="D303" s="3">
        <v>45719</v>
      </c>
      <c r="E303" s="11">
        <v>76</v>
      </c>
      <c r="F303" s="11">
        <v>71</v>
      </c>
      <c r="G303" t="str">
        <f t="shared" si="4"/>
        <v>93% of goods arrived</v>
      </c>
    </row>
    <row r="304" spans="1:7" x14ac:dyDescent="0.25">
      <c r="A304" s="4" t="s">
        <v>1445</v>
      </c>
      <c r="B304" s="4" t="s">
        <v>545</v>
      </c>
      <c r="C304" s="4" t="s">
        <v>190</v>
      </c>
      <c r="D304" s="3">
        <v>45722</v>
      </c>
      <c r="E304" s="11">
        <v>205</v>
      </c>
      <c r="F304" s="11">
        <v>0</v>
      </c>
      <c r="G304" t="str">
        <f t="shared" si="4"/>
        <v>0% of goods arrived</v>
      </c>
    </row>
    <row r="305" spans="1:7" x14ac:dyDescent="0.25">
      <c r="A305" s="4" t="s">
        <v>1446</v>
      </c>
      <c r="B305" s="4" t="s">
        <v>891</v>
      </c>
      <c r="C305" s="4" t="s">
        <v>190</v>
      </c>
      <c r="D305" s="3">
        <v>45722</v>
      </c>
      <c r="E305" s="11">
        <v>22</v>
      </c>
      <c r="F305" s="11">
        <v>21</v>
      </c>
      <c r="G305" t="str">
        <f t="shared" si="4"/>
        <v>95% of goods arrived</v>
      </c>
    </row>
    <row r="306" spans="1:7" x14ac:dyDescent="0.25">
      <c r="A306" s="4" t="s">
        <v>1447</v>
      </c>
      <c r="B306" s="4" t="s">
        <v>861</v>
      </c>
      <c r="C306" s="4" t="s">
        <v>190</v>
      </c>
      <c r="D306" s="3">
        <v>45722</v>
      </c>
      <c r="E306" s="11">
        <v>141</v>
      </c>
      <c r="F306" s="11">
        <v>0</v>
      </c>
      <c r="G306" t="str">
        <f t="shared" si="4"/>
        <v>0% of goods arrived</v>
      </c>
    </row>
    <row r="307" spans="1:7" x14ac:dyDescent="0.25">
      <c r="A307" s="4" t="s">
        <v>1448</v>
      </c>
      <c r="B307" s="4" t="s">
        <v>499</v>
      </c>
      <c r="C307" s="4" t="s">
        <v>170</v>
      </c>
      <c r="D307" s="3">
        <v>45706</v>
      </c>
      <c r="E307" s="11">
        <v>114</v>
      </c>
      <c r="F307" s="11">
        <v>100</v>
      </c>
      <c r="G307" t="str">
        <f t="shared" si="4"/>
        <v>88% of goods arrived</v>
      </c>
    </row>
    <row r="308" spans="1:7" x14ac:dyDescent="0.25">
      <c r="A308" s="4" t="s">
        <v>1449</v>
      </c>
      <c r="B308" s="4" t="s">
        <v>729</v>
      </c>
      <c r="C308" s="4" t="s">
        <v>170</v>
      </c>
      <c r="D308" s="3">
        <v>45706</v>
      </c>
      <c r="E308" s="11">
        <v>216</v>
      </c>
      <c r="F308" s="11">
        <v>191</v>
      </c>
      <c r="G308" t="str">
        <f t="shared" si="4"/>
        <v>88% of goods arrived</v>
      </c>
    </row>
    <row r="309" spans="1:7" x14ac:dyDescent="0.25">
      <c r="A309" s="4" t="s">
        <v>1450</v>
      </c>
      <c r="B309" s="4" t="s">
        <v>591</v>
      </c>
      <c r="C309" s="4" t="s">
        <v>170</v>
      </c>
      <c r="D309" s="3">
        <v>45706</v>
      </c>
      <c r="E309" s="11">
        <v>87</v>
      </c>
      <c r="F309" s="11">
        <v>0</v>
      </c>
      <c r="G309" t="str">
        <f t="shared" si="4"/>
        <v>0% of goods arrived</v>
      </c>
    </row>
    <row r="310" spans="1:7" x14ac:dyDescent="0.25">
      <c r="A310" s="4" t="s">
        <v>1451</v>
      </c>
      <c r="B310" s="4" t="s">
        <v>768</v>
      </c>
      <c r="C310" s="4" t="s">
        <v>253</v>
      </c>
      <c r="D310" s="3">
        <v>45721</v>
      </c>
      <c r="E310" s="11">
        <v>213</v>
      </c>
      <c r="F310" s="11">
        <v>179</v>
      </c>
      <c r="G310" t="str">
        <f t="shared" si="4"/>
        <v>84% of goods arrived</v>
      </c>
    </row>
    <row r="311" spans="1:7" x14ac:dyDescent="0.25">
      <c r="A311" s="4" t="s">
        <v>1452</v>
      </c>
      <c r="B311" s="4" t="s">
        <v>831</v>
      </c>
      <c r="C311" s="4" t="s">
        <v>253</v>
      </c>
      <c r="D311" s="3">
        <v>45721</v>
      </c>
      <c r="E311" s="11">
        <v>215</v>
      </c>
      <c r="F311" s="11">
        <v>198</v>
      </c>
      <c r="G311" t="str">
        <f t="shared" si="4"/>
        <v>92% of goods arrived</v>
      </c>
    </row>
    <row r="312" spans="1:7" x14ac:dyDescent="0.25">
      <c r="A312" s="4" t="s">
        <v>1453</v>
      </c>
      <c r="B312" s="4" t="s">
        <v>777</v>
      </c>
      <c r="C312" s="4" t="s">
        <v>346</v>
      </c>
      <c r="D312" s="3">
        <v>45717</v>
      </c>
      <c r="E312" s="11">
        <v>27</v>
      </c>
      <c r="F312" s="11">
        <v>0</v>
      </c>
      <c r="G312" t="str">
        <f t="shared" si="4"/>
        <v>0% of goods arrived</v>
      </c>
    </row>
    <row r="313" spans="1:7" x14ac:dyDescent="0.25">
      <c r="A313" s="4" t="s">
        <v>1454</v>
      </c>
      <c r="B313" s="4" t="s">
        <v>777</v>
      </c>
      <c r="C313" s="4" t="s">
        <v>346</v>
      </c>
      <c r="D313" s="3">
        <v>45717</v>
      </c>
      <c r="E313" s="11">
        <v>116</v>
      </c>
      <c r="F313" s="11">
        <v>89</v>
      </c>
      <c r="G313" t="str">
        <f t="shared" si="4"/>
        <v>77% of goods arrived</v>
      </c>
    </row>
    <row r="314" spans="1:7" x14ac:dyDescent="0.25">
      <c r="A314" s="4" t="s">
        <v>1455</v>
      </c>
      <c r="B314" s="4" t="s">
        <v>777</v>
      </c>
      <c r="C314" s="4" t="s">
        <v>346</v>
      </c>
      <c r="D314" s="3">
        <v>45717</v>
      </c>
      <c r="E314" s="11">
        <v>152</v>
      </c>
      <c r="F314" s="11">
        <v>0</v>
      </c>
      <c r="G314" t="str">
        <f t="shared" si="4"/>
        <v>0% of goods arrived</v>
      </c>
    </row>
    <row r="315" spans="1:7" x14ac:dyDescent="0.25">
      <c r="A315" s="4" t="s">
        <v>1456</v>
      </c>
      <c r="B315" s="4" t="s">
        <v>463</v>
      </c>
      <c r="C315" s="4" t="s">
        <v>315</v>
      </c>
      <c r="D315" s="3">
        <v>45703</v>
      </c>
      <c r="E315" s="11">
        <v>191</v>
      </c>
      <c r="F315" s="11">
        <v>144</v>
      </c>
      <c r="G315" t="str">
        <f t="shared" si="4"/>
        <v>75% of goods arrived</v>
      </c>
    </row>
    <row r="316" spans="1:7" x14ac:dyDescent="0.25">
      <c r="A316" s="4" t="s">
        <v>1457</v>
      </c>
      <c r="B316" s="4" t="s">
        <v>463</v>
      </c>
      <c r="C316" s="4" t="s">
        <v>315</v>
      </c>
      <c r="D316" s="3">
        <v>45703</v>
      </c>
      <c r="E316" s="11">
        <v>76</v>
      </c>
      <c r="F316" s="11">
        <v>70</v>
      </c>
      <c r="G316" t="str">
        <f t="shared" si="4"/>
        <v>92% of goods arrived</v>
      </c>
    </row>
    <row r="317" spans="1:7" x14ac:dyDescent="0.25">
      <c r="A317" s="4" t="s">
        <v>1458</v>
      </c>
      <c r="B317" s="4" t="s">
        <v>463</v>
      </c>
      <c r="C317" s="4" t="s">
        <v>315</v>
      </c>
      <c r="D317" s="3">
        <v>45703</v>
      </c>
      <c r="E317" s="11">
        <v>151</v>
      </c>
      <c r="F317" s="11">
        <v>143</v>
      </c>
      <c r="G317" t="str">
        <f t="shared" si="4"/>
        <v>95% of goods arrived</v>
      </c>
    </row>
    <row r="318" spans="1:7" x14ac:dyDescent="0.25">
      <c r="A318" s="4" t="s">
        <v>1459</v>
      </c>
      <c r="B318" s="4" t="s">
        <v>557</v>
      </c>
      <c r="C318" s="4" t="s">
        <v>62</v>
      </c>
      <c r="D318" s="3">
        <v>45715</v>
      </c>
      <c r="E318" s="11">
        <v>170</v>
      </c>
      <c r="F318" s="11">
        <v>152</v>
      </c>
      <c r="G318" t="str">
        <f t="shared" si="4"/>
        <v>89% of goods arrived</v>
      </c>
    </row>
    <row r="319" spans="1:7" x14ac:dyDescent="0.25">
      <c r="A319" s="4" t="s">
        <v>1460</v>
      </c>
      <c r="B319" s="4" t="s">
        <v>894</v>
      </c>
      <c r="C319" s="4" t="s">
        <v>62</v>
      </c>
      <c r="D319" s="3">
        <v>45715</v>
      </c>
      <c r="E319" s="11">
        <v>91</v>
      </c>
      <c r="F319" s="11">
        <v>81</v>
      </c>
      <c r="G319" t="str">
        <f t="shared" si="4"/>
        <v>89% of goods arrived</v>
      </c>
    </row>
    <row r="320" spans="1:7" x14ac:dyDescent="0.25">
      <c r="A320" s="4" t="s">
        <v>1461</v>
      </c>
      <c r="B320" s="4" t="s">
        <v>557</v>
      </c>
      <c r="C320" s="4" t="s">
        <v>62</v>
      </c>
      <c r="D320" s="3">
        <v>45715</v>
      </c>
      <c r="E320" s="11">
        <v>107</v>
      </c>
      <c r="F320" s="11">
        <v>105</v>
      </c>
      <c r="G320" t="str">
        <f t="shared" si="4"/>
        <v>98% of goods arrived</v>
      </c>
    </row>
    <row r="321" spans="1:7" x14ac:dyDescent="0.25">
      <c r="A321" s="4" t="s">
        <v>1462</v>
      </c>
      <c r="B321" s="4" t="s">
        <v>822</v>
      </c>
      <c r="C321" s="4" t="s">
        <v>297</v>
      </c>
      <c r="D321" s="3">
        <v>45684</v>
      </c>
      <c r="E321" s="11">
        <v>43</v>
      </c>
      <c r="F321" s="11">
        <v>38</v>
      </c>
      <c r="G321" t="str">
        <f t="shared" si="4"/>
        <v>88% of goods arrived</v>
      </c>
    </row>
    <row r="322" spans="1:7" x14ac:dyDescent="0.25">
      <c r="A322" s="4" t="s">
        <v>1463</v>
      </c>
      <c r="B322" s="4" t="s">
        <v>894</v>
      </c>
      <c r="C322" s="4" t="s">
        <v>297</v>
      </c>
      <c r="D322" s="3">
        <v>45684</v>
      </c>
      <c r="E322" s="11">
        <v>153</v>
      </c>
      <c r="F322" s="11">
        <v>136</v>
      </c>
      <c r="G322" t="str">
        <f t="shared" ref="G322:G385" si="5">IF(E322-F322 &lt;&gt; 0,
      TEXT(F322/E322,
       "0%") &amp; " of goods arrived",
      IF(E322=F322,
      "All goods arrived",
      "All goods missing"))</f>
        <v>89% of goods arrived</v>
      </c>
    </row>
    <row r="323" spans="1:7" x14ac:dyDescent="0.25">
      <c r="A323" s="4" t="s">
        <v>1464</v>
      </c>
      <c r="B323" s="4" t="s">
        <v>822</v>
      </c>
      <c r="C323" s="4" t="s">
        <v>297</v>
      </c>
      <c r="D323" s="3">
        <v>45684</v>
      </c>
      <c r="E323" s="11">
        <v>129</v>
      </c>
      <c r="F323" s="11">
        <v>114</v>
      </c>
      <c r="G323" t="str">
        <f t="shared" si="5"/>
        <v>88% of goods arrived</v>
      </c>
    </row>
    <row r="324" spans="1:7" x14ac:dyDescent="0.25">
      <c r="A324" s="4" t="s">
        <v>1465</v>
      </c>
      <c r="B324" s="4" t="s">
        <v>551</v>
      </c>
      <c r="C324" s="4" t="s">
        <v>321</v>
      </c>
      <c r="D324" s="3">
        <v>45731</v>
      </c>
      <c r="E324" s="11">
        <v>238</v>
      </c>
      <c r="F324" s="11">
        <v>189</v>
      </c>
      <c r="G324" t="str">
        <f t="shared" si="5"/>
        <v>79% of goods arrived</v>
      </c>
    </row>
    <row r="325" spans="1:7" x14ac:dyDescent="0.25">
      <c r="A325" s="4" t="s">
        <v>1466</v>
      </c>
      <c r="B325" s="4" t="s">
        <v>551</v>
      </c>
      <c r="C325" s="4" t="s">
        <v>321</v>
      </c>
      <c r="D325" s="3">
        <v>45731</v>
      </c>
      <c r="E325" s="11">
        <v>95</v>
      </c>
      <c r="F325" s="11">
        <v>73</v>
      </c>
      <c r="G325" t="str">
        <f t="shared" si="5"/>
        <v>77% of goods arrived</v>
      </c>
    </row>
    <row r="326" spans="1:7" x14ac:dyDescent="0.25">
      <c r="A326" s="4" t="s">
        <v>1467</v>
      </c>
      <c r="B326" s="4" t="s">
        <v>551</v>
      </c>
      <c r="C326" s="4" t="s">
        <v>321</v>
      </c>
      <c r="D326" s="3">
        <v>45731</v>
      </c>
      <c r="E326" s="11">
        <v>35</v>
      </c>
      <c r="F326" s="11">
        <v>34</v>
      </c>
      <c r="G326" t="str">
        <f t="shared" si="5"/>
        <v>97% of goods arrived</v>
      </c>
    </row>
    <row r="327" spans="1:7" x14ac:dyDescent="0.25">
      <c r="A327" s="4" t="s">
        <v>1468</v>
      </c>
      <c r="B327" s="4" t="s">
        <v>417</v>
      </c>
      <c r="C327" s="4" t="s">
        <v>294</v>
      </c>
      <c r="D327" s="3">
        <v>45699</v>
      </c>
      <c r="E327" s="11">
        <v>144</v>
      </c>
      <c r="F327" s="11">
        <v>111</v>
      </c>
      <c r="G327" t="str">
        <f t="shared" si="5"/>
        <v>77% of goods arrived</v>
      </c>
    </row>
    <row r="328" spans="1:7" x14ac:dyDescent="0.25">
      <c r="A328" s="4" t="s">
        <v>1469</v>
      </c>
      <c r="B328" s="4" t="s">
        <v>837</v>
      </c>
      <c r="C328" s="4" t="s">
        <v>294</v>
      </c>
      <c r="D328" s="3">
        <v>45699</v>
      </c>
      <c r="E328" s="11">
        <v>106</v>
      </c>
      <c r="F328" s="11">
        <v>88</v>
      </c>
      <c r="G328" t="str">
        <f t="shared" si="5"/>
        <v>83% of goods arrived</v>
      </c>
    </row>
    <row r="329" spans="1:7" x14ac:dyDescent="0.25">
      <c r="A329" s="4" t="s">
        <v>1470</v>
      </c>
      <c r="B329" s="4" t="s">
        <v>417</v>
      </c>
      <c r="C329" s="4" t="s">
        <v>294</v>
      </c>
      <c r="D329" s="3">
        <v>45699</v>
      </c>
      <c r="E329" s="11">
        <v>127</v>
      </c>
      <c r="F329" s="11">
        <v>0</v>
      </c>
      <c r="G329" t="str">
        <f t="shared" si="5"/>
        <v>0% of goods arrived</v>
      </c>
    </row>
    <row r="330" spans="1:7" x14ac:dyDescent="0.25">
      <c r="A330" s="4" t="s">
        <v>1471</v>
      </c>
      <c r="B330" s="4" t="s">
        <v>615</v>
      </c>
      <c r="C330" s="4" t="s">
        <v>56</v>
      </c>
      <c r="D330" s="3">
        <v>45695</v>
      </c>
      <c r="E330" s="11">
        <v>76</v>
      </c>
      <c r="F330" s="11">
        <v>0</v>
      </c>
      <c r="G330" t="str">
        <f t="shared" si="5"/>
        <v>0% of goods arrived</v>
      </c>
    </row>
    <row r="331" spans="1:7" x14ac:dyDescent="0.25">
      <c r="A331" s="4" t="s">
        <v>1472</v>
      </c>
      <c r="B331" s="4" t="s">
        <v>615</v>
      </c>
      <c r="C331" s="4" t="s">
        <v>56</v>
      </c>
      <c r="D331" s="3">
        <v>45695</v>
      </c>
      <c r="E331" s="11">
        <v>129</v>
      </c>
      <c r="F331" s="11">
        <v>0</v>
      </c>
      <c r="G331" t="str">
        <f t="shared" si="5"/>
        <v>0% of goods arrived</v>
      </c>
    </row>
    <row r="332" spans="1:7" x14ac:dyDescent="0.25">
      <c r="A332" s="4" t="s">
        <v>1473</v>
      </c>
      <c r="B332" s="4" t="s">
        <v>606</v>
      </c>
      <c r="C332" s="4" t="s">
        <v>56</v>
      </c>
      <c r="D332" s="3">
        <v>45695</v>
      </c>
      <c r="E332" s="11">
        <v>232</v>
      </c>
      <c r="F332" s="11">
        <v>0</v>
      </c>
      <c r="G332" t="str">
        <f t="shared" si="5"/>
        <v>0% of goods arrived</v>
      </c>
    </row>
    <row r="333" spans="1:7" x14ac:dyDescent="0.25">
      <c r="A333" s="4" t="s">
        <v>1474</v>
      </c>
      <c r="B333" s="4" t="s">
        <v>456</v>
      </c>
      <c r="C333" s="4" t="s">
        <v>167</v>
      </c>
      <c r="D333" s="3">
        <v>45736</v>
      </c>
      <c r="E333" s="11">
        <v>60</v>
      </c>
      <c r="F333" s="11">
        <v>54</v>
      </c>
      <c r="G333" t="str">
        <f t="shared" si="5"/>
        <v>90% of goods arrived</v>
      </c>
    </row>
    <row r="334" spans="1:7" x14ac:dyDescent="0.25">
      <c r="A334" s="4" t="s">
        <v>1475</v>
      </c>
      <c r="B334" s="4" t="s">
        <v>456</v>
      </c>
      <c r="C334" s="4" t="s">
        <v>167</v>
      </c>
      <c r="D334" s="3">
        <v>45736</v>
      </c>
      <c r="E334" s="11">
        <v>46</v>
      </c>
      <c r="F334" s="11">
        <v>40</v>
      </c>
      <c r="G334" t="str">
        <f t="shared" si="5"/>
        <v>87% of goods arrived</v>
      </c>
    </row>
    <row r="335" spans="1:7" x14ac:dyDescent="0.25">
      <c r="A335" s="4" t="s">
        <v>1476</v>
      </c>
      <c r="B335" s="4" t="s">
        <v>597</v>
      </c>
      <c r="C335" s="4" t="s">
        <v>373</v>
      </c>
      <c r="D335" s="3">
        <v>45668</v>
      </c>
      <c r="E335" s="11">
        <v>112</v>
      </c>
      <c r="F335" s="11">
        <v>0</v>
      </c>
      <c r="G335" t="str">
        <f t="shared" si="5"/>
        <v>0% of goods arrived</v>
      </c>
    </row>
    <row r="336" spans="1:7" x14ac:dyDescent="0.25">
      <c r="A336" s="4" t="s">
        <v>1477</v>
      </c>
      <c r="B336" s="4" t="s">
        <v>597</v>
      </c>
      <c r="C336" s="4" t="s">
        <v>373</v>
      </c>
      <c r="D336" s="3">
        <v>45668</v>
      </c>
      <c r="E336" s="11">
        <v>187</v>
      </c>
      <c r="F336" s="11">
        <v>141</v>
      </c>
      <c r="G336" t="str">
        <f t="shared" si="5"/>
        <v>75% of goods arrived</v>
      </c>
    </row>
    <row r="337" spans="1:7" x14ac:dyDescent="0.25">
      <c r="A337" s="4" t="s">
        <v>1478</v>
      </c>
      <c r="B337" s="4" t="s">
        <v>597</v>
      </c>
      <c r="C337" s="4" t="s">
        <v>373</v>
      </c>
      <c r="D337" s="3">
        <v>45668</v>
      </c>
      <c r="E337" s="11">
        <v>126</v>
      </c>
      <c r="F337" s="11">
        <v>119</v>
      </c>
      <c r="G337" t="str">
        <f t="shared" si="5"/>
        <v>94% of goods arrived</v>
      </c>
    </row>
    <row r="338" spans="1:7" x14ac:dyDescent="0.25">
      <c r="A338" s="4" t="s">
        <v>1479</v>
      </c>
      <c r="B338" s="4" t="s">
        <v>409</v>
      </c>
      <c r="C338" s="4" t="s">
        <v>268</v>
      </c>
      <c r="D338" s="3">
        <v>45710</v>
      </c>
      <c r="E338" s="11">
        <v>60</v>
      </c>
      <c r="F338" s="11">
        <v>57</v>
      </c>
      <c r="G338" t="str">
        <f t="shared" si="5"/>
        <v>95% of goods arrived</v>
      </c>
    </row>
    <row r="339" spans="1:7" x14ac:dyDescent="0.25">
      <c r="A339" s="4" t="s">
        <v>1480</v>
      </c>
      <c r="B339" s="4" t="s">
        <v>567</v>
      </c>
      <c r="C339" s="4" t="s">
        <v>268</v>
      </c>
      <c r="D339" s="3">
        <v>45710</v>
      </c>
      <c r="E339" s="11">
        <v>235</v>
      </c>
      <c r="F339" s="11">
        <v>210</v>
      </c>
      <c r="G339" t="str">
        <f t="shared" si="5"/>
        <v>89% of goods arrived</v>
      </c>
    </row>
    <row r="340" spans="1:7" x14ac:dyDescent="0.25">
      <c r="A340" s="4" t="s">
        <v>1481</v>
      </c>
      <c r="B340" s="4" t="s">
        <v>567</v>
      </c>
      <c r="C340" s="4" t="s">
        <v>268</v>
      </c>
      <c r="D340" s="3">
        <v>45710</v>
      </c>
      <c r="E340" s="11">
        <v>55</v>
      </c>
      <c r="F340" s="11">
        <v>53</v>
      </c>
      <c r="G340" t="str">
        <f t="shared" si="5"/>
        <v>96% of goods arrived</v>
      </c>
    </row>
    <row r="341" spans="1:7" x14ac:dyDescent="0.25">
      <c r="A341" s="4" t="s">
        <v>1482</v>
      </c>
      <c r="B341" s="4" t="s">
        <v>744</v>
      </c>
      <c r="C341" s="4" t="s">
        <v>173</v>
      </c>
      <c r="D341" s="3">
        <v>45715</v>
      </c>
      <c r="E341" s="11">
        <v>132</v>
      </c>
      <c r="F341" s="11">
        <v>107</v>
      </c>
      <c r="G341" t="str">
        <f t="shared" si="5"/>
        <v>81% of goods arrived</v>
      </c>
    </row>
    <row r="342" spans="1:7" x14ac:dyDescent="0.25">
      <c r="A342" s="4" t="s">
        <v>1483</v>
      </c>
      <c r="B342" s="4" t="s">
        <v>744</v>
      </c>
      <c r="C342" s="4" t="s">
        <v>173</v>
      </c>
      <c r="D342" s="3">
        <v>45715</v>
      </c>
      <c r="E342" s="11">
        <v>104</v>
      </c>
      <c r="F342" s="11">
        <v>79</v>
      </c>
      <c r="G342" t="str">
        <f t="shared" si="5"/>
        <v>76% of goods arrived</v>
      </c>
    </row>
    <row r="343" spans="1:7" x14ac:dyDescent="0.25">
      <c r="A343" s="4" t="s">
        <v>1484</v>
      </c>
      <c r="B343" s="4" t="s">
        <v>843</v>
      </c>
      <c r="C343" s="4" t="s">
        <v>349</v>
      </c>
      <c r="D343" s="3">
        <v>45701</v>
      </c>
      <c r="E343" s="11">
        <v>154</v>
      </c>
      <c r="F343" s="11">
        <v>154</v>
      </c>
      <c r="G343" t="str">
        <f t="shared" si="5"/>
        <v>All goods arrived</v>
      </c>
    </row>
    <row r="344" spans="1:7" x14ac:dyDescent="0.25">
      <c r="A344" s="4" t="s">
        <v>1485</v>
      </c>
      <c r="B344" s="4" t="s">
        <v>843</v>
      </c>
      <c r="C344" s="4" t="s">
        <v>349</v>
      </c>
      <c r="D344" s="3">
        <v>45701</v>
      </c>
      <c r="E344" s="11">
        <v>19</v>
      </c>
      <c r="F344" s="11">
        <v>17</v>
      </c>
      <c r="G344" t="str">
        <f t="shared" si="5"/>
        <v>89% of goods arrived</v>
      </c>
    </row>
    <row r="345" spans="1:7" x14ac:dyDescent="0.25">
      <c r="A345" s="4" t="s">
        <v>1486</v>
      </c>
      <c r="B345" s="4" t="s">
        <v>557</v>
      </c>
      <c r="C345" s="4" t="s">
        <v>62</v>
      </c>
      <c r="D345" s="3">
        <v>45698</v>
      </c>
      <c r="E345" s="11">
        <v>145</v>
      </c>
      <c r="F345" s="11">
        <v>119</v>
      </c>
      <c r="G345" t="str">
        <f t="shared" si="5"/>
        <v>82% of goods arrived</v>
      </c>
    </row>
    <row r="346" spans="1:7" x14ac:dyDescent="0.25">
      <c r="A346" s="4" t="s">
        <v>1487</v>
      </c>
      <c r="B346" s="4" t="s">
        <v>557</v>
      </c>
      <c r="C346" s="4" t="s">
        <v>62</v>
      </c>
      <c r="D346" s="3">
        <v>45698</v>
      </c>
      <c r="E346" s="11">
        <v>103</v>
      </c>
      <c r="F346" s="11">
        <v>82</v>
      </c>
      <c r="G346" t="str">
        <f t="shared" si="5"/>
        <v>80% of goods arrived</v>
      </c>
    </row>
    <row r="347" spans="1:7" x14ac:dyDescent="0.25">
      <c r="A347" s="4" t="s">
        <v>1488</v>
      </c>
      <c r="B347" s="4" t="s">
        <v>557</v>
      </c>
      <c r="C347" s="4" t="s">
        <v>62</v>
      </c>
      <c r="D347" s="3">
        <v>45698</v>
      </c>
      <c r="E347" s="11">
        <v>153</v>
      </c>
      <c r="F347" s="11">
        <v>115</v>
      </c>
      <c r="G347" t="str">
        <f t="shared" si="5"/>
        <v>75% of goods arrived</v>
      </c>
    </row>
    <row r="348" spans="1:7" x14ac:dyDescent="0.25">
      <c r="A348" s="4" t="s">
        <v>1489</v>
      </c>
      <c r="B348" s="4" t="s">
        <v>449</v>
      </c>
      <c r="C348" s="4" t="s">
        <v>282</v>
      </c>
      <c r="D348" s="3">
        <v>45702</v>
      </c>
      <c r="E348" s="11">
        <v>232</v>
      </c>
      <c r="F348" s="11">
        <v>218</v>
      </c>
      <c r="G348" t="str">
        <f t="shared" si="5"/>
        <v>94% of goods arrived</v>
      </c>
    </row>
    <row r="349" spans="1:7" x14ac:dyDescent="0.25">
      <c r="A349" s="4" t="s">
        <v>1490</v>
      </c>
      <c r="B349" s="4" t="s">
        <v>915</v>
      </c>
      <c r="C349" s="4" t="s">
        <v>282</v>
      </c>
      <c r="D349" s="3">
        <v>45702</v>
      </c>
      <c r="E349" s="11">
        <v>230</v>
      </c>
      <c r="F349" s="11">
        <v>0</v>
      </c>
      <c r="G349" t="str">
        <f t="shared" si="5"/>
        <v>0% of goods arrived</v>
      </c>
    </row>
    <row r="350" spans="1:7" x14ac:dyDescent="0.25">
      <c r="A350" s="4" t="s">
        <v>1491</v>
      </c>
      <c r="B350" s="4" t="s">
        <v>417</v>
      </c>
      <c r="C350" s="4" t="s">
        <v>294</v>
      </c>
      <c r="D350" s="3">
        <v>45669</v>
      </c>
      <c r="E350" s="11">
        <v>172</v>
      </c>
      <c r="F350" s="11">
        <v>157</v>
      </c>
      <c r="G350" t="str">
        <f t="shared" si="5"/>
        <v>91% of goods arrived</v>
      </c>
    </row>
    <row r="351" spans="1:7" x14ac:dyDescent="0.25">
      <c r="A351" s="4" t="s">
        <v>1492</v>
      </c>
      <c r="B351" s="4" t="s">
        <v>417</v>
      </c>
      <c r="C351" s="4" t="s">
        <v>294</v>
      </c>
      <c r="D351" s="3">
        <v>45669</v>
      </c>
      <c r="E351" s="11">
        <v>76</v>
      </c>
      <c r="F351" s="11">
        <v>0</v>
      </c>
      <c r="G351" t="str">
        <f t="shared" si="5"/>
        <v>0% of goods arrived</v>
      </c>
    </row>
    <row r="352" spans="1:7" x14ac:dyDescent="0.25">
      <c r="A352" s="4" t="s">
        <v>1493</v>
      </c>
      <c r="B352" s="4" t="s">
        <v>837</v>
      </c>
      <c r="C352" s="4" t="s">
        <v>294</v>
      </c>
      <c r="D352" s="3">
        <v>45669</v>
      </c>
      <c r="E352" s="11">
        <v>168</v>
      </c>
      <c r="F352" s="11">
        <v>150</v>
      </c>
      <c r="G352" t="str">
        <f t="shared" si="5"/>
        <v>89% of goods arrived</v>
      </c>
    </row>
    <row r="353" spans="1:7" x14ac:dyDescent="0.25">
      <c r="A353" s="4" t="s">
        <v>1494</v>
      </c>
      <c r="B353" s="4" t="s">
        <v>807</v>
      </c>
      <c r="C353" s="4" t="s">
        <v>184</v>
      </c>
      <c r="D353" s="3">
        <v>45705</v>
      </c>
      <c r="E353" s="11">
        <v>13</v>
      </c>
      <c r="F353" s="11">
        <v>10</v>
      </c>
      <c r="G353" t="str">
        <f t="shared" si="5"/>
        <v>77% of goods arrived</v>
      </c>
    </row>
    <row r="354" spans="1:7" x14ac:dyDescent="0.25">
      <c r="A354" s="4" t="s">
        <v>1495</v>
      </c>
      <c r="B354" s="4" t="s">
        <v>539</v>
      </c>
      <c r="C354" s="4" t="s">
        <v>184</v>
      </c>
      <c r="D354" s="3">
        <v>45705</v>
      </c>
      <c r="E354" s="11">
        <v>60</v>
      </c>
      <c r="F354" s="11">
        <v>57</v>
      </c>
      <c r="G354" t="str">
        <f t="shared" si="5"/>
        <v>95% of goods arrived</v>
      </c>
    </row>
    <row r="355" spans="1:7" x14ac:dyDescent="0.25">
      <c r="A355" s="4" t="s">
        <v>1496</v>
      </c>
      <c r="B355" s="4" t="s">
        <v>539</v>
      </c>
      <c r="C355" s="4" t="s">
        <v>184</v>
      </c>
      <c r="D355" s="3">
        <v>45705</v>
      </c>
      <c r="E355" s="11">
        <v>223</v>
      </c>
      <c r="F355" s="11">
        <v>213</v>
      </c>
      <c r="G355" t="str">
        <f t="shared" si="5"/>
        <v>96% of goods arrived</v>
      </c>
    </row>
    <row r="356" spans="1:7" x14ac:dyDescent="0.25">
      <c r="A356" s="4" t="s">
        <v>1497</v>
      </c>
      <c r="B356" s="4" t="s">
        <v>681</v>
      </c>
      <c r="C356" s="4" t="s">
        <v>45</v>
      </c>
      <c r="D356" s="3">
        <v>45720</v>
      </c>
      <c r="E356" s="11">
        <v>105</v>
      </c>
      <c r="F356" s="11">
        <v>0</v>
      </c>
      <c r="G356" t="str">
        <f t="shared" si="5"/>
        <v>0% of goods arrived</v>
      </c>
    </row>
    <row r="357" spans="1:7" x14ac:dyDescent="0.25">
      <c r="A357" s="4" t="s">
        <v>1498</v>
      </c>
      <c r="B357" s="4" t="s">
        <v>499</v>
      </c>
      <c r="C357" s="4" t="s">
        <v>45</v>
      </c>
      <c r="D357" s="3">
        <v>45720</v>
      </c>
      <c r="E357" s="11">
        <v>114</v>
      </c>
      <c r="F357" s="11">
        <v>109</v>
      </c>
      <c r="G357" t="str">
        <f t="shared" si="5"/>
        <v>96% of goods arrived</v>
      </c>
    </row>
    <row r="358" spans="1:7" x14ac:dyDescent="0.25">
      <c r="A358" s="4" t="s">
        <v>1499</v>
      </c>
      <c r="B358" s="4" t="s">
        <v>557</v>
      </c>
      <c r="C358" s="4" t="s">
        <v>62</v>
      </c>
      <c r="D358" s="3">
        <v>45690</v>
      </c>
      <c r="E358" s="11">
        <v>156</v>
      </c>
      <c r="F358" s="11">
        <v>152</v>
      </c>
      <c r="G358" t="str">
        <f t="shared" si="5"/>
        <v>97% of goods arrived</v>
      </c>
    </row>
    <row r="359" spans="1:7" x14ac:dyDescent="0.25">
      <c r="A359" s="4" t="s">
        <v>1500</v>
      </c>
      <c r="B359" s="4" t="s">
        <v>557</v>
      </c>
      <c r="C359" s="4" t="s">
        <v>62</v>
      </c>
      <c r="D359" s="3">
        <v>45690</v>
      </c>
      <c r="E359" s="11">
        <v>99</v>
      </c>
      <c r="F359" s="11">
        <v>89</v>
      </c>
      <c r="G359" t="str">
        <f t="shared" si="5"/>
        <v>90% of goods arrived</v>
      </c>
    </row>
    <row r="360" spans="1:7" x14ac:dyDescent="0.25">
      <c r="A360" s="4" t="s">
        <v>1501</v>
      </c>
      <c r="B360" s="4" t="s">
        <v>557</v>
      </c>
      <c r="C360" s="4" t="s">
        <v>62</v>
      </c>
      <c r="D360" s="3">
        <v>45690</v>
      </c>
      <c r="E360" s="11">
        <v>37</v>
      </c>
      <c r="F360" s="11">
        <v>34</v>
      </c>
      <c r="G360" t="str">
        <f t="shared" si="5"/>
        <v>92% of goods arrived</v>
      </c>
    </row>
    <row r="361" spans="1:7" x14ac:dyDescent="0.25">
      <c r="A361" s="4" t="s">
        <v>1502</v>
      </c>
      <c r="B361" s="4" t="s">
        <v>813</v>
      </c>
      <c r="C361" s="4" t="s">
        <v>232</v>
      </c>
      <c r="D361" s="3">
        <v>45678</v>
      </c>
      <c r="E361" s="11">
        <v>131</v>
      </c>
      <c r="F361" s="11">
        <v>0</v>
      </c>
      <c r="G361" t="str">
        <f t="shared" si="5"/>
        <v>0% of goods arrived</v>
      </c>
    </row>
    <row r="362" spans="1:7" x14ac:dyDescent="0.25">
      <c r="A362" s="4" t="s">
        <v>1503</v>
      </c>
      <c r="B362" s="4" t="s">
        <v>813</v>
      </c>
      <c r="C362" s="4" t="s">
        <v>232</v>
      </c>
      <c r="D362" s="3">
        <v>45678</v>
      </c>
      <c r="E362" s="11">
        <v>213</v>
      </c>
      <c r="F362" s="11">
        <v>192</v>
      </c>
      <c r="G362" t="str">
        <f t="shared" si="5"/>
        <v>90% of goods arrived</v>
      </c>
    </row>
    <row r="363" spans="1:7" x14ac:dyDescent="0.25">
      <c r="A363" s="4" t="s">
        <v>1504</v>
      </c>
      <c r="B363" s="4" t="s">
        <v>813</v>
      </c>
      <c r="C363" s="4" t="s">
        <v>232</v>
      </c>
      <c r="D363" s="3">
        <v>45678</v>
      </c>
      <c r="E363" s="11">
        <v>156</v>
      </c>
      <c r="F363" s="11">
        <v>153</v>
      </c>
      <c r="G363" t="str">
        <f t="shared" si="5"/>
        <v>98% of goods arrived</v>
      </c>
    </row>
    <row r="364" spans="1:7" x14ac:dyDescent="0.25">
      <c r="A364" s="4" t="s">
        <v>1505</v>
      </c>
      <c r="B364" s="4" t="s">
        <v>858</v>
      </c>
      <c r="C364" s="4" t="s">
        <v>333</v>
      </c>
      <c r="D364" s="3">
        <v>45708</v>
      </c>
      <c r="E364" s="11">
        <v>13</v>
      </c>
      <c r="F364" s="11">
        <v>11</v>
      </c>
      <c r="G364" t="str">
        <f t="shared" si="5"/>
        <v>85% of goods arrived</v>
      </c>
    </row>
    <row r="365" spans="1:7" x14ac:dyDescent="0.25">
      <c r="A365" s="4" t="s">
        <v>1506</v>
      </c>
      <c r="B365" s="4" t="s">
        <v>858</v>
      </c>
      <c r="C365" s="4" t="s">
        <v>333</v>
      </c>
      <c r="D365" s="3">
        <v>45708</v>
      </c>
      <c r="E365" s="11">
        <v>233</v>
      </c>
      <c r="F365" s="11">
        <v>176</v>
      </c>
      <c r="G365" t="str">
        <f t="shared" si="5"/>
        <v>76% of goods arrived</v>
      </c>
    </row>
    <row r="366" spans="1:7" x14ac:dyDescent="0.25">
      <c r="A366" s="4" t="s">
        <v>1507</v>
      </c>
      <c r="B366" s="4" t="s">
        <v>768</v>
      </c>
      <c r="C366" s="4" t="s">
        <v>253</v>
      </c>
      <c r="D366" s="3">
        <v>45707</v>
      </c>
      <c r="E366" s="11">
        <v>182</v>
      </c>
      <c r="F366" s="11">
        <v>0</v>
      </c>
      <c r="G366" t="str">
        <f t="shared" si="5"/>
        <v>0% of goods arrived</v>
      </c>
    </row>
    <row r="367" spans="1:7" x14ac:dyDescent="0.25">
      <c r="A367" s="4" t="s">
        <v>1508</v>
      </c>
      <c r="B367" s="4" t="s">
        <v>768</v>
      </c>
      <c r="C367" s="4" t="s">
        <v>253</v>
      </c>
      <c r="D367" s="3">
        <v>45707</v>
      </c>
      <c r="E367" s="11">
        <v>178</v>
      </c>
      <c r="F367" s="11">
        <v>150</v>
      </c>
      <c r="G367" t="str">
        <f t="shared" si="5"/>
        <v>84% of goods arrived</v>
      </c>
    </row>
    <row r="368" spans="1:7" x14ac:dyDescent="0.25">
      <c r="A368" s="4" t="s">
        <v>1509</v>
      </c>
      <c r="B368" s="4" t="s">
        <v>831</v>
      </c>
      <c r="C368" s="4" t="s">
        <v>253</v>
      </c>
      <c r="D368" s="3">
        <v>45707</v>
      </c>
      <c r="E368" s="11">
        <v>126</v>
      </c>
      <c r="F368" s="11">
        <v>0</v>
      </c>
      <c r="G368" t="str">
        <f t="shared" si="5"/>
        <v>0% of goods arrived</v>
      </c>
    </row>
    <row r="369" spans="1:7" x14ac:dyDescent="0.25">
      <c r="A369" s="4" t="s">
        <v>1510</v>
      </c>
      <c r="B369" s="4" t="s">
        <v>618</v>
      </c>
      <c r="C369" s="4" t="s">
        <v>167</v>
      </c>
      <c r="D369" s="3">
        <v>45702</v>
      </c>
      <c r="E369" s="11">
        <v>151</v>
      </c>
      <c r="F369" s="11">
        <v>127</v>
      </c>
      <c r="G369" t="str">
        <f t="shared" si="5"/>
        <v>84% of goods arrived</v>
      </c>
    </row>
    <row r="370" spans="1:7" x14ac:dyDescent="0.25">
      <c r="A370" s="4" t="s">
        <v>1511</v>
      </c>
      <c r="B370" s="4" t="s">
        <v>618</v>
      </c>
      <c r="C370" s="4" t="s">
        <v>167</v>
      </c>
      <c r="D370" s="3">
        <v>45702</v>
      </c>
      <c r="E370" s="11">
        <v>233</v>
      </c>
      <c r="F370" s="11">
        <v>0</v>
      </c>
      <c r="G370" t="str">
        <f t="shared" si="5"/>
        <v>0% of goods arrived</v>
      </c>
    </row>
    <row r="371" spans="1:7" x14ac:dyDescent="0.25">
      <c r="A371" s="4" t="s">
        <v>1512</v>
      </c>
      <c r="B371" s="4" t="s">
        <v>430</v>
      </c>
      <c r="C371" s="4" t="s">
        <v>312</v>
      </c>
      <c r="D371" s="3">
        <v>45702</v>
      </c>
      <c r="E371" s="11">
        <v>152</v>
      </c>
      <c r="F371" s="11">
        <v>129</v>
      </c>
      <c r="G371" t="str">
        <f t="shared" si="5"/>
        <v>85% of goods arrived</v>
      </c>
    </row>
    <row r="372" spans="1:7" x14ac:dyDescent="0.25">
      <c r="A372" s="4" t="s">
        <v>1513</v>
      </c>
      <c r="B372" s="4" t="s">
        <v>430</v>
      </c>
      <c r="C372" s="4" t="s">
        <v>312</v>
      </c>
      <c r="D372" s="3">
        <v>45702</v>
      </c>
      <c r="E372" s="11">
        <v>201</v>
      </c>
      <c r="F372" s="11">
        <v>178</v>
      </c>
      <c r="G372" t="str">
        <f t="shared" si="5"/>
        <v>89% of goods arrived</v>
      </c>
    </row>
    <row r="373" spans="1:7" x14ac:dyDescent="0.25">
      <c r="A373" s="4" t="s">
        <v>1514</v>
      </c>
      <c r="B373" s="4" t="s">
        <v>430</v>
      </c>
      <c r="C373" s="4" t="s">
        <v>312</v>
      </c>
      <c r="D373" s="3">
        <v>45702</v>
      </c>
      <c r="E373" s="11">
        <v>89</v>
      </c>
      <c r="F373" s="11">
        <v>88</v>
      </c>
      <c r="G373" t="str">
        <f t="shared" si="5"/>
        <v>99% of goods arrived</v>
      </c>
    </row>
    <row r="374" spans="1:7" x14ac:dyDescent="0.25">
      <c r="A374" s="4" t="s">
        <v>1515</v>
      </c>
      <c r="B374" s="4" t="s">
        <v>687</v>
      </c>
      <c r="C374" s="4" t="s">
        <v>164</v>
      </c>
      <c r="D374" s="3">
        <v>45683</v>
      </c>
      <c r="E374" s="11">
        <v>207</v>
      </c>
      <c r="F374" s="11">
        <v>0</v>
      </c>
      <c r="G374" t="str">
        <f t="shared" si="5"/>
        <v>0% of goods arrived</v>
      </c>
    </row>
    <row r="375" spans="1:7" x14ac:dyDescent="0.25">
      <c r="A375" s="4" t="s">
        <v>1516</v>
      </c>
      <c r="B375" s="4" t="s">
        <v>687</v>
      </c>
      <c r="C375" s="4" t="s">
        <v>164</v>
      </c>
      <c r="D375" s="3">
        <v>45683</v>
      </c>
      <c r="E375" s="11">
        <v>24</v>
      </c>
      <c r="F375" s="11">
        <v>22</v>
      </c>
      <c r="G375" t="str">
        <f t="shared" si="5"/>
        <v>92% of goods arrived</v>
      </c>
    </row>
    <row r="376" spans="1:7" x14ac:dyDescent="0.25">
      <c r="A376" s="4" t="s">
        <v>1517</v>
      </c>
      <c r="B376" s="4" t="s">
        <v>660</v>
      </c>
      <c r="C376" s="4" t="s">
        <v>164</v>
      </c>
      <c r="D376" s="3">
        <v>45683</v>
      </c>
      <c r="E376" s="11">
        <v>143</v>
      </c>
      <c r="F376" s="11">
        <v>140</v>
      </c>
      <c r="G376" t="str">
        <f t="shared" si="5"/>
        <v>98% of goods arrived</v>
      </c>
    </row>
    <row r="377" spans="1:7" x14ac:dyDescent="0.25">
      <c r="A377" s="4" t="s">
        <v>1518</v>
      </c>
      <c r="B377" s="4" t="s">
        <v>557</v>
      </c>
      <c r="C377" s="4" t="s">
        <v>62</v>
      </c>
      <c r="D377" s="3">
        <v>45680</v>
      </c>
      <c r="E377" s="11">
        <v>30</v>
      </c>
      <c r="F377" s="11">
        <v>26</v>
      </c>
      <c r="G377" t="str">
        <f t="shared" si="5"/>
        <v>87% of goods arrived</v>
      </c>
    </row>
    <row r="378" spans="1:7" x14ac:dyDescent="0.25">
      <c r="A378" s="4" t="s">
        <v>1519</v>
      </c>
      <c r="B378" s="4" t="s">
        <v>557</v>
      </c>
      <c r="C378" s="4" t="s">
        <v>62</v>
      </c>
      <c r="D378" s="3">
        <v>45680</v>
      </c>
      <c r="E378" s="11">
        <v>214</v>
      </c>
      <c r="F378" s="11">
        <v>0</v>
      </c>
      <c r="G378" t="str">
        <f t="shared" si="5"/>
        <v>0% of goods arrived</v>
      </c>
    </row>
    <row r="379" spans="1:7" x14ac:dyDescent="0.25">
      <c r="A379" s="4" t="s">
        <v>1520</v>
      </c>
      <c r="B379" s="4" t="s">
        <v>557</v>
      </c>
      <c r="C379" s="4" t="s">
        <v>62</v>
      </c>
      <c r="D379" s="3">
        <v>45680</v>
      </c>
      <c r="E379" s="11">
        <v>198</v>
      </c>
      <c r="F379" s="11">
        <v>156</v>
      </c>
      <c r="G379" t="str">
        <f t="shared" si="5"/>
        <v>79% of goods arrived</v>
      </c>
    </row>
    <row r="380" spans="1:7" x14ac:dyDescent="0.25">
      <c r="A380" s="4" t="s">
        <v>1521</v>
      </c>
      <c r="B380" s="4" t="s">
        <v>918</v>
      </c>
      <c r="C380" s="4" t="s">
        <v>102</v>
      </c>
      <c r="D380" s="3">
        <v>45729</v>
      </c>
      <c r="E380" s="11">
        <v>86</v>
      </c>
      <c r="F380" s="11">
        <v>72</v>
      </c>
      <c r="G380" t="str">
        <f t="shared" si="5"/>
        <v>84% of goods arrived</v>
      </c>
    </row>
    <row r="381" spans="1:7" x14ac:dyDescent="0.25">
      <c r="A381" s="4" t="s">
        <v>1522</v>
      </c>
      <c r="B381" s="4" t="s">
        <v>882</v>
      </c>
      <c r="C381" s="4" t="s">
        <v>102</v>
      </c>
      <c r="D381" s="3">
        <v>45729</v>
      </c>
      <c r="E381" s="11">
        <v>61</v>
      </c>
      <c r="F381" s="11">
        <v>48</v>
      </c>
      <c r="G381" t="str">
        <f t="shared" si="5"/>
        <v>79% of goods arrived</v>
      </c>
    </row>
    <row r="382" spans="1:7" x14ac:dyDescent="0.25">
      <c r="A382" s="4" t="s">
        <v>1523</v>
      </c>
      <c r="B382" s="4" t="s">
        <v>672</v>
      </c>
      <c r="C382" s="4" t="s">
        <v>102</v>
      </c>
      <c r="D382" s="3">
        <v>45729</v>
      </c>
      <c r="E382" s="11">
        <v>37</v>
      </c>
      <c r="F382" s="11">
        <v>0</v>
      </c>
      <c r="G382" t="str">
        <f t="shared" si="5"/>
        <v>0% of goods arrived</v>
      </c>
    </row>
    <row r="383" spans="1:7" x14ac:dyDescent="0.25">
      <c r="A383" s="4" t="s">
        <v>1524</v>
      </c>
      <c r="B383" s="4" t="s">
        <v>463</v>
      </c>
      <c r="C383" s="4" t="s">
        <v>131</v>
      </c>
      <c r="D383" s="3">
        <v>45688</v>
      </c>
      <c r="E383" s="11">
        <v>11</v>
      </c>
      <c r="F383" s="11">
        <v>9</v>
      </c>
      <c r="G383" t="str">
        <f t="shared" si="5"/>
        <v>82% of goods arrived</v>
      </c>
    </row>
    <row r="384" spans="1:7" x14ac:dyDescent="0.25">
      <c r="A384" s="4" t="s">
        <v>1525</v>
      </c>
      <c r="B384" s="4" t="s">
        <v>440</v>
      </c>
      <c r="C384" s="4" t="s">
        <v>131</v>
      </c>
      <c r="D384" s="3">
        <v>45688</v>
      </c>
      <c r="E384" s="11">
        <v>180</v>
      </c>
      <c r="F384" s="11">
        <v>168</v>
      </c>
      <c r="G384" t="str">
        <f t="shared" si="5"/>
        <v>93% of goods arrived</v>
      </c>
    </row>
    <row r="385" spans="1:7" x14ac:dyDescent="0.25">
      <c r="A385" s="4" t="s">
        <v>1526</v>
      </c>
      <c r="B385" s="4" t="s">
        <v>708</v>
      </c>
      <c r="C385" s="4" t="s">
        <v>300</v>
      </c>
      <c r="D385" s="3">
        <v>45707</v>
      </c>
      <c r="E385" s="11">
        <v>228</v>
      </c>
      <c r="F385" s="11">
        <v>215</v>
      </c>
      <c r="G385" t="str">
        <f t="shared" si="5"/>
        <v>94% of goods arrived</v>
      </c>
    </row>
    <row r="386" spans="1:7" x14ac:dyDescent="0.25">
      <c r="A386" s="4" t="s">
        <v>1527</v>
      </c>
      <c r="B386" s="4" t="s">
        <v>813</v>
      </c>
      <c r="C386" s="4" t="s">
        <v>300</v>
      </c>
      <c r="D386" s="3">
        <v>45707</v>
      </c>
      <c r="E386" s="11">
        <v>105</v>
      </c>
      <c r="F386" s="11">
        <v>95</v>
      </c>
      <c r="G386" t="str">
        <f t="shared" ref="G386:G449" si="6">IF(E386-F386 &lt;&gt; 0,
      TEXT(F386/E386,
       "0%") &amp; " of goods arrived",
      IF(E386=F386,
      "All goods arrived",
      "All goods missing"))</f>
        <v>90% of goods arrived</v>
      </c>
    </row>
    <row r="387" spans="1:7" x14ac:dyDescent="0.25">
      <c r="A387" s="4" t="s">
        <v>1528</v>
      </c>
      <c r="B387" s="4" t="s">
        <v>648</v>
      </c>
      <c r="C387" s="4" t="s">
        <v>300</v>
      </c>
      <c r="D387" s="3">
        <v>45707</v>
      </c>
      <c r="E387" s="11">
        <v>27</v>
      </c>
      <c r="F387" s="11">
        <v>26</v>
      </c>
      <c r="G387" t="str">
        <f t="shared" si="6"/>
        <v>96% of goods arrived</v>
      </c>
    </row>
    <row r="388" spans="1:7" x14ac:dyDescent="0.25">
      <c r="A388" s="4" t="s">
        <v>1529</v>
      </c>
      <c r="B388" s="4" t="s">
        <v>579</v>
      </c>
      <c r="C388" s="4" t="s">
        <v>330</v>
      </c>
      <c r="D388" s="3">
        <v>45718</v>
      </c>
      <c r="E388" s="11">
        <v>31</v>
      </c>
      <c r="F388" s="11">
        <v>27</v>
      </c>
      <c r="G388" t="str">
        <f t="shared" si="6"/>
        <v>87% of goods arrived</v>
      </c>
    </row>
    <row r="389" spans="1:7" x14ac:dyDescent="0.25">
      <c r="A389" s="4" t="s">
        <v>1530</v>
      </c>
      <c r="B389" s="4" t="s">
        <v>657</v>
      </c>
      <c r="C389" s="4" t="s">
        <v>330</v>
      </c>
      <c r="D389" s="3">
        <v>45718</v>
      </c>
      <c r="E389" s="11">
        <v>42</v>
      </c>
      <c r="F389" s="11">
        <v>0</v>
      </c>
      <c r="G389" t="str">
        <f t="shared" si="6"/>
        <v>0% of goods arrived</v>
      </c>
    </row>
    <row r="390" spans="1:7" x14ac:dyDescent="0.25">
      <c r="A390" s="4" t="s">
        <v>1531</v>
      </c>
      <c r="B390" s="4" t="s">
        <v>579</v>
      </c>
      <c r="C390" s="4" t="s">
        <v>330</v>
      </c>
      <c r="D390" s="3">
        <v>45718</v>
      </c>
      <c r="E390" s="11">
        <v>178</v>
      </c>
      <c r="F390" s="11">
        <v>0</v>
      </c>
      <c r="G390" t="str">
        <f t="shared" si="6"/>
        <v>0% of goods arrived</v>
      </c>
    </row>
    <row r="391" spans="1:7" x14ac:dyDescent="0.25">
      <c r="A391" s="4" t="s">
        <v>1532</v>
      </c>
      <c r="B391" s="4" t="s">
        <v>675</v>
      </c>
      <c r="C391" s="4" t="s">
        <v>318</v>
      </c>
      <c r="D391" s="3">
        <v>45677</v>
      </c>
      <c r="E391" s="11">
        <v>139</v>
      </c>
      <c r="F391" s="11">
        <v>126</v>
      </c>
      <c r="G391" t="str">
        <f t="shared" si="6"/>
        <v>91% of goods arrived</v>
      </c>
    </row>
    <row r="392" spans="1:7" x14ac:dyDescent="0.25">
      <c r="A392" s="4" t="s">
        <v>1533</v>
      </c>
      <c r="B392" s="4" t="s">
        <v>675</v>
      </c>
      <c r="C392" s="4" t="s">
        <v>318</v>
      </c>
      <c r="D392" s="3">
        <v>45677</v>
      </c>
      <c r="E392" s="11">
        <v>236</v>
      </c>
      <c r="F392" s="11">
        <v>0</v>
      </c>
      <c r="G392" t="str">
        <f t="shared" si="6"/>
        <v>0% of goods arrived</v>
      </c>
    </row>
    <row r="393" spans="1:7" x14ac:dyDescent="0.25">
      <c r="A393" s="4" t="s">
        <v>1534</v>
      </c>
      <c r="B393" s="4" t="s">
        <v>603</v>
      </c>
      <c r="C393" s="4" t="s">
        <v>161</v>
      </c>
      <c r="D393" s="3">
        <v>45667</v>
      </c>
      <c r="E393" s="11">
        <v>91</v>
      </c>
      <c r="F393" s="11">
        <v>88</v>
      </c>
      <c r="G393" t="str">
        <f t="shared" si="6"/>
        <v>97% of goods arrived</v>
      </c>
    </row>
    <row r="394" spans="1:7" x14ac:dyDescent="0.25">
      <c r="A394" s="4" t="s">
        <v>1535</v>
      </c>
      <c r="B394" s="4" t="s">
        <v>603</v>
      </c>
      <c r="C394" s="4" t="s">
        <v>161</v>
      </c>
      <c r="D394" s="3">
        <v>45667</v>
      </c>
      <c r="E394" s="11">
        <v>126</v>
      </c>
      <c r="F394" s="11">
        <v>120</v>
      </c>
      <c r="G394" t="str">
        <f t="shared" si="6"/>
        <v>95% of goods arrived</v>
      </c>
    </row>
    <row r="395" spans="1:7" x14ac:dyDescent="0.25">
      <c r="A395" s="4" t="s">
        <v>1536</v>
      </c>
      <c r="B395" s="4" t="s">
        <v>493</v>
      </c>
      <c r="C395" s="4" t="s">
        <v>161</v>
      </c>
      <c r="D395" s="3">
        <v>45667</v>
      </c>
      <c r="E395" s="11">
        <v>137</v>
      </c>
      <c r="F395" s="11">
        <v>0</v>
      </c>
      <c r="G395" t="str">
        <f t="shared" si="6"/>
        <v>0% of goods arrived</v>
      </c>
    </row>
    <row r="396" spans="1:7" x14ac:dyDescent="0.25">
      <c r="A396" s="4" t="s">
        <v>1537</v>
      </c>
      <c r="B396" s="4" t="s">
        <v>888</v>
      </c>
      <c r="C396" s="4" t="s">
        <v>208</v>
      </c>
      <c r="D396" s="3">
        <v>45726</v>
      </c>
      <c r="E396" s="11">
        <v>150</v>
      </c>
      <c r="F396" s="11">
        <v>0</v>
      </c>
      <c r="G396" t="str">
        <f t="shared" si="6"/>
        <v>0% of goods arrived</v>
      </c>
    </row>
    <row r="397" spans="1:7" x14ac:dyDescent="0.25">
      <c r="A397" s="4" t="s">
        <v>1538</v>
      </c>
      <c r="B397" s="4" t="s">
        <v>888</v>
      </c>
      <c r="C397" s="4" t="s">
        <v>208</v>
      </c>
      <c r="D397" s="3">
        <v>45726</v>
      </c>
      <c r="E397" s="11">
        <v>190</v>
      </c>
      <c r="F397" s="11">
        <v>175</v>
      </c>
      <c r="G397" t="str">
        <f t="shared" si="6"/>
        <v>92% of goods arrived</v>
      </c>
    </row>
    <row r="398" spans="1:7" x14ac:dyDescent="0.25">
      <c r="A398" s="4" t="s">
        <v>1539</v>
      </c>
      <c r="B398" s="4" t="s">
        <v>888</v>
      </c>
      <c r="C398" s="4" t="s">
        <v>208</v>
      </c>
      <c r="D398" s="3">
        <v>45726</v>
      </c>
      <c r="E398" s="11">
        <v>169</v>
      </c>
      <c r="F398" s="11">
        <v>0</v>
      </c>
      <c r="G398" t="str">
        <f t="shared" si="6"/>
        <v>0% of goods arrived</v>
      </c>
    </row>
    <row r="399" spans="1:7" x14ac:dyDescent="0.25">
      <c r="A399" s="4" t="s">
        <v>1540</v>
      </c>
      <c r="B399" s="4" t="s">
        <v>427</v>
      </c>
      <c r="C399" s="4" t="s">
        <v>93</v>
      </c>
      <c r="D399" s="3">
        <v>45730</v>
      </c>
      <c r="E399" s="11">
        <v>113</v>
      </c>
      <c r="F399" s="11">
        <v>85</v>
      </c>
      <c r="G399" t="str">
        <f t="shared" si="6"/>
        <v>75% of goods arrived</v>
      </c>
    </row>
    <row r="400" spans="1:7" x14ac:dyDescent="0.25">
      <c r="A400" s="4" t="s">
        <v>1541</v>
      </c>
      <c r="B400" s="4" t="s">
        <v>615</v>
      </c>
      <c r="C400" s="4" t="s">
        <v>93</v>
      </c>
      <c r="D400" s="3">
        <v>45730</v>
      </c>
      <c r="E400" s="11">
        <v>169</v>
      </c>
      <c r="F400" s="11">
        <v>148</v>
      </c>
      <c r="G400" t="str">
        <f t="shared" si="6"/>
        <v>88% of goods arrived</v>
      </c>
    </row>
    <row r="401" spans="1:7" x14ac:dyDescent="0.25">
      <c r="A401" s="4" t="s">
        <v>1542</v>
      </c>
      <c r="B401" s="4" t="s">
        <v>813</v>
      </c>
      <c r="C401" s="4" t="s">
        <v>93</v>
      </c>
      <c r="D401" s="3">
        <v>45730</v>
      </c>
      <c r="E401" s="11">
        <v>149</v>
      </c>
      <c r="F401" s="11">
        <v>116</v>
      </c>
      <c r="G401" t="str">
        <f t="shared" si="6"/>
        <v>78% of goods arrived</v>
      </c>
    </row>
    <row r="402" spans="1:7" x14ac:dyDescent="0.25">
      <c r="A402" s="4" t="s">
        <v>1543</v>
      </c>
      <c r="B402" s="4" t="s">
        <v>639</v>
      </c>
      <c r="C402" s="4" t="s">
        <v>300</v>
      </c>
      <c r="D402" s="3">
        <v>45719</v>
      </c>
      <c r="E402" s="11">
        <v>201</v>
      </c>
      <c r="F402" s="11">
        <v>191</v>
      </c>
      <c r="G402" t="str">
        <f t="shared" si="6"/>
        <v>95% of goods arrived</v>
      </c>
    </row>
    <row r="403" spans="1:7" x14ac:dyDescent="0.25">
      <c r="A403" s="4" t="s">
        <v>1544</v>
      </c>
      <c r="B403" s="4" t="s">
        <v>750</v>
      </c>
      <c r="C403" s="4" t="s">
        <v>300</v>
      </c>
      <c r="D403" s="3">
        <v>45719</v>
      </c>
      <c r="E403" s="11">
        <v>60</v>
      </c>
      <c r="F403" s="11">
        <v>56</v>
      </c>
      <c r="G403" t="str">
        <f t="shared" si="6"/>
        <v>93% of goods arrived</v>
      </c>
    </row>
    <row r="404" spans="1:7" x14ac:dyDescent="0.25">
      <c r="A404" s="4" t="s">
        <v>1545</v>
      </c>
      <c r="B404" s="4" t="s">
        <v>711</v>
      </c>
      <c r="C404" s="4" t="s">
        <v>300</v>
      </c>
      <c r="D404" s="3">
        <v>45719</v>
      </c>
      <c r="E404" s="11">
        <v>67</v>
      </c>
      <c r="F404" s="11">
        <v>60</v>
      </c>
      <c r="G404" t="str">
        <f t="shared" si="6"/>
        <v>90% of goods arrived</v>
      </c>
    </row>
    <row r="405" spans="1:7" x14ac:dyDescent="0.25">
      <c r="A405" s="4" t="s">
        <v>1546</v>
      </c>
      <c r="B405" s="4" t="s">
        <v>807</v>
      </c>
      <c r="C405" s="4" t="s">
        <v>184</v>
      </c>
      <c r="D405" s="3">
        <v>45728</v>
      </c>
      <c r="E405" s="11">
        <v>19</v>
      </c>
      <c r="F405" s="11">
        <v>15</v>
      </c>
      <c r="G405" t="str">
        <f t="shared" si="6"/>
        <v>79% of goods arrived</v>
      </c>
    </row>
    <row r="406" spans="1:7" x14ac:dyDescent="0.25">
      <c r="A406" s="4" t="s">
        <v>1547</v>
      </c>
      <c r="B406" s="4" t="s">
        <v>539</v>
      </c>
      <c r="C406" s="4" t="s">
        <v>184</v>
      </c>
      <c r="D406" s="3">
        <v>45728</v>
      </c>
      <c r="E406" s="11">
        <v>130</v>
      </c>
      <c r="F406" s="11">
        <v>0</v>
      </c>
      <c r="G406" t="str">
        <f t="shared" si="6"/>
        <v>0% of goods arrived</v>
      </c>
    </row>
    <row r="407" spans="1:7" x14ac:dyDescent="0.25">
      <c r="A407" s="4" t="s">
        <v>1548</v>
      </c>
      <c r="B407" s="4" t="s">
        <v>539</v>
      </c>
      <c r="C407" s="4" t="s">
        <v>184</v>
      </c>
      <c r="D407" s="3">
        <v>45728</v>
      </c>
      <c r="E407" s="11">
        <v>193</v>
      </c>
      <c r="F407" s="11">
        <v>154</v>
      </c>
      <c r="G407" t="str">
        <f t="shared" si="6"/>
        <v>80% of goods arrived</v>
      </c>
    </row>
    <row r="408" spans="1:7" x14ac:dyDescent="0.25">
      <c r="A408" s="4" t="s">
        <v>1549</v>
      </c>
      <c r="B408" s="4" t="s">
        <v>681</v>
      </c>
      <c r="C408" s="4" t="s">
        <v>179</v>
      </c>
      <c r="D408" s="3">
        <v>45736</v>
      </c>
      <c r="E408" s="11">
        <v>170</v>
      </c>
      <c r="F408" s="11">
        <v>0</v>
      </c>
      <c r="G408" t="str">
        <f t="shared" si="6"/>
        <v>0% of goods arrived</v>
      </c>
    </row>
    <row r="409" spans="1:7" x14ac:dyDescent="0.25">
      <c r="A409" s="4" t="s">
        <v>1550</v>
      </c>
      <c r="B409" s="4" t="s">
        <v>681</v>
      </c>
      <c r="C409" s="4" t="s">
        <v>179</v>
      </c>
      <c r="D409" s="3">
        <v>45736</v>
      </c>
      <c r="E409" s="11">
        <v>88</v>
      </c>
      <c r="F409" s="11">
        <v>82</v>
      </c>
      <c r="G409" t="str">
        <f t="shared" si="6"/>
        <v>93% of goods arrived</v>
      </c>
    </row>
    <row r="410" spans="1:7" x14ac:dyDescent="0.25">
      <c r="A410" s="4" t="s">
        <v>1551</v>
      </c>
      <c r="B410" s="4" t="s">
        <v>681</v>
      </c>
      <c r="C410" s="4" t="s">
        <v>179</v>
      </c>
      <c r="D410" s="3">
        <v>45736</v>
      </c>
      <c r="E410" s="11">
        <v>149</v>
      </c>
      <c r="F410" s="11">
        <v>133</v>
      </c>
      <c r="G410" t="str">
        <f t="shared" si="6"/>
        <v>89% of goods arrived</v>
      </c>
    </row>
    <row r="411" spans="1:7" x14ac:dyDescent="0.25">
      <c r="A411" s="4" t="s">
        <v>1552</v>
      </c>
      <c r="B411" s="4" t="s">
        <v>624</v>
      </c>
      <c r="C411" s="4" t="s">
        <v>367</v>
      </c>
      <c r="D411" s="3">
        <v>45708</v>
      </c>
      <c r="E411" s="11">
        <v>195</v>
      </c>
      <c r="F411" s="11">
        <v>161</v>
      </c>
      <c r="G411" t="str">
        <f t="shared" si="6"/>
        <v>83% of goods arrived</v>
      </c>
    </row>
    <row r="412" spans="1:7" x14ac:dyDescent="0.25">
      <c r="A412" s="4" t="s">
        <v>1553</v>
      </c>
      <c r="B412" s="4" t="s">
        <v>624</v>
      </c>
      <c r="C412" s="4" t="s">
        <v>367</v>
      </c>
      <c r="D412" s="3">
        <v>45708</v>
      </c>
      <c r="E412" s="11">
        <v>135</v>
      </c>
      <c r="F412" s="11">
        <v>109</v>
      </c>
      <c r="G412" t="str">
        <f t="shared" si="6"/>
        <v>81% of goods arrived</v>
      </c>
    </row>
    <row r="413" spans="1:7" x14ac:dyDescent="0.25">
      <c r="A413" s="4" t="s">
        <v>1554</v>
      </c>
      <c r="B413" s="4" t="s">
        <v>624</v>
      </c>
      <c r="C413" s="4" t="s">
        <v>367</v>
      </c>
      <c r="D413" s="3">
        <v>45708</v>
      </c>
      <c r="E413" s="11">
        <v>86</v>
      </c>
      <c r="F413" s="11">
        <v>0</v>
      </c>
      <c r="G413" t="str">
        <f t="shared" si="6"/>
        <v>0% of goods arrived</v>
      </c>
    </row>
    <row r="414" spans="1:7" x14ac:dyDescent="0.25">
      <c r="A414" s="4" t="s">
        <v>1555</v>
      </c>
      <c r="B414" s="4" t="s">
        <v>813</v>
      </c>
      <c r="C414" s="4" t="s">
        <v>232</v>
      </c>
      <c r="D414" s="3">
        <v>45713</v>
      </c>
      <c r="E414" s="11">
        <v>70</v>
      </c>
      <c r="F414" s="11">
        <v>67</v>
      </c>
      <c r="G414" t="str">
        <f t="shared" si="6"/>
        <v>96% of goods arrived</v>
      </c>
    </row>
    <row r="415" spans="1:7" x14ac:dyDescent="0.25">
      <c r="A415" s="4" t="s">
        <v>1556</v>
      </c>
      <c r="B415" s="4" t="s">
        <v>813</v>
      </c>
      <c r="C415" s="4" t="s">
        <v>232</v>
      </c>
      <c r="D415" s="3">
        <v>45713</v>
      </c>
      <c r="E415" s="11">
        <v>34</v>
      </c>
      <c r="F415" s="11">
        <v>0</v>
      </c>
      <c r="G415" t="str">
        <f t="shared" si="6"/>
        <v>0% of goods arrived</v>
      </c>
    </row>
    <row r="416" spans="1:7" x14ac:dyDescent="0.25">
      <c r="A416" s="4" t="s">
        <v>1557</v>
      </c>
      <c r="B416" s="4" t="s">
        <v>771</v>
      </c>
      <c r="C416" s="4" t="s">
        <v>176</v>
      </c>
      <c r="D416" s="3">
        <v>45700</v>
      </c>
      <c r="E416" s="11">
        <v>220</v>
      </c>
      <c r="F416" s="11">
        <v>173</v>
      </c>
      <c r="G416" t="str">
        <f t="shared" si="6"/>
        <v>79% of goods arrived</v>
      </c>
    </row>
    <row r="417" spans="1:7" x14ac:dyDescent="0.25">
      <c r="A417" s="4" t="s">
        <v>1558</v>
      </c>
      <c r="B417" s="4" t="s">
        <v>924</v>
      </c>
      <c r="C417" s="4" t="s">
        <v>176</v>
      </c>
      <c r="D417" s="3">
        <v>45700</v>
      </c>
      <c r="E417" s="11">
        <v>149</v>
      </c>
      <c r="F417" s="11">
        <v>120</v>
      </c>
      <c r="G417" t="str">
        <f t="shared" si="6"/>
        <v>81% of goods arrived</v>
      </c>
    </row>
    <row r="418" spans="1:7" x14ac:dyDescent="0.25">
      <c r="A418" s="4" t="s">
        <v>1559</v>
      </c>
      <c r="B418" s="4" t="s">
        <v>906</v>
      </c>
      <c r="C418" s="4" t="s">
        <v>176</v>
      </c>
      <c r="D418" s="3">
        <v>45700</v>
      </c>
      <c r="E418" s="11">
        <v>160</v>
      </c>
      <c r="F418" s="11">
        <v>132</v>
      </c>
      <c r="G418" t="str">
        <f t="shared" si="6"/>
        <v>83% of goods arrived</v>
      </c>
    </row>
    <row r="419" spans="1:7" x14ac:dyDescent="0.25">
      <c r="A419" s="4" t="s">
        <v>1560</v>
      </c>
      <c r="B419" s="4" t="s">
        <v>597</v>
      </c>
      <c r="C419" s="4" t="s">
        <v>373</v>
      </c>
      <c r="D419" s="3">
        <v>45690</v>
      </c>
      <c r="E419" s="11">
        <v>214</v>
      </c>
      <c r="F419" s="11">
        <v>0</v>
      </c>
      <c r="G419" t="str">
        <f t="shared" si="6"/>
        <v>0% of goods arrived</v>
      </c>
    </row>
    <row r="420" spans="1:7" x14ac:dyDescent="0.25">
      <c r="A420" s="4" t="s">
        <v>1561</v>
      </c>
      <c r="B420" s="4" t="s">
        <v>597</v>
      </c>
      <c r="C420" s="4" t="s">
        <v>373</v>
      </c>
      <c r="D420" s="3">
        <v>45690</v>
      </c>
      <c r="E420" s="11">
        <v>240</v>
      </c>
      <c r="F420" s="11">
        <v>184</v>
      </c>
      <c r="G420" t="str">
        <f t="shared" si="6"/>
        <v>77% of goods arrived</v>
      </c>
    </row>
    <row r="421" spans="1:7" x14ac:dyDescent="0.25">
      <c r="A421" s="4" t="s">
        <v>1562</v>
      </c>
      <c r="B421" s="4" t="s">
        <v>597</v>
      </c>
      <c r="C421" s="4" t="s">
        <v>373</v>
      </c>
      <c r="D421" s="3">
        <v>45690</v>
      </c>
      <c r="E421" s="11">
        <v>123</v>
      </c>
      <c r="F421" s="11">
        <v>114</v>
      </c>
      <c r="G421" t="str">
        <f t="shared" si="6"/>
        <v>93% of goods arrived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3D6E-335B-4C73-837A-BBA665299390}">
  <sheetPr>
    <tabColor theme="9" tint="0.39997558519241921"/>
  </sheetPr>
  <dimension ref="A1:D16"/>
  <sheetViews>
    <sheetView workbookViewId="0">
      <selection activeCell="D12" sqref="D12"/>
    </sheetView>
  </sheetViews>
  <sheetFormatPr defaultRowHeight="15" x14ac:dyDescent="0.25"/>
  <cols>
    <col min="1" max="1" width="14.7109375" bestFit="1" customWidth="1"/>
    <col min="2" max="2" width="18.140625" bestFit="1" customWidth="1"/>
    <col min="3" max="3" width="20.140625" bestFit="1" customWidth="1"/>
    <col min="4" max="4" width="21.7109375" bestFit="1" customWidth="1"/>
  </cols>
  <sheetData>
    <row r="1" spans="1:4" x14ac:dyDescent="0.25">
      <c r="A1" t="s">
        <v>1566</v>
      </c>
      <c r="B1" t="s">
        <v>3368</v>
      </c>
      <c r="C1" t="s">
        <v>3369</v>
      </c>
      <c r="D1" t="s">
        <v>3370</v>
      </c>
    </row>
    <row r="2" spans="1:4" x14ac:dyDescent="0.25">
      <c r="A2" s="4" t="s">
        <v>2771</v>
      </c>
      <c r="B2" s="11">
        <v>1</v>
      </c>
      <c r="C2" s="11">
        <v>1</v>
      </c>
      <c r="D2" t="str">
        <f t="shared" ref="D2:D16" si="0">IF(B2=C2, "No Shrinkage Detected", "Shrinkage Detected")</f>
        <v>No Shrinkage Detected</v>
      </c>
    </row>
    <row r="3" spans="1:4" x14ac:dyDescent="0.25">
      <c r="A3" s="4" t="s">
        <v>2774</v>
      </c>
      <c r="B3" s="11">
        <v>4</v>
      </c>
      <c r="C3" s="11">
        <v>4</v>
      </c>
      <c r="D3" t="str">
        <f t="shared" si="0"/>
        <v>No Shrinkage Detected</v>
      </c>
    </row>
    <row r="4" spans="1:4" x14ac:dyDescent="0.25">
      <c r="A4" s="4" t="s">
        <v>2777</v>
      </c>
      <c r="B4" s="11">
        <v>5</v>
      </c>
      <c r="C4" s="11">
        <v>5</v>
      </c>
      <c r="D4" t="str">
        <f t="shared" si="0"/>
        <v>No Shrinkage Detected</v>
      </c>
    </row>
    <row r="5" spans="1:4" x14ac:dyDescent="0.25">
      <c r="A5" s="4" t="s">
        <v>2780</v>
      </c>
      <c r="B5" s="11">
        <v>2</v>
      </c>
      <c r="C5" s="11">
        <v>2</v>
      </c>
      <c r="D5" t="str">
        <f t="shared" si="0"/>
        <v>No Shrinkage Detected</v>
      </c>
    </row>
    <row r="6" spans="1:4" x14ac:dyDescent="0.25">
      <c r="A6" s="4" t="s">
        <v>2783</v>
      </c>
      <c r="B6" s="11">
        <v>1</v>
      </c>
      <c r="C6" s="11">
        <v>1</v>
      </c>
      <c r="D6" t="str">
        <f t="shared" si="0"/>
        <v>No Shrinkage Detected</v>
      </c>
    </row>
    <row r="7" spans="1:4" x14ac:dyDescent="0.25">
      <c r="A7" s="4" t="s">
        <v>2786</v>
      </c>
      <c r="B7" s="11">
        <v>7</v>
      </c>
      <c r="C7" s="11">
        <v>7</v>
      </c>
      <c r="D7" t="str">
        <f t="shared" si="0"/>
        <v>No Shrinkage Detected</v>
      </c>
    </row>
    <row r="8" spans="1:4" x14ac:dyDescent="0.25">
      <c r="A8" s="4" t="s">
        <v>2789</v>
      </c>
      <c r="B8" s="11">
        <v>5</v>
      </c>
      <c r="C8" s="11">
        <v>5</v>
      </c>
      <c r="D8" t="str">
        <f t="shared" si="0"/>
        <v>No Shrinkage Detected</v>
      </c>
    </row>
    <row r="9" spans="1:4" x14ac:dyDescent="0.25">
      <c r="A9" s="4" t="s">
        <v>2792</v>
      </c>
      <c r="B9" s="11">
        <v>7</v>
      </c>
      <c r="C9" s="11">
        <v>7</v>
      </c>
      <c r="D9" t="str">
        <f t="shared" si="0"/>
        <v>No Shrinkage Detected</v>
      </c>
    </row>
    <row r="10" spans="1:4" x14ac:dyDescent="0.25">
      <c r="A10" s="4" t="s">
        <v>2795</v>
      </c>
      <c r="B10" s="11">
        <v>4</v>
      </c>
      <c r="C10" s="11">
        <v>4</v>
      </c>
      <c r="D10" t="str">
        <f t="shared" si="0"/>
        <v>No Shrinkage Detected</v>
      </c>
    </row>
    <row r="11" spans="1:4" x14ac:dyDescent="0.25">
      <c r="A11" s="4" t="s">
        <v>2798</v>
      </c>
      <c r="B11" s="11">
        <v>3</v>
      </c>
      <c r="C11" s="11">
        <v>3</v>
      </c>
      <c r="D11" t="str">
        <f t="shared" si="0"/>
        <v>No Shrinkage Detected</v>
      </c>
    </row>
    <row r="12" spans="1:4" x14ac:dyDescent="0.25">
      <c r="A12" s="4" t="s">
        <v>2801</v>
      </c>
      <c r="B12" s="11">
        <v>7</v>
      </c>
      <c r="C12" s="11">
        <v>7</v>
      </c>
      <c r="D12" t="str">
        <f t="shared" si="0"/>
        <v>No Shrinkage Detected</v>
      </c>
    </row>
    <row r="13" spans="1:4" x14ac:dyDescent="0.25">
      <c r="A13" s="4" t="s">
        <v>2804</v>
      </c>
      <c r="B13" s="11">
        <v>4</v>
      </c>
      <c r="C13" s="11">
        <v>4</v>
      </c>
      <c r="D13" t="str">
        <f t="shared" si="0"/>
        <v>No Shrinkage Detected</v>
      </c>
    </row>
    <row r="14" spans="1:4" x14ac:dyDescent="0.25">
      <c r="A14" s="4" t="s">
        <v>2807</v>
      </c>
      <c r="B14" s="11">
        <v>6</v>
      </c>
      <c r="C14" s="11">
        <v>6</v>
      </c>
      <c r="D14" t="str">
        <f t="shared" si="0"/>
        <v>No Shrinkage Detected</v>
      </c>
    </row>
    <row r="15" spans="1:4" x14ac:dyDescent="0.25">
      <c r="A15" s="4" t="s">
        <v>2810</v>
      </c>
      <c r="B15" s="11">
        <v>2</v>
      </c>
      <c r="C15" s="11">
        <v>2</v>
      </c>
      <c r="D15" t="str">
        <f t="shared" si="0"/>
        <v>No Shrinkage Detected</v>
      </c>
    </row>
    <row r="16" spans="1:4" x14ac:dyDescent="0.25">
      <c r="A16" s="4" t="s">
        <v>2813</v>
      </c>
      <c r="B16" s="11">
        <v>2</v>
      </c>
      <c r="C16" s="11">
        <v>2</v>
      </c>
      <c r="D16" t="str">
        <f t="shared" si="0"/>
        <v>No Shrinkage Detected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680E-79A0-4852-ACD8-F30D77418C63}">
  <sheetPr>
    <tabColor theme="9" tint="0.39997558519241921"/>
  </sheetPr>
  <dimension ref="A1:D11"/>
  <sheetViews>
    <sheetView workbookViewId="0">
      <selection activeCell="D21" sqref="D21"/>
    </sheetView>
  </sheetViews>
  <sheetFormatPr defaultRowHeight="15" x14ac:dyDescent="0.25"/>
  <cols>
    <col min="1" max="1" width="16" bestFit="1" customWidth="1"/>
    <col min="2" max="2" width="11.28515625" bestFit="1" customWidth="1"/>
    <col min="3" max="3" width="25" bestFit="1" customWidth="1"/>
    <col min="4" max="4" width="27" bestFit="1" customWidth="1"/>
  </cols>
  <sheetData>
    <row r="1" spans="1:4" x14ac:dyDescent="0.25">
      <c r="A1" t="s">
        <v>949</v>
      </c>
      <c r="B1" t="s">
        <v>3376</v>
      </c>
      <c r="C1" t="s">
        <v>3374</v>
      </c>
      <c r="D1" t="s">
        <v>3375</v>
      </c>
    </row>
    <row r="2" spans="1:4" x14ac:dyDescent="0.25">
      <c r="A2" s="4" t="s">
        <v>959</v>
      </c>
      <c r="B2" s="12">
        <v>5341</v>
      </c>
      <c r="C2" s="11">
        <v>14</v>
      </c>
      <c r="D2" s="11">
        <v>0</v>
      </c>
    </row>
    <row r="3" spans="1:4" x14ac:dyDescent="0.25">
      <c r="A3" s="4" t="s">
        <v>990</v>
      </c>
      <c r="B3" s="12">
        <v>4517</v>
      </c>
      <c r="C3" s="11">
        <v>2</v>
      </c>
      <c r="D3" s="11">
        <v>17</v>
      </c>
    </row>
    <row r="4" spans="1:4" x14ac:dyDescent="0.25">
      <c r="A4" s="4" t="s">
        <v>996</v>
      </c>
      <c r="B4" s="12">
        <v>4212</v>
      </c>
      <c r="C4" s="11">
        <v>4</v>
      </c>
      <c r="D4" s="11">
        <v>4</v>
      </c>
    </row>
    <row r="5" spans="1:4" x14ac:dyDescent="0.25">
      <c r="A5" s="4" t="s">
        <v>999</v>
      </c>
      <c r="B5" s="12">
        <v>3790</v>
      </c>
      <c r="C5" s="11">
        <v>0</v>
      </c>
      <c r="D5" s="11">
        <v>1</v>
      </c>
    </row>
    <row r="6" spans="1:4" x14ac:dyDescent="0.25">
      <c r="A6" s="4" t="s">
        <v>980</v>
      </c>
      <c r="B6" s="12">
        <v>3568</v>
      </c>
      <c r="C6" s="11">
        <v>9</v>
      </c>
      <c r="D6" s="11">
        <v>0</v>
      </c>
    </row>
    <row r="7" spans="1:4" x14ac:dyDescent="0.25">
      <c r="A7" s="4" t="s">
        <v>987</v>
      </c>
      <c r="B7" s="12">
        <v>3563</v>
      </c>
      <c r="C7" s="11">
        <v>0</v>
      </c>
      <c r="D7" s="11">
        <v>4</v>
      </c>
    </row>
    <row r="8" spans="1:4" x14ac:dyDescent="0.25">
      <c r="A8" s="4" t="s">
        <v>964</v>
      </c>
      <c r="B8" s="12">
        <v>3106</v>
      </c>
      <c r="C8" s="11">
        <v>7</v>
      </c>
      <c r="D8" s="11">
        <v>4</v>
      </c>
    </row>
    <row r="9" spans="1:4" x14ac:dyDescent="0.25">
      <c r="A9" s="4" t="s">
        <v>968</v>
      </c>
      <c r="B9" s="12">
        <v>2906</v>
      </c>
      <c r="C9" s="11">
        <v>4</v>
      </c>
      <c r="D9" s="11">
        <v>2</v>
      </c>
    </row>
    <row r="10" spans="1:4" x14ac:dyDescent="0.25">
      <c r="A10" s="4" t="s">
        <v>972</v>
      </c>
      <c r="B10" s="12">
        <v>2638</v>
      </c>
      <c r="C10" s="11">
        <v>4</v>
      </c>
      <c r="D10" s="11">
        <v>0</v>
      </c>
    </row>
    <row r="11" spans="1:4" x14ac:dyDescent="0.25">
      <c r="A11" s="4" t="s">
        <v>976</v>
      </c>
      <c r="B11" s="12">
        <v>2557</v>
      </c>
      <c r="C11" s="11">
        <v>0</v>
      </c>
      <c r="D11" s="11">
        <v>4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DCFB-97F4-4402-9BF7-98CE8F8AB1EE}">
  <sheetPr>
    <tabColor theme="9" tint="0.39997558519241921"/>
  </sheetPr>
  <dimension ref="A1:C11"/>
  <sheetViews>
    <sheetView workbookViewId="0"/>
  </sheetViews>
  <sheetFormatPr defaultRowHeight="15" x14ac:dyDescent="0.25"/>
  <cols>
    <col min="1" max="1" width="16" bestFit="1" customWidth="1"/>
    <col min="2" max="2" width="17" bestFit="1" customWidth="1"/>
    <col min="3" max="3" width="15.7109375" bestFit="1" customWidth="1"/>
  </cols>
  <sheetData>
    <row r="1" spans="1:3" x14ac:dyDescent="0.25">
      <c r="A1" t="s">
        <v>949</v>
      </c>
      <c r="B1" t="s">
        <v>3378</v>
      </c>
      <c r="C1" t="s">
        <v>3379</v>
      </c>
    </row>
    <row r="2" spans="1:3" x14ac:dyDescent="0.25">
      <c r="A2" s="4" t="s">
        <v>964</v>
      </c>
      <c r="B2" s="11">
        <v>3</v>
      </c>
      <c r="C2" s="11">
        <v>0</v>
      </c>
    </row>
    <row r="3" spans="1:3" x14ac:dyDescent="0.25">
      <c r="A3" s="4" t="s">
        <v>976</v>
      </c>
      <c r="B3" s="11">
        <v>2</v>
      </c>
      <c r="C3" s="11">
        <v>0</v>
      </c>
    </row>
    <row r="4" spans="1:3" x14ac:dyDescent="0.25">
      <c r="A4" s="4" t="s">
        <v>959</v>
      </c>
      <c r="B4" s="11">
        <v>2</v>
      </c>
      <c r="C4" s="11">
        <v>0</v>
      </c>
    </row>
    <row r="5" spans="1:3" x14ac:dyDescent="0.25">
      <c r="A5" s="4" t="s">
        <v>996</v>
      </c>
      <c r="B5" s="11">
        <v>2</v>
      </c>
      <c r="C5" s="11">
        <v>1</v>
      </c>
    </row>
    <row r="6" spans="1:3" x14ac:dyDescent="0.25">
      <c r="A6" s="4" t="s">
        <v>990</v>
      </c>
      <c r="B6" s="11">
        <v>0</v>
      </c>
      <c r="C6" s="11">
        <v>1</v>
      </c>
    </row>
    <row r="7" spans="1:3" x14ac:dyDescent="0.25">
      <c r="A7" s="4" t="s">
        <v>987</v>
      </c>
      <c r="B7" s="11">
        <v>3</v>
      </c>
      <c r="C7" s="11">
        <v>0</v>
      </c>
    </row>
    <row r="8" spans="1:3" x14ac:dyDescent="0.25">
      <c r="A8" s="4" t="s">
        <v>999</v>
      </c>
      <c r="B8" s="11">
        <v>0</v>
      </c>
      <c r="C8" s="11">
        <v>0</v>
      </c>
    </row>
    <row r="9" spans="1:3" x14ac:dyDescent="0.25">
      <c r="A9" s="4" t="s">
        <v>972</v>
      </c>
      <c r="B9" s="11">
        <v>2</v>
      </c>
      <c r="C9" s="11">
        <v>0</v>
      </c>
    </row>
    <row r="10" spans="1:3" x14ac:dyDescent="0.25">
      <c r="A10" s="4" t="s">
        <v>980</v>
      </c>
      <c r="B10" s="11">
        <v>2</v>
      </c>
      <c r="C10" s="11">
        <v>1</v>
      </c>
    </row>
    <row r="11" spans="1:3" x14ac:dyDescent="0.25">
      <c r="A11" s="4" t="s">
        <v>968</v>
      </c>
      <c r="B11" s="11">
        <v>1</v>
      </c>
      <c r="C11" s="11">
        <v>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D6E4-65EA-4B47-B869-369EEF7B29CD}">
  <sheetPr>
    <tabColor theme="9" tint="0.39997558519241921"/>
  </sheetPr>
  <dimension ref="A3:I91"/>
  <sheetViews>
    <sheetView topLeftCell="A3" workbookViewId="0">
      <selection activeCell="B10" sqref="B10"/>
    </sheetView>
  </sheetViews>
  <sheetFormatPr defaultRowHeight="15" x14ac:dyDescent="0.25"/>
  <cols>
    <col min="1" max="1" width="13" bestFit="1" customWidth="1"/>
    <col min="2" max="2" width="16.7109375" bestFit="1" customWidth="1"/>
    <col min="3" max="3" width="17.5703125" bestFit="1" customWidth="1"/>
    <col min="4" max="4" width="23" style="8" bestFit="1" customWidth="1"/>
  </cols>
  <sheetData>
    <row r="3" spans="1:9" x14ac:dyDescent="0.25">
      <c r="A3" s="7" t="s">
        <v>3377</v>
      </c>
      <c r="B3" t="s">
        <v>3365</v>
      </c>
      <c r="C3" t="s">
        <v>3366</v>
      </c>
      <c r="D3" t="s">
        <v>3367</v>
      </c>
    </row>
    <row r="4" spans="1:9" x14ac:dyDescent="0.25">
      <c r="A4" s="2" t="s">
        <v>10</v>
      </c>
      <c r="B4" s="12">
        <v>473</v>
      </c>
      <c r="C4" s="12">
        <v>200</v>
      </c>
      <c r="D4" s="9">
        <v>0.42283298097251587</v>
      </c>
      <c r="G4" s="9"/>
    </row>
    <row r="5" spans="1:9" x14ac:dyDescent="0.25">
      <c r="A5" s="2" t="s">
        <v>17</v>
      </c>
      <c r="B5" s="12">
        <v>472</v>
      </c>
      <c r="C5" s="12">
        <v>113</v>
      </c>
      <c r="D5" s="9">
        <v>0.23940677966101695</v>
      </c>
      <c r="F5" s="10"/>
    </row>
    <row r="6" spans="1:9" x14ac:dyDescent="0.25">
      <c r="A6" s="2" t="s">
        <v>28</v>
      </c>
      <c r="B6" s="12">
        <v>993</v>
      </c>
      <c r="C6" s="12">
        <v>751</v>
      </c>
      <c r="D6" s="9">
        <v>0.75629405840886199</v>
      </c>
    </row>
    <row r="7" spans="1:9" x14ac:dyDescent="0.25">
      <c r="A7" s="2" t="s">
        <v>33</v>
      </c>
      <c r="B7" s="12">
        <v>319</v>
      </c>
      <c r="C7" s="12">
        <v>276</v>
      </c>
      <c r="D7" s="9">
        <v>0.86520376175548586</v>
      </c>
    </row>
    <row r="8" spans="1:9" x14ac:dyDescent="0.25">
      <c r="A8" s="2" t="s">
        <v>45</v>
      </c>
      <c r="B8" s="12">
        <v>219</v>
      </c>
      <c r="C8" s="12">
        <v>109</v>
      </c>
      <c r="D8" s="9">
        <v>0.49771689497716892</v>
      </c>
    </row>
    <row r="9" spans="1:9" x14ac:dyDescent="0.25">
      <c r="A9" s="2" t="s">
        <v>49</v>
      </c>
      <c r="B9" s="12">
        <v>53</v>
      </c>
      <c r="C9" s="12">
        <v>45</v>
      </c>
      <c r="D9" s="9">
        <v>0.84905660377358494</v>
      </c>
    </row>
    <row r="10" spans="1:9" x14ac:dyDescent="0.25">
      <c r="A10" s="2" t="s">
        <v>56</v>
      </c>
      <c r="B10" s="12">
        <v>925</v>
      </c>
      <c r="C10" s="12">
        <v>324</v>
      </c>
      <c r="D10" s="9">
        <v>0.35027027027027025</v>
      </c>
    </row>
    <row r="11" spans="1:9" x14ac:dyDescent="0.25">
      <c r="A11" s="2" t="s">
        <v>59</v>
      </c>
      <c r="B11" s="12">
        <v>413</v>
      </c>
      <c r="C11" s="12">
        <v>342</v>
      </c>
      <c r="D11" s="9">
        <v>0.8280871670702179</v>
      </c>
    </row>
    <row r="12" spans="1:9" x14ac:dyDescent="0.25">
      <c r="A12" s="2" t="s">
        <v>62</v>
      </c>
      <c r="B12" s="12">
        <v>2237</v>
      </c>
      <c r="C12" s="12">
        <v>1619</v>
      </c>
      <c r="D12" s="9">
        <v>0.72373714796602595</v>
      </c>
    </row>
    <row r="13" spans="1:9" x14ac:dyDescent="0.25">
      <c r="A13" s="2" t="s">
        <v>65</v>
      </c>
      <c r="B13" s="12">
        <v>231</v>
      </c>
      <c r="C13" s="12">
        <v>120</v>
      </c>
      <c r="D13" s="9">
        <v>0.51948051948051943</v>
      </c>
      <c r="I13" s="9"/>
    </row>
    <row r="14" spans="1:9" x14ac:dyDescent="0.25">
      <c r="A14" s="2" t="s">
        <v>68</v>
      </c>
      <c r="B14" s="12">
        <v>364</v>
      </c>
      <c r="C14" s="12">
        <v>185</v>
      </c>
      <c r="D14" s="9">
        <v>0.50824175824175821</v>
      </c>
    </row>
    <row r="15" spans="1:9" x14ac:dyDescent="0.25">
      <c r="A15" s="2" t="s">
        <v>80</v>
      </c>
      <c r="B15" s="12">
        <v>354</v>
      </c>
      <c r="C15" s="12">
        <v>263</v>
      </c>
      <c r="D15" s="9">
        <v>0.74293785310734461</v>
      </c>
    </row>
    <row r="16" spans="1:9" x14ac:dyDescent="0.25">
      <c r="A16" s="2" t="s">
        <v>83</v>
      </c>
      <c r="B16" s="12">
        <v>381</v>
      </c>
      <c r="C16" s="12">
        <v>79</v>
      </c>
      <c r="D16" s="9">
        <v>0.20734908136482941</v>
      </c>
    </row>
    <row r="17" spans="1:4" x14ac:dyDescent="0.25">
      <c r="A17" s="2" t="s">
        <v>87</v>
      </c>
      <c r="B17" s="12">
        <v>402</v>
      </c>
      <c r="C17" s="12">
        <v>121</v>
      </c>
      <c r="D17" s="9">
        <v>0.30099502487562191</v>
      </c>
    </row>
    <row r="18" spans="1:4" x14ac:dyDescent="0.25">
      <c r="A18" s="2" t="s">
        <v>90</v>
      </c>
      <c r="B18" s="12">
        <v>582</v>
      </c>
      <c r="C18" s="12">
        <v>300</v>
      </c>
      <c r="D18" s="9">
        <v>0.51546391752577314</v>
      </c>
    </row>
    <row r="19" spans="1:4" x14ac:dyDescent="0.25">
      <c r="A19" s="2" t="s">
        <v>93</v>
      </c>
      <c r="B19" s="12">
        <v>1502</v>
      </c>
      <c r="C19" s="12">
        <v>1054</v>
      </c>
      <c r="D19" s="9">
        <v>0.70173102529960052</v>
      </c>
    </row>
    <row r="20" spans="1:4" x14ac:dyDescent="0.25">
      <c r="A20" s="2" t="s">
        <v>99</v>
      </c>
      <c r="B20" s="12">
        <v>294</v>
      </c>
      <c r="C20" s="12">
        <v>244</v>
      </c>
      <c r="D20" s="9">
        <v>0.82993197278911568</v>
      </c>
    </row>
    <row r="21" spans="1:4" x14ac:dyDescent="0.25">
      <c r="A21" s="2" t="s">
        <v>102</v>
      </c>
      <c r="B21" s="12">
        <v>184</v>
      </c>
      <c r="C21" s="12">
        <v>120</v>
      </c>
      <c r="D21" s="9">
        <v>0.65217391304347827</v>
      </c>
    </row>
    <row r="22" spans="1:4" x14ac:dyDescent="0.25">
      <c r="A22" s="2" t="s">
        <v>106</v>
      </c>
      <c r="B22" s="12">
        <v>437</v>
      </c>
      <c r="C22" s="12">
        <v>417</v>
      </c>
      <c r="D22" s="9">
        <v>0.95423340961098402</v>
      </c>
    </row>
    <row r="23" spans="1:4" x14ac:dyDescent="0.25">
      <c r="A23" s="2" t="s">
        <v>109</v>
      </c>
      <c r="B23" s="12">
        <v>512</v>
      </c>
      <c r="C23" s="12">
        <v>441</v>
      </c>
      <c r="D23" s="9">
        <v>0.861328125</v>
      </c>
    </row>
    <row r="24" spans="1:4" x14ac:dyDescent="0.25">
      <c r="A24" s="2" t="s">
        <v>116</v>
      </c>
      <c r="B24" s="12">
        <v>400</v>
      </c>
      <c r="C24" s="12">
        <v>184</v>
      </c>
      <c r="D24" s="9">
        <v>0.46</v>
      </c>
    </row>
    <row r="25" spans="1:4" x14ac:dyDescent="0.25">
      <c r="A25" s="2" t="s">
        <v>122</v>
      </c>
      <c r="B25" s="12">
        <v>387</v>
      </c>
      <c r="C25" s="12">
        <v>345</v>
      </c>
      <c r="D25" s="9">
        <v>0.89147286821705429</v>
      </c>
    </row>
    <row r="26" spans="1:4" x14ac:dyDescent="0.25">
      <c r="A26" s="2" t="s">
        <v>125</v>
      </c>
      <c r="B26" s="12">
        <v>536</v>
      </c>
      <c r="C26" s="12">
        <v>351</v>
      </c>
      <c r="D26" s="9">
        <v>0.65485074626865669</v>
      </c>
    </row>
    <row r="27" spans="1:4" x14ac:dyDescent="0.25">
      <c r="A27" s="2" t="s">
        <v>131</v>
      </c>
      <c r="B27" s="12">
        <v>838</v>
      </c>
      <c r="C27" s="12">
        <v>716</v>
      </c>
      <c r="D27" s="9">
        <v>0.85441527446300713</v>
      </c>
    </row>
    <row r="28" spans="1:4" x14ac:dyDescent="0.25">
      <c r="A28" s="2" t="s">
        <v>137</v>
      </c>
      <c r="B28" s="12">
        <v>738</v>
      </c>
      <c r="C28" s="12">
        <v>419</v>
      </c>
      <c r="D28" s="9">
        <v>0.5677506775067751</v>
      </c>
    </row>
    <row r="29" spans="1:4" x14ac:dyDescent="0.25">
      <c r="A29" s="2" t="s">
        <v>146</v>
      </c>
      <c r="B29" s="12">
        <v>364</v>
      </c>
      <c r="C29" s="12">
        <v>324</v>
      </c>
      <c r="D29" s="9">
        <v>0.89010989010989006</v>
      </c>
    </row>
    <row r="30" spans="1:4" x14ac:dyDescent="0.25">
      <c r="A30" s="2" t="s">
        <v>155</v>
      </c>
      <c r="B30" s="12">
        <v>1049</v>
      </c>
      <c r="C30" s="12">
        <v>580</v>
      </c>
      <c r="D30" s="9">
        <v>0.5529075309818875</v>
      </c>
    </row>
    <row r="31" spans="1:4" x14ac:dyDescent="0.25">
      <c r="A31" s="2" t="s">
        <v>161</v>
      </c>
      <c r="B31" s="12">
        <v>894</v>
      </c>
      <c r="C31" s="12">
        <v>675</v>
      </c>
      <c r="D31" s="9">
        <v>0.75503355704697983</v>
      </c>
    </row>
    <row r="32" spans="1:4" x14ac:dyDescent="0.25">
      <c r="A32" s="2" t="s">
        <v>164</v>
      </c>
      <c r="B32" s="12">
        <v>771</v>
      </c>
      <c r="C32" s="12">
        <v>494</v>
      </c>
      <c r="D32" s="9">
        <v>0.6407263294422828</v>
      </c>
    </row>
    <row r="33" spans="1:4" x14ac:dyDescent="0.25">
      <c r="A33" s="2" t="s">
        <v>167</v>
      </c>
      <c r="B33" s="12">
        <v>490</v>
      </c>
      <c r="C33" s="12">
        <v>221</v>
      </c>
      <c r="D33" s="9">
        <v>0.45102040816326533</v>
      </c>
    </row>
    <row r="34" spans="1:4" x14ac:dyDescent="0.25">
      <c r="A34" s="2" t="s">
        <v>170</v>
      </c>
      <c r="B34" s="12">
        <v>910</v>
      </c>
      <c r="C34" s="12">
        <v>569</v>
      </c>
      <c r="D34" s="9">
        <v>0.62527472527472527</v>
      </c>
    </row>
    <row r="35" spans="1:4" x14ac:dyDescent="0.25">
      <c r="A35" s="2" t="s">
        <v>173</v>
      </c>
      <c r="B35" s="12">
        <v>558</v>
      </c>
      <c r="C35" s="12">
        <v>410</v>
      </c>
      <c r="D35" s="9">
        <v>0.73476702508960579</v>
      </c>
    </row>
    <row r="36" spans="1:4" x14ac:dyDescent="0.25">
      <c r="A36" s="2" t="s">
        <v>176</v>
      </c>
      <c r="B36" s="12">
        <v>529</v>
      </c>
      <c r="C36" s="12">
        <v>425</v>
      </c>
      <c r="D36" s="9">
        <v>0.80340264650283555</v>
      </c>
    </row>
    <row r="37" spans="1:4" x14ac:dyDescent="0.25">
      <c r="A37" s="2" t="s">
        <v>179</v>
      </c>
      <c r="B37" s="12">
        <v>1006</v>
      </c>
      <c r="C37" s="12">
        <v>743</v>
      </c>
      <c r="D37" s="9">
        <v>0.73856858846918494</v>
      </c>
    </row>
    <row r="38" spans="1:4" x14ac:dyDescent="0.25">
      <c r="A38" s="2" t="s">
        <v>184</v>
      </c>
      <c r="B38" s="12">
        <v>956</v>
      </c>
      <c r="C38" s="12">
        <v>738</v>
      </c>
      <c r="D38" s="9">
        <v>0.77196652719665271</v>
      </c>
    </row>
    <row r="39" spans="1:4" x14ac:dyDescent="0.25">
      <c r="A39" s="2" t="s">
        <v>190</v>
      </c>
      <c r="B39" s="12">
        <v>368</v>
      </c>
      <c r="C39" s="12">
        <v>21</v>
      </c>
      <c r="D39" s="9">
        <v>5.7065217391304345E-2</v>
      </c>
    </row>
    <row r="40" spans="1:4" x14ac:dyDescent="0.25">
      <c r="A40" s="2" t="s">
        <v>199</v>
      </c>
      <c r="B40" s="12">
        <v>577</v>
      </c>
      <c r="C40" s="12">
        <v>464</v>
      </c>
      <c r="D40" s="9">
        <v>0.80415944540727902</v>
      </c>
    </row>
    <row r="41" spans="1:4" x14ac:dyDescent="0.25">
      <c r="A41" s="2" t="s">
        <v>202</v>
      </c>
      <c r="B41" s="12">
        <v>1090</v>
      </c>
      <c r="C41" s="12">
        <v>797</v>
      </c>
      <c r="D41" s="9">
        <v>0.73119266055045873</v>
      </c>
    </row>
    <row r="42" spans="1:4" x14ac:dyDescent="0.25">
      <c r="A42" s="2" t="s">
        <v>205</v>
      </c>
      <c r="B42" s="12">
        <v>480</v>
      </c>
      <c r="C42" s="12">
        <v>248</v>
      </c>
      <c r="D42" s="9">
        <v>0.51666666666666672</v>
      </c>
    </row>
    <row r="43" spans="1:4" x14ac:dyDescent="0.25">
      <c r="A43" s="2" t="s">
        <v>208</v>
      </c>
      <c r="B43" s="12">
        <v>1316</v>
      </c>
      <c r="C43" s="12">
        <v>911</v>
      </c>
      <c r="D43" s="9">
        <v>0.69224924012158051</v>
      </c>
    </row>
    <row r="44" spans="1:4" x14ac:dyDescent="0.25">
      <c r="A44" s="2" t="s">
        <v>211</v>
      </c>
      <c r="B44" s="12">
        <v>330</v>
      </c>
      <c r="C44" s="12">
        <v>285</v>
      </c>
      <c r="D44" s="9">
        <v>0.86363636363636365</v>
      </c>
    </row>
    <row r="45" spans="1:4" x14ac:dyDescent="0.25">
      <c r="A45" s="2" t="s">
        <v>214</v>
      </c>
      <c r="B45" s="12">
        <v>403</v>
      </c>
      <c r="C45" s="12">
        <v>347</v>
      </c>
      <c r="D45" s="9">
        <v>0.86104218362282881</v>
      </c>
    </row>
    <row r="46" spans="1:4" x14ac:dyDescent="0.25">
      <c r="A46" s="2" t="s">
        <v>217</v>
      </c>
      <c r="B46" s="12">
        <v>269</v>
      </c>
      <c r="C46" s="12">
        <v>176</v>
      </c>
      <c r="D46" s="9">
        <v>0.65427509293680297</v>
      </c>
    </row>
    <row r="47" spans="1:4" x14ac:dyDescent="0.25">
      <c r="A47" s="2" t="s">
        <v>223</v>
      </c>
      <c r="B47" s="12">
        <v>380</v>
      </c>
      <c r="C47" s="12">
        <v>321</v>
      </c>
      <c r="D47" s="9">
        <v>0.84473684210526312</v>
      </c>
    </row>
    <row r="48" spans="1:4" x14ac:dyDescent="0.25">
      <c r="A48" s="2" t="s">
        <v>226</v>
      </c>
      <c r="B48" s="12">
        <v>357</v>
      </c>
      <c r="C48" s="12">
        <v>309</v>
      </c>
      <c r="D48" s="9">
        <v>0.86554621848739499</v>
      </c>
    </row>
    <row r="49" spans="1:4" x14ac:dyDescent="0.25">
      <c r="A49" s="2" t="s">
        <v>232</v>
      </c>
      <c r="B49" s="12">
        <v>1182</v>
      </c>
      <c r="C49" s="12">
        <v>737</v>
      </c>
      <c r="D49" s="9">
        <v>0.62351945854483926</v>
      </c>
    </row>
    <row r="50" spans="1:4" x14ac:dyDescent="0.25">
      <c r="A50" s="2" t="s">
        <v>235</v>
      </c>
      <c r="B50" s="12">
        <v>257</v>
      </c>
      <c r="C50" s="12">
        <v>187</v>
      </c>
      <c r="D50" s="9">
        <v>0.72762645914396884</v>
      </c>
    </row>
    <row r="51" spans="1:4" x14ac:dyDescent="0.25">
      <c r="A51" s="2" t="s">
        <v>238</v>
      </c>
      <c r="B51" s="12">
        <v>307</v>
      </c>
      <c r="C51" s="12">
        <v>292</v>
      </c>
      <c r="D51" s="9">
        <v>0.95114006514657978</v>
      </c>
    </row>
    <row r="52" spans="1:4" x14ac:dyDescent="0.25">
      <c r="A52" s="2" t="s">
        <v>244</v>
      </c>
      <c r="B52" s="12">
        <v>452</v>
      </c>
      <c r="C52" s="12">
        <v>355</v>
      </c>
      <c r="D52" s="9">
        <v>0.78539823008849563</v>
      </c>
    </row>
    <row r="53" spans="1:4" x14ac:dyDescent="0.25">
      <c r="A53" s="2" t="s">
        <v>247</v>
      </c>
      <c r="B53" s="12">
        <v>496</v>
      </c>
      <c r="C53" s="12">
        <v>460</v>
      </c>
      <c r="D53" s="9">
        <v>0.92741935483870963</v>
      </c>
    </row>
    <row r="54" spans="1:4" x14ac:dyDescent="0.25">
      <c r="A54" s="2" t="s">
        <v>253</v>
      </c>
      <c r="B54" s="12">
        <v>1407</v>
      </c>
      <c r="C54" s="12">
        <v>974</v>
      </c>
      <c r="D54" s="9">
        <v>0.69225302061122962</v>
      </c>
    </row>
    <row r="55" spans="1:4" x14ac:dyDescent="0.25">
      <c r="A55" s="2" t="s">
        <v>256</v>
      </c>
      <c r="B55" s="12">
        <v>431</v>
      </c>
      <c r="C55" s="12">
        <v>395</v>
      </c>
      <c r="D55" s="9">
        <v>0.91647331786542918</v>
      </c>
    </row>
    <row r="56" spans="1:4" x14ac:dyDescent="0.25">
      <c r="A56" s="2" t="s">
        <v>262</v>
      </c>
      <c r="B56" s="12">
        <v>502</v>
      </c>
      <c r="C56" s="12">
        <v>466</v>
      </c>
      <c r="D56" s="9">
        <v>0.92828685258964139</v>
      </c>
    </row>
    <row r="57" spans="1:4" x14ac:dyDescent="0.25">
      <c r="A57" s="2" t="s">
        <v>268</v>
      </c>
      <c r="B57" s="12">
        <v>590</v>
      </c>
      <c r="C57" s="12">
        <v>514</v>
      </c>
      <c r="D57" s="9">
        <v>0.87118644067796613</v>
      </c>
    </row>
    <row r="58" spans="1:4" x14ac:dyDescent="0.25">
      <c r="A58" s="2" t="s">
        <v>271</v>
      </c>
      <c r="B58" s="12">
        <v>290</v>
      </c>
      <c r="C58" s="12">
        <v>97</v>
      </c>
      <c r="D58" s="9">
        <v>0.33448275862068966</v>
      </c>
    </row>
    <row r="59" spans="1:4" x14ac:dyDescent="0.25">
      <c r="A59" s="2" t="s">
        <v>274</v>
      </c>
      <c r="B59" s="12">
        <v>903</v>
      </c>
      <c r="C59" s="12">
        <v>208</v>
      </c>
      <c r="D59" s="9">
        <v>0.23034330011074197</v>
      </c>
    </row>
    <row r="60" spans="1:4" x14ac:dyDescent="0.25">
      <c r="A60" s="2" t="s">
        <v>276</v>
      </c>
      <c r="B60" s="12">
        <v>268</v>
      </c>
      <c r="C60" s="12">
        <v>227</v>
      </c>
      <c r="D60" s="9">
        <v>0.84701492537313428</v>
      </c>
    </row>
    <row r="61" spans="1:4" x14ac:dyDescent="0.25">
      <c r="A61" s="2" t="s">
        <v>279</v>
      </c>
      <c r="B61" s="12">
        <v>538</v>
      </c>
      <c r="C61" s="12">
        <v>282</v>
      </c>
      <c r="D61" s="9">
        <v>0.52416356877323422</v>
      </c>
    </row>
    <row r="62" spans="1:4" x14ac:dyDescent="0.25">
      <c r="A62" s="2" t="s">
        <v>282</v>
      </c>
      <c r="B62" s="12">
        <v>462</v>
      </c>
      <c r="C62" s="12">
        <v>218</v>
      </c>
      <c r="D62" s="9">
        <v>0.47186147186147187</v>
      </c>
    </row>
    <row r="63" spans="1:4" x14ac:dyDescent="0.25">
      <c r="A63" s="2" t="s">
        <v>285</v>
      </c>
      <c r="B63" s="12">
        <v>582</v>
      </c>
      <c r="C63" s="12">
        <v>512</v>
      </c>
      <c r="D63" s="9">
        <v>0.8797250859106529</v>
      </c>
    </row>
    <row r="64" spans="1:4" x14ac:dyDescent="0.25">
      <c r="A64" s="2" t="s">
        <v>288</v>
      </c>
      <c r="B64" s="12">
        <v>888</v>
      </c>
      <c r="C64" s="12">
        <v>401</v>
      </c>
      <c r="D64" s="9">
        <v>0.45157657657657657</v>
      </c>
    </row>
    <row r="65" spans="1:4" x14ac:dyDescent="0.25">
      <c r="A65" s="2" t="s">
        <v>291</v>
      </c>
      <c r="B65" s="12">
        <v>220</v>
      </c>
      <c r="C65" s="12">
        <v>170</v>
      </c>
      <c r="D65" s="9">
        <v>0.77272727272727271</v>
      </c>
    </row>
    <row r="66" spans="1:4" x14ac:dyDescent="0.25">
      <c r="A66" s="2" t="s">
        <v>294</v>
      </c>
      <c r="B66" s="12">
        <v>1345</v>
      </c>
      <c r="C66" s="12">
        <v>820</v>
      </c>
      <c r="D66" s="9">
        <v>0.60966542750929364</v>
      </c>
    </row>
    <row r="67" spans="1:4" x14ac:dyDescent="0.25">
      <c r="A67" s="2" t="s">
        <v>297</v>
      </c>
      <c r="B67" s="12">
        <v>325</v>
      </c>
      <c r="C67" s="12">
        <v>288</v>
      </c>
      <c r="D67" s="9">
        <v>0.88615384615384618</v>
      </c>
    </row>
    <row r="68" spans="1:4" x14ac:dyDescent="0.25">
      <c r="A68" s="2" t="s">
        <v>300</v>
      </c>
      <c r="B68" s="12">
        <v>889</v>
      </c>
      <c r="C68" s="12">
        <v>820</v>
      </c>
      <c r="D68" s="9">
        <v>0.92238470191226096</v>
      </c>
    </row>
    <row r="69" spans="1:4" x14ac:dyDescent="0.25">
      <c r="A69" s="2" t="s">
        <v>303</v>
      </c>
      <c r="B69" s="12">
        <v>394</v>
      </c>
      <c r="C69" s="12">
        <v>263</v>
      </c>
      <c r="D69" s="9">
        <v>0.6675126903553299</v>
      </c>
    </row>
    <row r="70" spans="1:4" x14ac:dyDescent="0.25">
      <c r="A70" s="2" t="s">
        <v>306</v>
      </c>
      <c r="B70" s="12">
        <v>935</v>
      </c>
      <c r="C70" s="12">
        <v>579</v>
      </c>
      <c r="D70" s="9">
        <v>0.61925133689839573</v>
      </c>
    </row>
    <row r="71" spans="1:4" x14ac:dyDescent="0.25">
      <c r="A71" s="2" t="s">
        <v>309</v>
      </c>
      <c r="B71" s="12">
        <v>421</v>
      </c>
      <c r="C71" s="12">
        <v>386</v>
      </c>
      <c r="D71" s="9">
        <v>0.91686460807600945</v>
      </c>
    </row>
    <row r="72" spans="1:4" x14ac:dyDescent="0.25">
      <c r="A72" s="2" t="s">
        <v>312</v>
      </c>
      <c r="B72" s="12">
        <v>661</v>
      </c>
      <c r="C72" s="12">
        <v>573</v>
      </c>
      <c r="D72" s="9">
        <v>0.86686838124054466</v>
      </c>
    </row>
    <row r="73" spans="1:4" x14ac:dyDescent="0.25">
      <c r="A73" s="2" t="s">
        <v>315</v>
      </c>
      <c r="B73" s="12">
        <v>418</v>
      </c>
      <c r="C73" s="12">
        <v>357</v>
      </c>
      <c r="D73" s="9">
        <v>0.85406698564593297</v>
      </c>
    </row>
    <row r="74" spans="1:4" x14ac:dyDescent="0.25">
      <c r="A74" s="2" t="s">
        <v>318</v>
      </c>
      <c r="B74" s="12">
        <v>616</v>
      </c>
      <c r="C74" s="12">
        <v>332</v>
      </c>
      <c r="D74" s="9">
        <v>0.53896103896103897</v>
      </c>
    </row>
    <row r="75" spans="1:4" x14ac:dyDescent="0.25">
      <c r="A75" s="2" t="s">
        <v>321</v>
      </c>
      <c r="B75" s="12">
        <v>790</v>
      </c>
      <c r="C75" s="12">
        <v>443</v>
      </c>
      <c r="D75" s="9">
        <v>0.56075949367088607</v>
      </c>
    </row>
    <row r="76" spans="1:4" x14ac:dyDescent="0.25">
      <c r="A76" s="2" t="s">
        <v>324</v>
      </c>
      <c r="B76" s="12">
        <v>373</v>
      </c>
      <c r="C76" s="12">
        <v>301</v>
      </c>
      <c r="D76" s="9">
        <v>0.806970509383378</v>
      </c>
    </row>
    <row r="77" spans="1:4" x14ac:dyDescent="0.25">
      <c r="A77" s="2" t="s">
        <v>327</v>
      </c>
      <c r="B77" s="12">
        <v>741</v>
      </c>
      <c r="C77" s="12">
        <v>473</v>
      </c>
      <c r="D77" s="9">
        <v>0.63832658569500678</v>
      </c>
    </row>
    <row r="78" spans="1:4" x14ac:dyDescent="0.25">
      <c r="A78" s="2" t="s">
        <v>330</v>
      </c>
      <c r="B78" s="12">
        <v>747</v>
      </c>
      <c r="C78" s="12">
        <v>412</v>
      </c>
      <c r="D78" s="9">
        <v>0.55153949129852742</v>
      </c>
    </row>
    <row r="79" spans="1:4" x14ac:dyDescent="0.25">
      <c r="A79" s="2" t="s">
        <v>333</v>
      </c>
      <c r="B79" s="12">
        <v>246</v>
      </c>
      <c r="C79" s="12">
        <v>187</v>
      </c>
      <c r="D79" s="9">
        <v>0.76016260162601623</v>
      </c>
    </row>
    <row r="80" spans="1:4" x14ac:dyDescent="0.25">
      <c r="A80" s="2" t="s">
        <v>336</v>
      </c>
      <c r="B80" s="12">
        <v>579</v>
      </c>
      <c r="C80" s="12">
        <v>436</v>
      </c>
      <c r="D80" s="9">
        <v>0.75302245250431776</v>
      </c>
    </row>
    <row r="81" spans="1:4" x14ac:dyDescent="0.25">
      <c r="A81" s="2" t="s">
        <v>342</v>
      </c>
      <c r="B81" s="12">
        <v>751</v>
      </c>
      <c r="C81" s="12">
        <v>441</v>
      </c>
      <c r="D81" s="9">
        <v>0.5872170439414115</v>
      </c>
    </row>
    <row r="82" spans="1:4" x14ac:dyDescent="0.25">
      <c r="A82" s="2" t="s">
        <v>344</v>
      </c>
      <c r="B82" s="12">
        <v>902</v>
      </c>
      <c r="C82" s="12">
        <v>532</v>
      </c>
      <c r="D82" s="9">
        <v>0.58980044345898008</v>
      </c>
    </row>
    <row r="83" spans="1:4" x14ac:dyDescent="0.25">
      <c r="A83" s="2" t="s">
        <v>346</v>
      </c>
      <c r="B83" s="12">
        <v>1270</v>
      </c>
      <c r="C83" s="12">
        <v>716</v>
      </c>
      <c r="D83" s="9">
        <v>0.56377952755905514</v>
      </c>
    </row>
    <row r="84" spans="1:4" x14ac:dyDescent="0.25">
      <c r="A84" s="2" t="s">
        <v>349</v>
      </c>
      <c r="B84" s="12">
        <v>990</v>
      </c>
      <c r="C84" s="12">
        <v>878</v>
      </c>
      <c r="D84" s="9">
        <v>0.88686868686868692</v>
      </c>
    </row>
    <row r="85" spans="1:4" x14ac:dyDescent="0.25">
      <c r="A85" s="2" t="s">
        <v>352</v>
      </c>
      <c r="B85" s="12">
        <v>300</v>
      </c>
      <c r="C85" s="12">
        <v>176</v>
      </c>
      <c r="D85" s="9">
        <v>0.58666666666666667</v>
      </c>
    </row>
    <row r="86" spans="1:4" x14ac:dyDescent="0.25">
      <c r="A86" s="2" t="s">
        <v>364</v>
      </c>
      <c r="B86" s="12">
        <v>591</v>
      </c>
      <c r="C86" s="12">
        <v>477</v>
      </c>
      <c r="D86" s="9">
        <v>0.80710659898477155</v>
      </c>
    </row>
    <row r="87" spans="1:4" x14ac:dyDescent="0.25">
      <c r="A87" s="2" t="s">
        <v>367</v>
      </c>
      <c r="B87" s="12">
        <v>416</v>
      </c>
      <c r="C87" s="12">
        <v>270</v>
      </c>
      <c r="D87" s="9">
        <v>0.64903846153846156</v>
      </c>
    </row>
    <row r="88" spans="1:4" x14ac:dyDescent="0.25">
      <c r="A88" s="2" t="s">
        <v>373</v>
      </c>
      <c r="B88" s="12">
        <v>1002</v>
      </c>
      <c r="C88" s="12">
        <v>558</v>
      </c>
      <c r="D88" s="9">
        <v>0.55688622754491013</v>
      </c>
    </row>
    <row r="89" spans="1:4" x14ac:dyDescent="0.25">
      <c r="A89" s="2" t="s">
        <v>376</v>
      </c>
      <c r="B89" s="12">
        <v>959</v>
      </c>
      <c r="C89" s="12">
        <v>789</v>
      </c>
      <c r="D89" s="9">
        <v>0.82273201251303441</v>
      </c>
    </row>
    <row r="90" spans="1:4" x14ac:dyDescent="0.25">
      <c r="A90" s="2" t="s">
        <v>382</v>
      </c>
      <c r="B90" s="12">
        <v>178</v>
      </c>
      <c r="C90" s="12">
        <v>0</v>
      </c>
      <c r="D90" s="9">
        <v>0</v>
      </c>
    </row>
    <row r="91" spans="1:4" x14ac:dyDescent="0.25">
      <c r="D91"/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39F1-FFCC-453F-B055-AD9781AA9DA5}">
  <sheetPr>
    <tabColor theme="7" tint="0.39997558519241921"/>
  </sheetPr>
  <dimension ref="A1:E9"/>
  <sheetViews>
    <sheetView workbookViewId="0">
      <selection activeCell="C14" sqref="C14"/>
    </sheetView>
  </sheetViews>
  <sheetFormatPr defaultRowHeight="15" x14ac:dyDescent="0.25"/>
  <cols>
    <col min="1" max="1" width="26.7109375" bestFit="1" customWidth="1"/>
    <col min="2" max="2" width="12" bestFit="1" customWidth="1"/>
    <col min="3" max="3" width="30.28515625" bestFit="1" customWidth="1"/>
    <col min="4" max="4" width="24.7109375" bestFit="1" customWidth="1"/>
    <col min="5" max="5" width="21.7109375" bestFit="1" customWidth="1"/>
  </cols>
  <sheetData>
    <row r="1" spans="1:5" x14ac:dyDescent="0.25">
      <c r="A1" s="2" t="s">
        <v>3301</v>
      </c>
      <c r="B1" s="2" t="s">
        <v>3302</v>
      </c>
      <c r="C1" s="2" t="s">
        <v>3303</v>
      </c>
      <c r="D1" s="2" t="s">
        <v>3304</v>
      </c>
      <c r="E1" s="2" t="s">
        <v>3305</v>
      </c>
    </row>
    <row r="2" spans="1:5" x14ac:dyDescent="0.25">
      <c r="A2" t="s">
        <v>3306</v>
      </c>
      <c r="B2" t="s">
        <v>3352</v>
      </c>
      <c r="C2" t="s">
        <v>3307</v>
      </c>
      <c r="D2" t="s">
        <v>3308</v>
      </c>
      <c r="E2">
        <v>980.44</v>
      </c>
    </row>
    <row r="3" spans="1:5" x14ac:dyDescent="0.25">
      <c r="A3" t="s">
        <v>3300</v>
      </c>
      <c r="B3" t="s">
        <v>3309</v>
      </c>
      <c r="C3" t="s">
        <v>3307</v>
      </c>
      <c r="D3" t="s">
        <v>3308</v>
      </c>
      <c r="E3" t="s">
        <v>3310</v>
      </c>
    </row>
    <row r="4" spans="1:5" x14ac:dyDescent="0.25">
      <c r="A4" t="s">
        <v>3357</v>
      </c>
      <c r="B4" t="s">
        <v>3352</v>
      </c>
      <c r="C4" t="s">
        <v>3312</v>
      </c>
      <c r="D4" t="s">
        <v>3308</v>
      </c>
      <c r="E4" t="s">
        <v>1015</v>
      </c>
    </row>
    <row r="5" spans="1:5" x14ac:dyDescent="0.25">
      <c r="A5" t="s">
        <v>3356</v>
      </c>
      <c r="B5" t="s">
        <v>3352</v>
      </c>
      <c r="C5" t="s">
        <v>3312</v>
      </c>
      <c r="D5" t="s">
        <v>3308</v>
      </c>
      <c r="E5" t="s">
        <v>1015</v>
      </c>
    </row>
    <row r="6" spans="1:5" x14ac:dyDescent="0.25">
      <c r="A6" t="s">
        <v>3311</v>
      </c>
      <c r="B6" t="s">
        <v>3309</v>
      </c>
      <c r="C6" t="s">
        <v>3313</v>
      </c>
      <c r="D6" t="s">
        <v>3308</v>
      </c>
      <c r="E6" t="s">
        <v>3314</v>
      </c>
    </row>
    <row r="7" spans="1:5" x14ac:dyDescent="0.25">
      <c r="A7" t="s">
        <v>3315</v>
      </c>
      <c r="B7" t="s">
        <v>3309</v>
      </c>
      <c r="C7" t="s">
        <v>3313</v>
      </c>
      <c r="D7" t="s">
        <v>3308</v>
      </c>
      <c r="E7" t="s">
        <v>3314</v>
      </c>
    </row>
    <row r="8" spans="1:5" x14ac:dyDescent="0.25">
      <c r="A8" t="s">
        <v>3337</v>
      </c>
      <c r="B8" t="s">
        <v>3352</v>
      </c>
      <c r="C8" t="s">
        <v>3347</v>
      </c>
      <c r="D8" t="s">
        <v>3308</v>
      </c>
      <c r="E8" t="s">
        <v>3353</v>
      </c>
    </row>
    <row r="9" spans="1:5" x14ac:dyDescent="0.25">
      <c r="A9" t="s">
        <v>3370</v>
      </c>
      <c r="B9" t="s">
        <v>3309</v>
      </c>
      <c r="C9" t="s">
        <v>3350</v>
      </c>
      <c r="D9" t="s">
        <v>3308</v>
      </c>
      <c r="E9" t="s">
        <v>3371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9736-77FF-4723-97C4-FF7FDF09BBD4}">
  <sheetPr>
    <tabColor theme="7" tint="0.39997558519241921"/>
  </sheetPr>
  <dimension ref="A1:F9"/>
  <sheetViews>
    <sheetView workbookViewId="0">
      <selection activeCell="B5" sqref="B5"/>
    </sheetView>
  </sheetViews>
  <sheetFormatPr defaultRowHeight="15" x14ac:dyDescent="0.25"/>
  <cols>
    <col min="1" max="1" width="26.7109375" bestFit="1" customWidth="1"/>
    <col min="2" max="2" width="71.5703125" bestFit="1" customWidth="1"/>
    <col min="3" max="3" width="22.85546875" customWidth="1"/>
    <col min="4" max="5" width="21.7109375" bestFit="1" customWidth="1"/>
    <col min="6" max="6" width="8.5703125" customWidth="1"/>
  </cols>
  <sheetData>
    <row r="1" spans="1:6" x14ac:dyDescent="0.25">
      <c r="A1" t="s">
        <v>3316</v>
      </c>
      <c r="B1" t="s">
        <v>3317</v>
      </c>
      <c r="C1" t="s">
        <v>3318</v>
      </c>
      <c r="D1" t="s">
        <v>3319</v>
      </c>
      <c r="E1" t="s">
        <v>3320</v>
      </c>
      <c r="F1" t="s">
        <v>3321</v>
      </c>
    </row>
    <row r="2" spans="1:6" x14ac:dyDescent="0.25">
      <c r="A2" t="s">
        <v>3306</v>
      </c>
      <c r="B2" t="s">
        <v>3322</v>
      </c>
      <c r="C2" t="s">
        <v>3324</v>
      </c>
      <c r="D2">
        <v>310.77999999999997</v>
      </c>
      <c r="E2">
        <v>310.77999999999997</v>
      </c>
      <c r="F2" t="s">
        <v>3326</v>
      </c>
    </row>
    <row r="3" spans="1:6" x14ac:dyDescent="0.25">
      <c r="A3" t="s">
        <v>3300</v>
      </c>
      <c r="B3" t="s">
        <v>3323</v>
      </c>
      <c r="C3" t="s">
        <v>3325</v>
      </c>
      <c r="D3" t="s">
        <v>3314</v>
      </c>
      <c r="E3" t="s">
        <v>3314</v>
      </c>
      <c r="F3" t="s">
        <v>3326</v>
      </c>
    </row>
    <row r="4" spans="1:6" x14ac:dyDescent="0.25">
      <c r="A4" t="s">
        <v>3357</v>
      </c>
      <c r="B4" t="s">
        <v>3358</v>
      </c>
      <c r="C4" s="6" t="s">
        <v>3360</v>
      </c>
      <c r="D4" t="str">
        <f>""</f>
        <v/>
      </c>
      <c r="E4" t="str">
        <f>""</f>
        <v/>
      </c>
      <c r="F4" t="s">
        <v>3326</v>
      </c>
    </row>
    <row r="5" spans="1:6" x14ac:dyDescent="0.25">
      <c r="A5" t="s">
        <v>3356</v>
      </c>
      <c r="B5" t="s">
        <v>3359</v>
      </c>
      <c r="C5" s="6"/>
      <c r="D5" t="str">
        <f>""</f>
        <v/>
      </c>
      <c r="E5" t="str">
        <f>""</f>
        <v/>
      </c>
      <c r="F5" t="s">
        <v>3326</v>
      </c>
    </row>
    <row r="6" spans="1:6" x14ac:dyDescent="0.25">
      <c r="A6" t="s">
        <v>3311</v>
      </c>
      <c r="B6" t="s">
        <v>3327</v>
      </c>
      <c r="C6" t="s">
        <v>3328</v>
      </c>
      <c r="D6" t="s">
        <v>3314</v>
      </c>
      <c r="E6" t="s">
        <v>3314</v>
      </c>
      <c r="F6" t="s">
        <v>3326</v>
      </c>
    </row>
    <row r="7" spans="1:6" x14ac:dyDescent="0.25">
      <c r="A7" t="s">
        <v>3315</v>
      </c>
      <c r="B7" t="s">
        <v>3329</v>
      </c>
      <c r="C7" t="s">
        <v>3330</v>
      </c>
      <c r="D7" t="s">
        <v>3314</v>
      </c>
      <c r="E7" t="s">
        <v>3314</v>
      </c>
      <c r="F7" t="s">
        <v>3326</v>
      </c>
    </row>
    <row r="8" spans="1:6" x14ac:dyDescent="0.25">
      <c r="A8" t="s">
        <v>3337</v>
      </c>
      <c r="B8" t="s">
        <v>3354</v>
      </c>
      <c r="C8" s="6" t="s">
        <v>3364</v>
      </c>
      <c r="D8" t="s">
        <v>3355</v>
      </c>
      <c r="E8" t="s">
        <v>3355</v>
      </c>
      <c r="F8" t="s">
        <v>3326</v>
      </c>
    </row>
    <row r="9" spans="1:6" x14ac:dyDescent="0.25">
      <c r="A9" t="s">
        <v>3370</v>
      </c>
      <c r="B9" t="s">
        <v>3372</v>
      </c>
      <c r="C9" s="6" t="s">
        <v>3373</v>
      </c>
      <c r="D9" t="s">
        <v>3371</v>
      </c>
      <c r="E9" t="s">
        <v>3371</v>
      </c>
      <c r="F9" t="s">
        <v>3326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76BA-E96C-4380-A365-A68D0CA7CE4A}">
  <sheetPr>
    <tabColor theme="7" tint="0.39997558519241921"/>
  </sheetPr>
  <dimension ref="A1:E7"/>
  <sheetViews>
    <sheetView workbookViewId="0">
      <selection activeCell="C3" sqref="C3"/>
    </sheetView>
  </sheetViews>
  <sheetFormatPr defaultRowHeight="15" x14ac:dyDescent="0.25"/>
  <cols>
    <col min="1" max="1" width="31.42578125" bestFit="1" customWidth="1"/>
    <col min="2" max="2" width="11.42578125" bestFit="1" customWidth="1"/>
    <col min="3" max="3" width="41.5703125" bestFit="1" customWidth="1"/>
    <col min="4" max="4" width="84.28515625" bestFit="1" customWidth="1"/>
    <col min="5" max="5" width="31.42578125" bestFit="1" customWidth="1"/>
  </cols>
  <sheetData>
    <row r="1" spans="1:5" x14ac:dyDescent="0.25">
      <c r="A1" t="s">
        <v>3338</v>
      </c>
      <c r="B1" t="s">
        <v>3339</v>
      </c>
      <c r="C1" t="s">
        <v>3340</v>
      </c>
      <c r="D1" t="s">
        <v>3341</v>
      </c>
      <c r="E1" t="s">
        <v>3342</v>
      </c>
    </row>
    <row r="2" spans="1:5" x14ac:dyDescent="0.25">
      <c r="A2" t="s">
        <v>3343</v>
      </c>
      <c r="B2" t="s">
        <v>3344</v>
      </c>
      <c r="C2" t="s">
        <v>3345</v>
      </c>
      <c r="D2" s="5" t="s">
        <v>3346</v>
      </c>
      <c r="E2" t="s">
        <v>3343</v>
      </c>
    </row>
    <row r="3" spans="1:5" x14ac:dyDescent="0.25">
      <c r="A3" t="s">
        <v>3347</v>
      </c>
      <c r="B3" t="s">
        <v>3348</v>
      </c>
      <c r="C3" t="s">
        <v>3343</v>
      </c>
      <c r="D3" t="s">
        <v>3349</v>
      </c>
      <c r="E3" t="s">
        <v>3347</v>
      </c>
    </row>
    <row r="4" spans="1:5" x14ac:dyDescent="0.25">
      <c r="A4" t="s">
        <v>3350</v>
      </c>
      <c r="B4" t="s">
        <v>3348</v>
      </c>
      <c r="C4" t="s">
        <v>3343</v>
      </c>
      <c r="D4" t="s">
        <v>3351</v>
      </c>
      <c r="E4" t="s">
        <v>3350</v>
      </c>
    </row>
    <row r="5" spans="1:5" x14ac:dyDescent="0.25">
      <c r="A5" t="s">
        <v>3380</v>
      </c>
      <c r="B5" t="s">
        <v>3348</v>
      </c>
      <c r="C5" t="s">
        <v>3343</v>
      </c>
      <c r="D5" t="s">
        <v>3381</v>
      </c>
      <c r="E5" t="s">
        <v>3380</v>
      </c>
    </row>
    <row r="6" spans="1:5" x14ac:dyDescent="0.25">
      <c r="A6" t="s">
        <v>3382</v>
      </c>
      <c r="B6" t="s">
        <v>3348</v>
      </c>
      <c r="C6" t="s">
        <v>3343</v>
      </c>
      <c r="D6" t="s">
        <v>3383</v>
      </c>
      <c r="E6" t="s">
        <v>3382</v>
      </c>
    </row>
    <row r="7" spans="1:5" x14ac:dyDescent="0.25">
      <c r="A7" t="s">
        <v>3384</v>
      </c>
      <c r="B7" t="s">
        <v>3385</v>
      </c>
      <c r="C7" t="s">
        <v>3347</v>
      </c>
      <c r="D7" t="s">
        <v>3386</v>
      </c>
      <c r="E7" t="s">
        <v>3384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14B9-82F5-4F2A-A303-37BFCAC78365}">
  <sheetPr>
    <tabColor theme="7" tint="0.39997558519241921"/>
  </sheetPr>
  <dimension ref="A1:D3"/>
  <sheetViews>
    <sheetView workbookViewId="0">
      <selection activeCell="D8" sqref="D8"/>
    </sheetView>
  </sheetViews>
  <sheetFormatPr defaultRowHeight="15" x14ac:dyDescent="0.25"/>
  <cols>
    <col min="1" max="1" width="17.28515625" bestFit="1" customWidth="1"/>
    <col min="2" max="2" width="21.85546875" bestFit="1" customWidth="1"/>
    <col min="3" max="3" width="35.28515625" bestFit="1" customWidth="1"/>
    <col min="4" max="4" width="61.85546875" bestFit="1" customWidth="1"/>
  </cols>
  <sheetData>
    <row r="1" spans="1:4" x14ac:dyDescent="0.25">
      <c r="A1" t="s">
        <v>3331</v>
      </c>
      <c r="B1" t="s">
        <v>3332</v>
      </c>
      <c r="C1" t="s">
        <v>3333</v>
      </c>
      <c r="D1" t="s">
        <v>3334</v>
      </c>
    </row>
    <row r="2" spans="1:4" x14ac:dyDescent="0.25">
      <c r="A2" t="s">
        <v>1566</v>
      </c>
      <c r="B2" t="s">
        <v>3361</v>
      </c>
      <c r="C2" t="s">
        <v>3362</v>
      </c>
      <c r="D2" t="s">
        <v>3363</v>
      </c>
    </row>
    <row r="3" spans="1:4" x14ac:dyDescent="0.25">
      <c r="A3" t="s">
        <v>3387</v>
      </c>
      <c r="B3" t="s">
        <v>3389</v>
      </c>
      <c r="C3" t="s">
        <v>3388</v>
      </c>
      <c r="D3" t="s">
        <v>3390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224B444-B14E-4B83-8603-3AEA6DC2C676}">
  <ds:schemaRefs/>
</ds:datastoreItem>
</file>

<file path=customXml/itemProps2.xml><?xml version="1.0" encoding="utf-8"?>
<ds:datastoreItem xmlns:ds="http://schemas.openxmlformats.org/officeDocument/2006/customXml" ds:itemID="{BC00F3CA-AF11-4611-A066-3047681B1BD8}">
  <ds:schemaRefs/>
</ds:datastoreItem>
</file>

<file path=customXml/itemProps3.xml><?xml version="1.0" encoding="utf-8"?>
<ds:datastoreItem xmlns:ds="http://schemas.openxmlformats.org/officeDocument/2006/customXml" ds:itemID="{A9CDBCEF-4021-463E-A473-C7A50CA49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suppliers_coldchain</vt:lpstr>
      <vt:lpstr>products_coldchain</vt:lpstr>
      <vt:lpstr>purchase_orders_coldchain</vt:lpstr>
      <vt:lpstr>purchase_order_lines_coldchain</vt:lpstr>
      <vt:lpstr>stock_movements_coldchain</vt:lpstr>
      <vt:lpstr>cycle_counts_coldchain</vt:lpstr>
      <vt:lpstr>temperature_logs_coldchain</vt:lpstr>
      <vt:lpstr>Purchase_Order_tracking_sheet</vt:lpstr>
      <vt:lpstr>Warehouse_Transfer_Log</vt:lpstr>
      <vt:lpstr>Warehouse_Writeoff_Summary</vt:lpstr>
      <vt:lpstr>Warehouse_Health_Status_Report</vt:lpstr>
      <vt:lpstr>Supplier_Performance_Report</vt:lpstr>
      <vt:lpstr>Column Lineage</vt:lpstr>
      <vt:lpstr>Validation Tests</vt:lpstr>
      <vt:lpstr>Sheet Lineage</vt:lpstr>
      <vt:lpstr>Before and After 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Osaghae</dc:creator>
  <cp:lastModifiedBy>Joshua Osaghae</cp:lastModifiedBy>
  <dcterms:created xsi:type="dcterms:W3CDTF">2026-04-13T14:57:48Z</dcterms:created>
  <dcterms:modified xsi:type="dcterms:W3CDTF">2026-06-19T20:13:18Z</dcterms:modified>
</cp:coreProperties>
</file>